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dicadores" sheetId="1" r:id="rId1"/>
    <sheet name="Monitoramento" sheetId="2" r:id="rId2"/>
    <sheet name="Quadro de Indicadores" sheetId="3" r:id="rId3"/>
    <sheet name="calculos" sheetId="4" state="hidden" r:id="rId4"/>
    <sheet name="Base" sheetId="5" r:id="rId5"/>
    <sheet name="calculos_quadro" sheetId="6" state="hidden" r:id="rId99"/>
  </sheets>
  <definedNames>
    <definedName name="_xlnm.Print_Area" localSheetId="0">'Indicadores'!$A$1:$Z$48</definedName>
    <definedName name="_xlnm.Print_Area" localSheetId="1">'Monitoramento'!$A$1:$AK$164</definedName>
    <definedName name="_xlnm.Print_Area" localSheetId="2">'Quadro de Indicadores'!$A$1:$AA$80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[$-416]d;@"/>
    <numFmt numFmtId="165" formatCode="#,##0.0"/>
    <numFmt numFmtId="166" formatCode="dd/mm/yyyy"/>
    <numFmt numFmtId="167" formatCode="dd/mm"/>
    <numFmt numFmtId="168" formatCode="#,##0;;"/>
    <numFmt numFmtId="169" formatCode="0.0%"/>
    <numFmt numFmtId="170" formatCode="&quot;▲ &quot;0%;&quot;▼ &quot;0%;&quot;= 0%&quot;"/>
    <numFmt numFmtId="171" formatCode="#,##0.0&quot; t recebidas&quot;"/>
    <numFmt numFmtId="172" formatCode="&quot;▲ &quot;0%&quot; vs mês ant.&quot;;&quot;▼ &quot;0%&quot; vs mês ant.&quot;;&quot;= mês ant.&quot;"/>
    <numFmt numFmtId="173" formatCode="#,##0.0&quot; t expedidas&quot;"/>
    <numFmt numFmtId="174" formatCode="#,##0&quot; no show&quot;"/>
    <numFmt numFmtId="175" formatCode="#,##0&quot; posições ocupadas&quot;"/>
    <numFmt numFmtId="176" formatCode="#,##0&quot; faltas no mês&quot;"/>
  </numFmts>
  <fonts count="27">
    <font>
      <sz val="10"/>
      <color rgb="FF000000"/>
      <name val="Calibri"/>
      <family val="2"/>
    </font>
    <font>
      <b/>
      <sz val="14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i/>
      <sz val="8"/>
      <color rgb="FF7F7F7F"/>
      <name val="Calibri"/>
      <family val="2"/>
    </font>
    <font>
      <b/>
      <sz val="9"/>
      <color rgb="FFFFFFFF"/>
      <name val="Calibri"/>
      <family val="2"/>
    </font>
    <font>
      <sz val="10"/>
      <color rgb="FF7F7F7F"/>
      <name val="Calibri"/>
      <family val="2"/>
    </font>
    <font>
      <b/>
      <sz val="11"/>
      <color rgb="FFC00000"/>
      <name val="Calibri"/>
      <family val="2"/>
    </font>
    <font>
      <sz val="9"/>
      <color rgb="FF000000"/>
      <name val="Calibri"/>
      <family val="2"/>
    </font>
    <font>
      <sz val="10"/>
      <color rgb="FF0000FF"/>
      <name val="Calibri"/>
      <family val="2"/>
    </font>
    <font>
      <b/>
      <sz val="8"/>
      <color rgb="FFFFFFFF"/>
      <name val="Calibri"/>
      <family val="2"/>
    </font>
    <font>
      <b/>
      <sz val="10"/>
      <color rgb="FFC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1"/>
      <color rgb="FF1B1B1F"/>
      <name val="Calibri"/>
      <family val="2"/>
    </font>
    <font>
      <b/>
      <sz val="10"/>
      <color rgb="FF595959"/>
      <name val="Calibri"/>
      <family val="2"/>
    </font>
    <font>
      <b/>
      <sz val="16"/>
      <color rgb="FFFFFFFF"/>
      <name val="Calibri"/>
      <family val="2"/>
    </font>
    <font>
      <b/>
      <sz val="12"/>
      <color rgb="FF1B1B1F"/>
      <name val="Calibri"/>
      <family val="2"/>
    </font>
    <font>
      <b/>
      <sz val="13"/>
      <color rgb="FF000000"/>
      <name val="Calibri"/>
      <family val="2"/>
    </font>
    <font>
      <b/>
      <sz val="28"/>
      <color rgb="FF1B1B1F"/>
      <name val="Calibri"/>
      <family val="2"/>
    </font>
    <font>
      <b/>
      <sz val="10"/>
      <color rgb="FF7F7F7F"/>
      <name val="Calibri"/>
      <family val="2"/>
    </font>
    <font>
      <i/>
      <sz val="8"/>
      <color rgb="FF9A9A9A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404040"/>
      <name val="Calibri"/>
      <family val="2"/>
    </font>
    <font>
      <b/>
      <sz val="12"/>
      <color rgb="FFC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1B1B1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2F2F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7F7F7F"/>
      </right>
      <top style="medium">
        <color rgb="FF000000"/>
      </top>
      <bottom style="medium">
        <color rgb="FF000000"/>
      </bottom>
      <diagonal/>
    </border>
    <border>
      <left style="dotted">
        <color rgb="FF7F7F7F"/>
      </left>
      <right style="dotted">
        <color rgb="FF7F7F7F"/>
      </right>
      <top style="medium">
        <color rgb="FF000000"/>
      </top>
      <bottom style="medium">
        <color rgb="FF000000"/>
      </bottom>
      <diagonal/>
    </border>
    <border>
      <left style="dotted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dotted">
        <color rgb="FF7F7F7F"/>
      </right>
      <top style="medium">
        <color rgb="FF000000"/>
      </top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 style="medium">
        <color rgb="FF000000"/>
      </top>
      <bottom style="dotted">
        <color rgb="FF7F7F7F"/>
      </bottom>
      <diagonal/>
    </border>
    <border>
      <left style="dotted">
        <color rgb="FF7F7F7F"/>
      </left>
      <right style="medium">
        <color rgb="FF000000"/>
      </right>
      <top style="medium">
        <color rgb="FF000000"/>
      </top>
      <bottom style="dotted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 style="dotted">
        <color rgb="FF7F7F7F"/>
      </right>
      <top/>
      <bottom style="dotted">
        <color rgb="FF7F7F7F"/>
      </bottom>
      <diagonal/>
    </border>
    <border>
      <left style="dotted">
        <color rgb="FF7F7F7F"/>
      </left>
      <right style="medium">
        <color rgb="FF000000"/>
      </right>
      <top/>
      <bottom style="dotted">
        <color rgb="FF7F7F7F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7F7F7F"/>
      </bottom>
      <diagonal/>
    </border>
    <border>
      <left style="medium">
        <color rgb="FF000000"/>
      </left>
      <right style="dotted">
        <color rgb="FF7F7F7F"/>
      </right>
      <top/>
      <bottom style="medium">
        <color rgb="FF000000"/>
      </bottom>
      <diagonal/>
    </border>
    <border>
      <left style="dotted">
        <color rgb="FF7F7F7F"/>
      </left>
      <right style="dotted">
        <color rgb="FF7F7F7F"/>
      </right>
      <top/>
      <bottom style="medium">
        <color rgb="FF000000"/>
      </bottom>
      <diagonal/>
    </border>
    <border>
      <left style="dotted">
        <color rgb="FF7F7F7F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595959"/>
      </bottom>
      <diagonal/>
    </border>
    <border>
      <left style="hair">
        <color rgb="FF7F7F7F"/>
      </left>
      <right/>
      <top style="medium">
        <color rgb="FF000000"/>
      </top>
      <bottom/>
      <diagonal/>
    </border>
    <border>
      <left/>
      <right/>
      <top style="hair">
        <color rgb="FF7F7F7F"/>
      </top>
      <bottom/>
      <diagonal/>
    </border>
    <border>
      <left style="hair">
        <color rgb="FF7F7F7F"/>
      </left>
      <right/>
      <top style="hair">
        <color rgb="FF7F7F7F"/>
      </top>
      <bottom/>
      <diagonal/>
    </border>
    <border>
      <left/>
      <right style="medium">
        <color rgb="FF000000"/>
      </right>
      <top style="hair">
        <color rgb="FF7F7F7F"/>
      </top>
      <bottom/>
      <diagonal/>
    </border>
    <border>
      <left/>
      <right/>
      <top style="hair">
        <color rgb="FF7F7F7F"/>
      </top>
      <bottom style="medium">
        <color rgb="FF000000"/>
      </bottom>
      <diagonal/>
    </border>
    <border>
      <left style="hair">
        <color rgb="FF7F7F7F"/>
      </left>
      <right/>
      <top style="hair">
        <color rgb="FF7F7F7F"/>
      </top>
      <bottom style="medium">
        <color rgb="FF000000"/>
      </bottom>
      <diagonal/>
    </border>
    <border>
      <left/>
      <right style="medium">
        <color rgb="FF000000"/>
      </right>
      <top style="hair">
        <color rgb="FF7F7F7F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E01E1E"/>
      </left>
      <right/>
      <top style="medium">
        <color rgb="FFE01E1E"/>
      </top>
      <bottom style="medium">
        <color rgb="FFE01E1E"/>
      </bottom>
      <diagonal/>
    </border>
    <border>
      <left/>
      <right/>
      <top style="medium">
        <color rgb="FFE01E1E"/>
      </top>
      <bottom style="medium">
        <color rgb="FFE01E1E"/>
      </bottom>
      <diagonal/>
    </border>
    <border>
      <left/>
      <right style="medium">
        <color rgb="FFE01E1E"/>
      </right>
      <top style="medium">
        <color rgb="FFE01E1E"/>
      </top>
      <bottom style="medium">
        <color rgb="FFE01E1E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 style="thick">
        <color rgb="FFE01E1E"/>
      </top>
      <bottom/>
      <diagonal/>
    </border>
  </borders>
  <cellStyleXfs count="1">
    <xf numFmtId="0" fontId="0" fillId="0" borderId="0"/>
  </cellStyleXfs>
  <cellXfs count="499">
    <xf numFmtId="0" fontId="0" fillId="0" borderId="0" xfId="0"/>
    <xf numFmtId="0" fontId="0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right" vertical="center" inden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6" xfId="0" applyNumberFormat="1" applyFont="1" applyFill="1" applyBorder="1" applyAlignment="1">
      <alignment horizontal="center" vertical="center"/>
    </xf>
    <xf numFmtId="0" fontId="2" fillId="3" borderId="7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/>
    </xf>
    <xf numFmtId="0" fontId="3" fillId="4" borderId="9" xfId="0" applyNumberFormat="1" applyFont="1" applyFill="1" applyBorder="1" applyAlignment="1">
      <alignment horizontal="center" vertical="center"/>
    </xf>
    <xf numFmtId="0" fontId="3" fillId="4" borderId="10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2" xfId="0" applyNumberFormat="1" applyFont="1" applyFill="1" applyBorder="1" applyAlignment="1">
      <alignment horizontal="center" vertical="center"/>
    </xf>
    <xf numFmtId="164" fontId="2" fillId="6" borderId="12" xfId="0" applyNumberFormat="1" applyFont="1" applyFill="1" applyBorder="1" applyAlignment="1">
      <alignment horizontal="center" vertical="center"/>
    </xf>
    <xf numFmtId="164" fontId="0" fillId="5" borderId="13" xfId="0" applyNumberFormat="1" applyFont="1" applyFill="1" applyBorder="1" applyAlignment="1">
      <alignment horizontal="center" vertical="center"/>
    </xf>
    <xf numFmtId="0" fontId="2" fillId="7" borderId="5" xfId="0" applyNumberFormat="1" applyFont="1" applyFill="1" applyBorder="1" applyAlignment="1">
      <alignment horizontal="center" vertical="center"/>
    </xf>
    <xf numFmtId="3" fontId="2" fillId="7" borderId="2" xfId="0" applyNumberFormat="1" applyFont="1" applyFill="1" applyBorder="1" applyAlignment="1">
      <alignment horizontal="center" vertical="center"/>
    </xf>
    <xf numFmtId="0" fontId="0" fillId="7" borderId="14" xfId="0" applyNumberFormat="1" applyFont="1" applyFill="1" applyBorder="1" applyAlignment="1">
      <alignment horizontal="center" vertical="center"/>
    </xf>
    <xf numFmtId="3" fontId="0" fillId="7" borderId="15" xfId="0" applyNumberFormat="1" applyFont="1" applyFill="1" applyBorder="1" applyAlignment="1">
      <alignment horizontal="center" vertical="center"/>
    </xf>
    <xf numFmtId="3" fontId="0" fillId="7" borderId="16" xfId="0" applyNumberFormat="1" applyFont="1" applyFill="1" applyBorder="1" applyAlignment="1">
      <alignment horizontal="center" vertical="center"/>
    </xf>
    <xf numFmtId="3" fontId="0" fillId="7" borderId="17" xfId="0" applyNumberFormat="1" applyFont="1" applyFill="1" applyBorder="1" applyAlignment="1">
      <alignment horizontal="center" vertical="center"/>
    </xf>
    <xf numFmtId="3" fontId="2" fillId="7" borderId="18" xfId="0" applyNumberFormat="1" applyFont="1" applyFill="1" applyBorder="1" applyAlignment="1">
      <alignment horizontal="center" vertical="center"/>
    </xf>
    <xf numFmtId="0" fontId="2" fillId="7" borderId="19" xfId="0" applyNumberFormat="1" applyFont="1" applyFill="1" applyBorder="1" applyAlignment="1">
      <alignment horizontal="center" vertical="center"/>
    </xf>
    <xf numFmtId="3" fontId="2" fillId="7" borderId="20" xfId="0" applyNumberFormat="1" applyFont="1" applyFill="1" applyBorder="1" applyAlignment="1">
      <alignment horizontal="center" vertical="center"/>
    </xf>
    <xf numFmtId="0" fontId="0" fillId="7" borderId="0" xfId="0" applyNumberFormat="1" applyFont="1" applyFill="1" applyBorder="1" applyAlignment="1">
      <alignment horizontal="center" vertical="center"/>
    </xf>
    <xf numFmtId="3" fontId="0" fillId="7" borderId="21" xfId="0" applyNumberFormat="1" applyFont="1" applyFill="1" applyBorder="1" applyAlignment="1">
      <alignment horizontal="center" vertical="center"/>
    </xf>
    <xf numFmtId="3" fontId="0" fillId="7" borderId="22" xfId="0" applyNumberFormat="1" applyFont="1" applyFill="1" applyBorder="1" applyAlignment="1">
      <alignment horizontal="center" vertical="center"/>
    </xf>
    <xf numFmtId="3" fontId="0" fillId="7" borderId="23" xfId="0" applyNumberFormat="1" applyFont="1" applyFill="1" applyBorder="1" applyAlignment="1">
      <alignment horizontal="center" vertical="center"/>
    </xf>
    <xf numFmtId="3" fontId="2" fillId="7" borderId="24" xfId="0" applyNumberFormat="1" applyFont="1" applyFill="1" applyBorder="1" applyAlignment="1">
      <alignment horizontal="center" vertical="center"/>
    </xf>
    <xf numFmtId="0" fontId="2" fillId="7" borderId="7" xfId="0" applyNumberFormat="1" applyFont="1" applyFill="1" applyBorder="1" applyAlignment="1">
      <alignment horizontal="center" vertical="center"/>
    </xf>
    <xf numFmtId="165" fontId="2" fillId="7" borderId="3" xfId="0" applyNumberFormat="1" applyFont="1" applyFill="1" applyBorder="1" applyAlignment="1">
      <alignment horizontal="center" vertical="center"/>
    </xf>
    <xf numFmtId="0" fontId="0" fillId="7" borderId="1" xfId="0" applyNumberFormat="1" applyFont="1" applyFill="1" applyBorder="1" applyAlignment="1">
      <alignment horizontal="center" vertical="center"/>
    </xf>
    <xf numFmtId="165" fontId="0" fillId="7" borderId="25" xfId="0" applyNumberFormat="1" applyFont="1" applyFill="1" applyBorder="1" applyAlignment="1">
      <alignment horizontal="center" vertical="center"/>
    </xf>
    <xf numFmtId="165" fontId="0" fillId="7" borderId="26" xfId="0" applyNumberFormat="1" applyFont="1" applyFill="1" applyBorder="1" applyAlignment="1">
      <alignment horizontal="center" vertical="center"/>
    </xf>
    <xf numFmtId="165" fontId="0" fillId="7" borderId="27" xfId="0" applyNumberFormat="1" applyFont="1" applyFill="1" applyBorder="1" applyAlignment="1">
      <alignment horizontal="center" vertical="center"/>
    </xf>
    <xf numFmtId="0" fontId="2" fillId="8" borderId="5" xfId="0" applyNumberFormat="1" applyFont="1" applyFill="1" applyBorder="1" applyAlignment="1">
      <alignment horizontal="center" vertical="center"/>
    </xf>
    <xf numFmtId="3" fontId="2" fillId="8" borderId="2" xfId="0" applyNumberFormat="1" applyFont="1" applyFill="1" applyBorder="1" applyAlignment="1">
      <alignment horizontal="center" vertical="center"/>
    </xf>
    <xf numFmtId="0" fontId="0" fillId="8" borderId="14" xfId="0" applyNumberFormat="1" applyFont="1" applyFill="1" applyBorder="1" applyAlignment="1">
      <alignment horizontal="center" vertical="center"/>
    </xf>
    <xf numFmtId="3" fontId="0" fillId="8" borderId="15" xfId="0" applyNumberFormat="1" applyFont="1" applyFill="1" applyBorder="1" applyAlignment="1">
      <alignment horizontal="center" vertical="center"/>
    </xf>
    <xf numFmtId="3" fontId="0" fillId="8" borderId="16" xfId="0" applyNumberFormat="1" applyFont="1" applyFill="1" applyBorder="1" applyAlignment="1">
      <alignment horizontal="center" vertical="center"/>
    </xf>
    <xf numFmtId="3" fontId="0" fillId="8" borderId="17" xfId="0" applyNumberFormat="1" applyFont="1" applyFill="1" applyBorder="1" applyAlignment="1">
      <alignment horizontal="center" vertical="center"/>
    </xf>
    <xf numFmtId="3" fontId="2" fillId="8" borderId="18" xfId="0" applyNumberFormat="1" applyFont="1" applyFill="1" applyBorder="1" applyAlignment="1">
      <alignment horizontal="center" vertical="center"/>
    </xf>
    <xf numFmtId="0" fontId="2" fillId="8" borderId="19" xfId="0" applyNumberFormat="1" applyFont="1" applyFill="1" applyBorder="1" applyAlignment="1">
      <alignment horizontal="center" vertical="center"/>
    </xf>
    <xf numFmtId="3" fontId="2" fillId="8" borderId="20" xfId="0" applyNumberFormat="1" applyFont="1" applyFill="1" applyBorder="1" applyAlignment="1">
      <alignment horizontal="center" vertical="center"/>
    </xf>
    <xf numFmtId="0" fontId="0" fillId="8" borderId="0" xfId="0" applyNumberFormat="1" applyFont="1" applyFill="1" applyBorder="1" applyAlignment="1">
      <alignment horizontal="center" vertical="center"/>
    </xf>
    <xf numFmtId="3" fontId="0" fillId="8" borderId="21" xfId="0" applyNumberFormat="1" applyFont="1" applyFill="1" applyBorder="1" applyAlignment="1">
      <alignment horizontal="center" vertical="center"/>
    </xf>
    <xf numFmtId="3" fontId="0" fillId="8" borderId="22" xfId="0" applyNumberFormat="1" applyFont="1" applyFill="1" applyBorder="1" applyAlignment="1">
      <alignment horizontal="center" vertical="center"/>
    </xf>
    <xf numFmtId="3" fontId="0" fillId="8" borderId="23" xfId="0" applyNumberFormat="1" applyFont="1" applyFill="1" applyBorder="1" applyAlignment="1">
      <alignment horizontal="center" vertical="center"/>
    </xf>
    <xf numFmtId="3" fontId="2" fillId="8" borderId="24" xfId="0" applyNumberFormat="1" applyFont="1" applyFill="1" applyBorder="1" applyAlignment="1">
      <alignment horizontal="center" vertical="center"/>
    </xf>
    <xf numFmtId="0" fontId="2" fillId="8" borderId="7" xfId="0" applyNumberFormat="1" applyFont="1" applyFill="1" applyBorder="1" applyAlignment="1">
      <alignment horizontal="center" vertical="center"/>
    </xf>
    <xf numFmtId="165" fontId="2" fillId="8" borderId="3" xfId="0" applyNumberFormat="1" applyFont="1" applyFill="1" applyBorder="1" applyAlignment="1">
      <alignment horizontal="center" vertical="center"/>
    </xf>
    <xf numFmtId="0" fontId="0" fillId="8" borderId="1" xfId="0" applyNumberFormat="1" applyFont="1" applyFill="1" applyBorder="1" applyAlignment="1">
      <alignment horizontal="center" vertical="center"/>
    </xf>
    <xf numFmtId="165" fontId="0" fillId="8" borderId="25" xfId="0" applyNumberFormat="1" applyFont="1" applyFill="1" applyBorder="1" applyAlignment="1">
      <alignment horizontal="center" vertical="center"/>
    </xf>
    <xf numFmtId="165" fontId="0" fillId="8" borderId="26" xfId="0" applyNumberFormat="1" applyFont="1" applyFill="1" applyBorder="1" applyAlignment="1">
      <alignment horizontal="center" vertical="center"/>
    </xf>
    <xf numFmtId="165" fontId="0" fillId="8" borderId="27" xfId="0" applyNumberFormat="1" applyFont="1" applyFill="1" applyBorder="1" applyAlignment="1">
      <alignment horizontal="center" vertical="center"/>
    </xf>
    <xf numFmtId="0" fontId="2" fillId="9" borderId="5" xfId="0" applyNumberFormat="1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/>
    </xf>
    <xf numFmtId="0" fontId="0" fillId="9" borderId="14" xfId="0" applyNumberFormat="1" applyFont="1" applyFill="1" applyBorder="1" applyAlignment="1">
      <alignment horizontal="center" vertical="center"/>
    </xf>
    <xf numFmtId="3" fontId="0" fillId="9" borderId="15" xfId="0" applyNumberFormat="1" applyFont="1" applyFill="1" applyBorder="1" applyAlignment="1">
      <alignment horizontal="center" vertical="center"/>
    </xf>
    <xf numFmtId="3" fontId="0" fillId="9" borderId="16" xfId="0" applyNumberFormat="1" applyFont="1" applyFill="1" applyBorder="1" applyAlignment="1">
      <alignment horizontal="center" vertical="center"/>
    </xf>
    <xf numFmtId="3" fontId="0" fillId="9" borderId="17" xfId="0" applyNumberFormat="1" applyFont="1" applyFill="1" applyBorder="1" applyAlignment="1">
      <alignment horizontal="center" vertical="center"/>
    </xf>
    <xf numFmtId="3" fontId="2" fillId="9" borderId="18" xfId="0" applyNumberFormat="1" applyFont="1" applyFill="1" applyBorder="1" applyAlignment="1">
      <alignment horizontal="center" vertical="center"/>
    </xf>
    <xf numFmtId="0" fontId="2" fillId="9" borderId="19" xfId="0" applyNumberFormat="1" applyFont="1" applyFill="1" applyBorder="1" applyAlignment="1">
      <alignment horizontal="center" vertical="center"/>
    </xf>
    <xf numFmtId="3" fontId="2" fillId="9" borderId="20" xfId="0" applyNumberFormat="1" applyFont="1" applyFill="1" applyBorder="1" applyAlignment="1">
      <alignment horizontal="center" vertical="center"/>
    </xf>
    <xf numFmtId="0" fontId="0" fillId="9" borderId="0" xfId="0" applyNumberFormat="1" applyFont="1" applyFill="1" applyBorder="1" applyAlignment="1">
      <alignment horizontal="center" vertical="center"/>
    </xf>
    <xf numFmtId="3" fontId="0" fillId="9" borderId="21" xfId="0" applyNumberFormat="1" applyFont="1" applyFill="1" applyBorder="1" applyAlignment="1">
      <alignment horizontal="center" vertical="center"/>
    </xf>
    <xf numFmtId="3" fontId="0" fillId="9" borderId="22" xfId="0" applyNumberFormat="1" applyFont="1" applyFill="1" applyBorder="1" applyAlignment="1">
      <alignment horizontal="center" vertical="center"/>
    </xf>
    <xf numFmtId="3" fontId="0" fillId="9" borderId="23" xfId="0" applyNumberFormat="1" applyFont="1" applyFill="1" applyBorder="1" applyAlignment="1">
      <alignment horizontal="center" vertical="center"/>
    </xf>
    <xf numFmtId="3" fontId="2" fillId="9" borderId="24" xfId="0" applyNumberFormat="1" applyFont="1" applyFill="1" applyBorder="1" applyAlignment="1">
      <alignment horizontal="center" vertical="center"/>
    </xf>
    <xf numFmtId="0" fontId="2" fillId="9" borderId="7" xfId="0" applyNumberFormat="1" applyFont="1" applyFill="1" applyBorder="1" applyAlignment="1">
      <alignment horizontal="center" vertical="center"/>
    </xf>
    <xf numFmtId="3" fontId="2" fillId="9" borderId="3" xfId="0" applyNumberFormat="1" applyFont="1" applyFill="1" applyBorder="1" applyAlignment="1">
      <alignment horizontal="center" vertical="center"/>
    </xf>
    <xf numFmtId="0" fontId="0" fillId="9" borderId="1" xfId="0" applyNumberFormat="1" applyFont="1" applyFill="1" applyBorder="1" applyAlignment="1">
      <alignment horizontal="center" vertical="center"/>
    </xf>
    <xf numFmtId="3" fontId="0" fillId="9" borderId="25" xfId="0" applyNumberFormat="1" applyFont="1" applyFill="1" applyBorder="1" applyAlignment="1">
      <alignment horizontal="center" vertical="center"/>
    </xf>
    <xf numFmtId="3" fontId="0" fillId="9" borderId="26" xfId="0" applyNumberFormat="1" applyFont="1" applyFill="1" applyBorder="1" applyAlignment="1">
      <alignment horizontal="center" vertical="center"/>
    </xf>
    <xf numFmtId="3" fontId="0" fillId="9" borderId="27" xfId="0" applyNumberFormat="1" applyFont="1" applyFill="1" applyBorder="1" applyAlignment="1">
      <alignment horizontal="center" vertical="center"/>
    </xf>
    <xf numFmtId="9" fontId="2" fillId="7" borderId="3" xfId="0" applyNumberFormat="1" applyFont="1" applyFill="1" applyBorder="1" applyAlignment="1">
      <alignment horizontal="center" vertical="center"/>
    </xf>
    <xf numFmtId="9" fontId="0" fillId="7" borderId="25" xfId="0" applyNumberFormat="1" applyFont="1" applyFill="1" applyBorder="1" applyAlignment="1">
      <alignment horizontal="center" vertical="center"/>
    </xf>
    <xf numFmtId="9" fontId="0" fillId="7" borderId="26" xfId="0" applyNumberFormat="1" applyFont="1" applyFill="1" applyBorder="1" applyAlignment="1">
      <alignment horizontal="center" vertical="center"/>
    </xf>
    <xf numFmtId="9" fontId="0" fillId="7" borderId="27" xfId="0" applyNumberFormat="1" applyFont="1" applyFill="1" applyBorder="1" applyAlignment="1">
      <alignment horizontal="center" vertical="center"/>
    </xf>
    <xf numFmtId="0" fontId="2" fillId="10" borderId="5" xfId="0" applyNumberFormat="1" applyFont="1" applyFill="1" applyBorder="1" applyAlignment="1">
      <alignment horizontal="center" vertical="center"/>
    </xf>
    <xf numFmtId="3" fontId="2" fillId="10" borderId="2" xfId="0" applyNumberFormat="1" applyFont="1" applyFill="1" applyBorder="1" applyAlignment="1">
      <alignment horizontal="center" vertical="center"/>
    </xf>
    <xf numFmtId="0" fontId="0" fillId="10" borderId="14" xfId="0" applyNumberFormat="1" applyFont="1" applyFill="1" applyBorder="1" applyAlignment="1">
      <alignment horizontal="center" vertical="center"/>
    </xf>
    <xf numFmtId="3" fontId="0" fillId="10" borderId="15" xfId="0" applyNumberFormat="1" applyFont="1" applyFill="1" applyBorder="1" applyAlignment="1">
      <alignment horizontal="center" vertical="center"/>
    </xf>
    <xf numFmtId="3" fontId="0" fillId="10" borderId="16" xfId="0" applyNumberFormat="1" applyFont="1" applyFill="1" applyBorder="1" applyAlignment="1">
      <alignment horizontal="center" vertical="center"/>
    </xf>
    <xf numFmtId="3" fontId="0" fillId="10" borderId="17" xfId="0" applyNumberFormat="1" applyFont="1" applyFill="1" applyBorder="1" applyAlignment="1">
      <alignment horizontal="center" vertical="center"/>
    </xf>
    <xf numFmtId="3" fontId="2" fillId="10" borderId="18" xfId="0" applyNumberFormat="1" applyFont="1" applyFill="1" applyBorder="1" applyAlignment="1">
      <alignment horizontal="center" vertical="center"/>
    </xf>
    <xf numFmtId="0" fontId="2" fillId="10" borderId="19" xfId="0" applyNumberFormat="1" applyFont="1" applyFill="1" applyBorder="1" applyAlignment="1">
      <alignment horizontal="center" vertical="center"/>
    </xf>
    <xf numFmtId="3" fontId="2" fillId="10" borderId="20" xfId="0" applyNumberFormat="1" applyFont="1" applyFill="1" applyBorder="1" applyAlignment="1">
      <alignment horizontal="center" vertical="center"/>
    </xf>
    <xf numFmtId="0" fontId="0" fillId="10" borderId="0" xfId="0" applyNumberFormat="1" applyFont="1" applyFill="1" applyBorder="1" applyAlignment="1">
      <alignment horizontal="center" vertical="center"/>
    </xf>
    <xf numFmtId="3" fontId="0" fillId="10" borderId="21" xfId="0" applyNumberFormat="1" applyFont="1" applyFill="1" applyBorder="1" applyAlignment="1">
      <alignment horizontal="center" vertical="center"/>
    </xf>
    <xf numFmtId="3" fontId="0" fillId="10" borderId="22" xfId="0" applyNumberFormat="1" applyFont="1" applyFill="1" applyBorder="1" applyAlignment="1">
      <alignment horizontal="center" vertical="center"/>
    </xf>
    <xf numFmtId="3" fontId="0" fillId="10" borderId="23" xfId="0" applyNumberFormat="1" applyFont="1" applyFill="1" applyBorder="1" applyAlignment="1">
      <alignment horizontal="center" vertical="center"/>
    </xf>
    <xf numFmtId="3" fontId="2" fillId="10" borderId="24" xfId="0" applyNumberFormat="1" applyFont="1" applyFill="1" applyBorder="1" applyAlignment="1">
      <alignment horizontal="center" vertical="center"/>
    </xf>
    <xf numFmtId="0" fontId="2" fillId="10" borderId="7" xfId="0" applyNumberFormat="1" applyFont="1" applyFill="1" applyBorder="1" applyAlignment="1">
      <alignment horizontal="center" vertical="center"/>
    </xf>
    <xf numFmtId="3" fontId="2" fillId="10" borderId="3" xfId="0" applyNumberFormat="1" applyFont="1" applyFill="1" applyBorder="1" applyAlignment="1">
      <alignment horizontal="center" vertical="center"/>
    </xf>
    <xf numFmtId="0" fontId="0" fillId="10" borderId="1" xfId="0" applyNumberFormat="1" applyFont="1" applyFill="1" applyBorder="1" applyAlignment="1">
      <alignment horizontal="center" vertical="center"/>
    </xf>
    <xf numFmtId="3" fontId="0" fillId="10" borderId="25" xfId="0" applyNumberFormat="1" applyFont="1" applyFill="1" applyBorder="1" applyAlignment="1">
      <alignment horizontal="center" vertical="center"/>
    </xf>
    <xf numFmtId="3" fontId="0" fillId="10" borderId="26" xfId="0" applyNumberFormat="1" applyFont="1" applyFill="1" applyBorder="1" applyAlignment="1">
      <alignment horizontal="center" vertical="center"/>
    </xf>
    <xf numFmtId="3" fontId="0" fillId="10" borderId="27" xfId="0" applyNumberFormat="1" applyFont="1" applyFill="1" applyBorder="1" applyAlignment="1">
      <alignment horizontal="center" vertical="center"/>
    </xf>
    <xf numFmtId="0" fontId="2" fillId="7" borderId="2" xfId="0" applyNumberFormat="1" applyFont="1" applyFill="1" applyBorder="1" applyAlignment="1">
      <alignment horizontal="center" vertical="center"/>
    </xf>
    <xf numFmtId="0" fontId="2" fillId="7" borderId="20" xfId="0" applyNumberFormat="1" applyFont="1" applyFill="1" applyBorder="1" applyAlignment="1">
      <alignment horizontal="center" vertical="center"/>
    </xf>
    <xf numFmtId="0" fontId="2" fillId="7" borderId="3" xfId="0" applyNumberFormat="1" applyFont="1" applyFill="1" applyBorder="1" applyAlignment="1">
      <alignment horizontal="center" vertical="center"/>
    </xf>
    <xf numFmtId="0" fontId="2" fillId="8" borderId="2" xfId="0" applyNumberFormat="1" applyFont="1" applyFill="1" applyBorder="1" applyAlignment="1">
      <alignment horizontal="center" vertical="center"/>
    </xf>
    <xf numFmtId="0" fontId="2" fillId="8" borderId="20" xfId="0" applyNumberFormat="1" applyFont="1" applyFill="1" applyBorder="1" applyAlignment="1">
      <alignment horizontal="center" vertical="center"/>
    </xf>
    <xf numFmtId="0" fontId="2" fillId="8" borderId="3" xfId="0" applyNumberFormat="1" applyFont="1" applyFill="1" applyBorder="1" applyAlignment="1">
      <alignment horizontal="center" vertical="center"/>
    </xf>
    <xf numFmtId="0" fontId="2" fillId="9" borderId="2" xfId="0" applyNumberFormat="1" applyFont="1" applyFill="1" applyBorder="1" applyAlignment="1">
      <alignment horizontal="center" vertical="center"/>
    </xf>
    <xf numFmtId="0" fontId="2" fillId="9" borderId="20" xfId="0" applyNumberFormat="1" applyFont="1" applyFill="1" applyBorder="1" applyAlignment="1">
      <alignment horizontal="center" vertical="center"/>
    </xf>
    <xf numFmtId="0" fontId="2" fillId="9" borderId="3" xfId="0" applyNumberFormat="1" applyFont="1" applyFill="1" applyBorder="1" applyAlignment="1">
      <alignment horizontal="center" vertical="center"/>
    </xf>
    <xf numFmtId="0" fontId="2" fillId="10" borderId="2" xfId="0" applyNumberFormat="1" applyFont="1" applyFill="1" applyBorder="1" applyAlignment="1">
      <alignment horizontal="center" vertical="center"/>
    </xf>
    <xf numFmtId="0" fontId="2" fillId="10" borderId="20" xfId="0" applyNumberFormat="1" applyFont="1" applyFill="1" applyBorder="1" applyAlignment="1">
      <alignment horizontal="center" vertical="center"/>
    </xf>
    <xf numFmtId="0" fontId="2" fillId="1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20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 vertical="center"/>
    </xf>
    <xf numFmtId="0" fontId="6" fillId="11" borderId="28" xfId="0" applyNumberFormat="1" applyFont="1" applyFill="1" applyBorder="1" applyAlignment="1">
      <alignment horizontal="center" vertical="center" wrapText="1"/>
    </xf>
    <xf numFmtId="166" fontId="7" fillId="12" borderId="29" xfId="0" applyNumberFormat="1" applyFont="1" applyFill="1" applyBorder="1" applyAlignment="1">
      <alignment horizontal="center" vertical="center"/>
    </xf>
    <xf numFmtId="0" fontId="7" fillId="12" borderId="29" xfId="0" applyNumberFormat="1" applyFont="1" applyFill="1" applyBorder="1" applyAlignment="1">
      <alignment horizontal="left" vertical="center"/>
    </xf>
    <xf numFmtId="3" fontId="7" fillId="12" borderId="29" xfId="0" applyNumberFormat="1" applyFont="1" applyFill="1" applyBorder="1" applyAlignment="1">
      <alignment horizontal="center" vertical="center"/>
    </xf>
    <xf numFmtId="4" fontId="7" fillId="12" borderId="29" xfId="0" applyNumberFormat="1" applyFont="1" applyFill="1" applyBorder="1" applyAlignment="1">
      <alignment horizontal="center" vertical="center"/>
    </xf>
    <xf numFmtId="0" fontId="7" fillId="12" borderId="29" xfId="0" applyNumberFormat="1" applyFont="1" applyFill="1" applyBorder="1" applyAlignment="1">
      <alignment horizontal="center" vertical="center"/>
    </xf>
    <xf numFmtId="166" fontId="0" fillId="13" borderId="29" xfId="0" applyNumberFormat="1" applyFont="1" applyFill="1" applyBorder="1" applyAlignment="1">
      <alignment horizontal="center" vertical="center"/>
    </xf>
    <xf numFmtId="0" fontId="0" fillId="13" borderId="29" xfId="0" applyNumberFormat="1" applyFont="1" applyFill="1" applyBorder="1" applyAlignment="1">
      <alignment horizontal="left" vertical="center"/>
    </xf>
    <xf numFmtId="3" fontId="0" fillId="13" borderId="29" xfId="0" applyNumberFormat="1" applyFont="1" applyFill="1" applyBorder="1" applyAlignment="1">
      <alignment horizontal="center" vertical="center"/>
    </xf>
    <xf numFmtId="4" fontId="0" fillId="13" borderId="29" xfId="0" applyNumberFormat="1" applyFont="1" applyFill="1" applyBorder="1" applyAlignment="1">
      <alignment horizontal="center" vertical="center"/>
    </xf>
    <xf numFmtId="0" fontId="0" fillId="13" borderId="29" xfId="0" applyNumberFormat="1" applyFont="1" applyFill="1" applyBorder="1" applyAlignment="1">
      <alignment horizontal="center" vertical="center"/>
    </xf>
    <xf numFmtId="166" fontId="0" fillId="0" borderId="29" xfId="0" applyNumberFormat="1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>
      <alignment horizontal="left" vertical="center"/>
    </xf>
    <xf numFmtId="3" fontId="0" fillId="0" borderId="29" xfId="0" applyNumberFormat="1" applyFont="1" applyFill="1" applyBorder="1" applyAlignment="1">
      <alignment horizontal="center" vertical="center"/>
    </xf>
    <xf numFmtId="4" fontId="0" fillId="0" borderId="29" xfId="0" applyNumberFormat="1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center" vertical="center"/>
    </xf>
    <xf numFmtId="3" fontId="10" fillId="14" borderId="0" xfId="0" applyNumberFormat="1" applyFont="1" applyFill="1" applyBorder="1" applyAlignment="1">
      <alignment horizontal="left" vertical="center"/>
    </xf>
    <xf numFmtId="9" fontId="10" fillId="14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166" fontId="9" fillId="0" borderId="0" xfId="0" applyNumberFormat="1" applyFont="1" applyFill="1" applyBorder="1" applyAlignment="1">
      <alignment horizontal="center" vertical="center"/>
    </xf>
    <xf numFmtId="1" fontId="10" fillId="14" borderId="0" xfId="0" applyNumberFormat="1" applyFont="1" applyFill="1" applyBorder="1" applyAlignment="1">
      <alignment horizontal="left" vertical="center"/>
    </xf>
    <xf numFmtId="0" fontId="11" fillId="11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3" fontId="13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center" vertical="center"/>
    </xf>
    <xf numFmtId="167" fontId="9" fillId="0" borderId="0" xfId="0" applyNumberFormat="1" applyFont="1" applyFill="1" applyBorder="1" applyAlignment="1">
      <alignment horizontal="center" vertical="center"/>
    </xf>
    <xf numFmtId="3" fontId="9" fillId="0" borderId="0" xfId="0" applyNumberFormat="1" applyFont="1" applyFill="1" applyBorder="1" applyAlignment="1">
      <alignment horizontal="center" vertical="center"/>
    </xf>
    <xf numFmtId="4" fontId="9" fillId="0" borderId="0" xfId="0" applyNumberFormat="1" applyFont="1" applyFill="1" applyBorder="1" applyAlignment="1">
      <alignment horizontal="center" vertical="center"/>
    </xf>
    <xf numFmtId="168" fontId="9" fillId="0" borderId="0" xfId="0" applyNumberFormat="1" applyFont="1" applyFill="1" applyBorder="1" applyAlignment="1">
      <alignment horizontal="center" vertical="center"/>
    </xf>
    <xf numFmtId="169" fontId="9" fillId="0" borderId="0" xfId="0" applyNumberFormat="1" applyFont="1" applyFill="1" applyBorder="1" applyAlignment="1">
      <alignment horizontal="center" vertical="center"/>
    </xf>
    <xf numFmtId="165" fontId="9" fillId="0" borderId="0" xfId="0" applyNumberFormat="1" applyFont="1" applyFill="1" applyBorder="1" applyAlignment="1">
      <alignment horizontal="center" vertical="center"/>
    </xf>
    <xf numFmtId="9" fontId="9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left" vertical="center"/>
    </xf>
    <xf numFmtId="3" fontId="10" fillId="14" borderId="0" xfId="0" applyNumberFormat="1" applyFont="1" applyFill="1" applyBorder="1" applyAlignment="1">
      <alignment horizontal="center" vertical="center"/>
    </xf>
    <xf numFmtId="9" fontId="10" fillId="14" borderId="0" xfId="0" applyNumberFormat="1" applyFont="1" applyFill="1" applyBorder="1" applyAlignment="1">
      <alignment horizontal="center" vertical="center"/>
    </xf>
    <xf numFmtId="0" fontId="4" fillId="15" borderId="30" xfId="0" applyNumberFormat="1" applyFont="1" applyFill="1" applyBorder="1" applyAlignment="1">
      <alignment horizontal="left" vertical="center"/>
    </xf>
    <xf numFmtId="0" fontId="4" fillId="15" borderId="0" xfId="0" applyNumberFormat="1" applyFont="1" applyFill="1" applyBorder="1" applyAlignment="1">
      <alignment horizontal="left" vertical="center"/>
    </xf>
    <xf numFmtId="3" fontId="4" fillId="15" borderId="30" xfId="0" applyNumberFormat="1" applyFont="1" applyFill="1" applyBorder="1" applyAlignment="1">
      <alignment horizontal="center" vertical="center"/>
    </xf>
    <xf numFmtId="165" fontId="9" fillId="15" borderId="0" xfId="0" applyNumberFormat="1" applyFont="1" applyFill="1" applyBorder="1" applyAlignment="1">
      <alignment horizontal="center" vertical="center"/>
    </xf>
    <xf numFmtId="3" fontId="9" fillId="15" borderId="0" xfId="0" applyNumberFormat="1" applyFont="1" applyFill="1" applyBorder="1" applyAlignment="1">
      <alignment horizontal="center" vertical="center"/>
    </xf>
    <xf numFmtId="169" fontId="9" fillId="15" borderId="0" xfId="0" applyNumberFormat="1" applyFont="1" applyFill="1" applyBorder="1" applyAlignment="1">
      <alignment horizontal="center" vertical="center"/>
    </xf>
    <xf numFmtId="9" fontId="9" fillId="15" borderId="0" xfId="0" applyNumberFormat="1" applyFont="1" applyFill="1" applyBorder="1" applyAlignment="1">
      <alignment horizontal="center" vertical="center"/>
    </xf>
    <xf numFmtId="0" fontId="9" fillId="15" borderId="0" xfId="0" applyNumberFormat="1" applyFont="1" applyFill="1" applyBorder="1" applyAlignment="1">
      <alignment horizontal="center" vertical="center"/>
    </xf>
    <xf numFmtId="165" fontId="4" fillId="15" borderId="30" xfId="0" applyNumberFormat="1" applyFont="1" applyFill="1" applyBorder="1" applyAlignment="1">
      <alignment horizontal="center" vertical="center"/>
    </xf>
    <xf numFmtId="169" fontId="4" fillId="15" borderId="30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/>
    </xf>
    <xf numFmtId="9" fontId="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 indent="1"/>
    </xf>
    <xf numFmtId="0" fontId="16" fillId="0" borderId="0" xfId="0" applyNumberFormat="1" applyFont="1" applyFill="1" applyBorder="1" applyAlignment="1">
      <alignment horizontal="right" vertical="center"/>
    </xf>
    <xf numFmtId="0" fontId="15" fillId="0" borderId="31" xfId="0" applyNumberFormat="1" applyFont="1" applyFill="1" applyBorder="1" applyAlignment="1">
      <alignment horizontal="left" vertical="center"/>
    </xf>
    <xf numFmtId="0" fontId="2" fillId="3" borderId="8" xfId="0" applyNumberFormat="1" applyFont="1" applyFill="1" applyBorder="1" applyAlignment="1">
      <alignment horizontal="center" vertical="center" wrapText="1"/>
    </xf>
    <xf numFmtId="0" fontId="2" fillId="3" borderId="10" xfId="0" applyNumberFormat="1" applyFont="1" applyFill="1" applyBorder="1" applyAlignment="1">
      <alignment horizontal="center" vertical="center" wrapText="1"/>
    </xf>
    <xf numFmtId="0" fontId="2" fillId="3" borderId="9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2" fillId="4" borderId="10" xfId="0" applyNumberFormat="1" applyFont="1" applyFill="1" applyBorder="1" applyAlignment="1">
      <alignment horizontal="center" vertical="center" wrapText="1"/>
    </xf>
    <xf numFmtId="0" fontId="2" fillId="4" borderId="9" xfId="0" applyNumberFormat="1" applyFont="1" applyFill="1" applyBorder="1" applyAlignment="1">
      <alignment horizontal="center" vertical="center" wrapText="1"/>
    </xf>
    <xf numFmtId="0" fontId="2" fillId="7" borderId="14" xfId="0" applyNumberFormat="1" applyFont="1" applyFill="1" applyBorder="1" applyAlignment="1">
      <alignment horizontal="left" vertical="center" indent="1"/>
    </xf>
    <xf numFmtId="0" fontId="2" fillId="7" borderId="32" xfId="0" applyNumberFormat="1" applyFont="1" applyFill="1" applyBorder="1" applyAlignment="1">
      <alignment horizontal="left" vertical="center" indent="1"/>
    </xf>
    <xf numFmtId="3" fontId="2" fillId="7" borderId="14" xfId="0" applyNumberFormat="1" applyFont="1" applyFill="1" applyBorder="1" applyAlignment="1">
      <alignment horizontal="center" vertical="center"/>
    </xf>
    <xf numFmtId="3" fontId="2" fillId="7" borderId="32" xfId="0" applyNumberFormat="1" applyFont="1" applyFill="1" applyBorder="1" applyAlignment="1">
      <alignment horizontal="center" vertical="center"/>
    </xf>
    <xf numFmtId="3" fontId="3" fillId="7" borderId="14" xfId="0" applyNumberFormat="1" applyFont="1" applyFill="1" applyBorder="1" applyAlignment="1">
      <alignment horizontal="center" vertical="center"/>
    </xf>
    <xf numFmtId="3" fontId="3" fillId="7" borderId="32" xfId="0" applyNumberFormat="1" applyFont="1" applyFill="1" applyBorder="1" applyAlignment="1">
      <alignment horizontal="center" vertical="center"/>
    </xf>
    <xf numFmtId="165" fontId="0" fillId="7" borderId="14" xfId="0" applyNumberFormat="1" applyFont="1" applyFill="1" applyBorder="1" applyAlignment="1">
      <alignment horizontal="center" vertical="center"/>
    </xf>
    <xf numFmtId="165" fontId="0" fillId="7" borderId="32" xfId="0" applyNumberFormat="1" applyFont="1" applyFill="1" applyBorder="1" applyAlignment="1">
      <alignment horizontal="center" vertical="center"/>
    </xf>
    <xf numFmtId="3" fontId="0" fillId="7" borderId="14" xfId="0" applyNumberFormat="1" applyFont="1" applyFill="1" applyBorder="1" applyAlignment="1">
      <alignment horizontal="center" vertical="center"/>
    </xf>
    <xf numFmtId="3" fontId="0" fillId="7" borderId="32" xfId="0" applyNumberFormat="1" applyFont="1" applyFill="1" applyBorder="1" applyAlignment="1">
      <alignment horizontal="center" vertical="center"/>
    </xf>
    <xf numFmtId="170" fontId="2" fillId="7" borderId="14" xfId="0" applyNumberFormat="1" applyFont="1" applyFill="1" applyBorder="1" applyAlignment="1">
      <alignment horizontal="center" vertical="center"/>
    </xf>
    <xf numFmtId="170" fontId="2" fillId="7" borderId="32" xfId="0" applyNumberFormat="1" applyFont="1" applyFill="1" applyBorder="1" applyAlignment="1">
      <alignment horizontal="center" vertical="center"/>
    </xf>
    <xf numFmtId="9" fontId="0" fillId="7" borderId="14" xfId="0" applyNumberFormat="1" applyFont="1" applyFill="1" applyBorder="1" applyAlignment="1">
      <alignment horizontal="center" vertical="center"/>
    </xf>
    <xf numFmtId="9" fontId="0" fillId="7" borderId="32" xfId="0" applyNumberFormat="1" applyFont="1" applyFill="1" applyBorder="1" applyAlignment="1">
      <alignment horizontal="center" vertical="center"/>
    </xf>
    <xf numFmtId="0" fontId="4" fillId="7" borderId="14" xfId="0" applyNumberFormat="1" applyFont="1" applyFill="1" applyBorder="1" applyAlignment="1">
      <alignment horizontal="center" vertical="center"/>
    </xf>
    <xf numFmtId="0" fontId="4" fillId="7" borderId="32" xfId="0" applyNumberFormat="1" applyFont="1" applyFill="1" applyBorder="1" applyAlignment="1">
      <alignment horizontal="center" vertical="center"/>
    </xf>
    <xf numFmtId="0" fontId="4" fillId="7" borderId="5" xfId="0" applyNumberFormat="1" applyFont="1" applyFill="1" applyBorder="1" applyAlignment="1">
      <alignment horizontal="center" vertical="center"/>
    </xf>
    <xf numFmtId="0" fontId="2" fillId="7" borderId="33" xfId="0" applyNumberFormat="1" applyFont="1" applyFill="1" applyBorder="1" applyAlignment="1">
      <alignment horizontal="left" vertical="center" indent="1"/>
    </xf>
    <xf numFmtId="0" fontId="2" fillId="7" borderId="34" xfId="0" applyNumberFormat="1" applyFont="1" applyFill="1" applyBorder="1" applyAlignment="1">
      <alignment horizontal="left" vertical="center" indent="1"/>
    </xf>
    <xf numFmtId="3" fontId="2" fillId="7" borderId="33" xfId="0" applyNumberFormat="1" applyFont="1" applyFill="1" applyBorder="1" applyAlignment="1">
      <alignment horizontal="center" vertical="center"/>
    </xf>
    <xf numFmtId="3" fontId="2" fillId="7" borderId="34" xfId="0" applyNumberFormat="1" applyFont="1" applyFill="1" applyBorder="1" applyAlignment="1">
      <alignment horizontal="center" vertical="center"/>
    </xf>
    <xf numFmtId="3" fontId="3" fillId="7" borderId="33" xfId="0" applyNumberFormat="1" applyFont="1" applyFill="1" applyBorder="1" applyAlignment="1">
      <alignment horizontal="center" vertical="center"/>
    </xf>
    <xf numFmtId="3" fontId="3" fillId="7" borderId="34" xfId="0" applyNumberFormat="1" applyFont="1" applyFill="1" applyBorder="1" applyAlignment="1">
      <alignment horizontal="center" vertical="center"/>
    </xf>
    <xf numFmtId="165" fontId="0" fillId="7" borderId="33" xfId="0" applyNumberFormat="1" applyFont="1" applyFill="1" applyBorder="1" applyAlignment="1">
      <alignment horizontal="center" vertical="center"/>
    </xf>
    <xf numFmtId="165" fontId="0" fillId="7" borderId="34" xfId="0" applyNumberFormat="1" applyFont="1" applyFill="1" applyBorder="1" applyAlignment="1">
      <alignment horizontal="center" vertical="center"/>
    </xf>
    <xf numFmtId="3" fontId="0" fillId="7" borderId="33" xfId="0" applyNumberFormat="1" applyFont="1" applyFill="1" applyBorder="1" applyAlignment="1">
      <alignment horizontal="center" vertical="center"/>
    </xf>
    <xf numFmtId="3" fontId="0" fillId="7" borderId="34" xfId="0" applyNumberFormat="1" applyFont="1" applyFill="1" applyBorder="1" applyAlignment="1">
      <alignment horizontal="center" vertical="center"/>
    </xf>
    <xf numFmtId="170" fontId="2" fillId="7" borderId="33" xfId="0" applyNumberFormat="1" applyFont="1" applyFill="1" applyBorder="1" applyAlignment="1">
      <alignment horizontal="center" vertical="center"/>
    </xf>
    <xf numFmtId="170" fontId="2" fillId="7" borderId="34" xfId="0" applyNumberFormat="1" applyFont="1" applyFill="1" applyBorder="1" applyAlignment="1">
      <alignment horizontal="center" vertical="center"/>
    </xf>
    <xf numFmtId="9" fontId="0" fillId="7" borderId="33" xfId="0" applyNumberFormat="1" applyFont="1" applyFill="1" applyBorder="1" applyAlignment="1">
      <alignment horizontal="center" vertical="center"/>
    </xf>
    <xf numFmtId="9" fontId="0" fillId="7" borderId="34" xfId="0" applyNumberFormat="1" applyFont="1" applyFill="1" applyBorder="1" applyAlignment="1">
      <alignment horizontal="center" vertical="center"/>
    </xf>
    <xf numFmtId="0" fontId="4" fillId="7" borderId="33" xfId="0" applyNumberFormat="1" applyFont="1" applyFill="1" applyBorder="1" applyAlignment="1">
      <alignment horizontal="center" vertical="center"/>
    </xf>
    <xf numFmtId="0" fontId="4" fillId="7" borderId="34" xfId="0" applyNumberFormat="1" applyFont="1" applyFill="1" applyBorder="1" applyAlignment="1">
      <alignment horizontal="center" vertical="center"/>
    </xf>
    <xf numFmtId="0" fontId="4" fillId="7" borderId="35" xfId="0" applyNumberFormat="1" applyFont="1" applyFill="1" applyBorder="1" applyAlignment="1">
      <alignment horizontal="center" vertical="center"/>
    </xf>
    <xf numFmtId="0" fontId="2" fillId="7" borderId="36" xfId="0" applyNumberFormat="1" applyFont="1" applyFill="1" applyBorder="1" applyAlignment="1">
      <alignment horizontal="left" vertical="center" indent="1"/>
    </xf>
    <xf numFmtId="0" fontId="2" fillId="7" borderId="37" xfId="0" applyNumberFormat="1" applyFont="1" applyFill="1" applyBorder="1" applyAlignment="1">
      <alignment horizontal="left" vertical="center" indent="1"/>
    </xf>
    <xf numFmtId="3" fontId="2" fillId="7" borderId="36" xfId="0" applyNumberFormat="1" applyFont="1" applyFill="1" applyBorder="1" applyAlignment="1">
      <alignment horizontal="center" vertical="center"/>
    </xf>
    <xf numFmtId="3" fontId="2" fillId="7" borderId="37" xfId="0" applyNumberFormat="1" applyFont="1" applyFill="1" applyBorder="1" applyAlignment="1">
      <alignment horizontal="center" vertical="center"/>
    </xf>
    <xf numFmtId="165" fontId="3" fillId="7" borderId="36" xfId="0" applyNumberFormat="1" applyFont="1" applyFill="1" applyBorder="1" applyAlignment="1">
      <alignment horizontal="center" vertical="center"/>
    </xf>
    <xf numFmtId="165" fontId="3" fillId="7" borderId="37" xfId="0" applyNumberFormat="1" applyFont="1" applyFill="1" applyBorder="1" applyAlignment="1">
      <alignment horizontal="center" vertical="center"/>
    </xf>
    <xf numFmtId="165" fontId="0" fillId="7" borderId="36" xfId="0" applyNumberFormat="1" applyFont="1" applyFill="1" applyBorder="1" applyAlignment="1">
      <alignment horizontal="center" vertical="center"/>
    </xf>
    <xf numFmtId="165" fontId="0" fillId="7" borderId="37" xfId="0" applyNumberFormat="1" applyFont="1" applyFill="1" applyBorder="1" applyAlignment="1">
      <alignment horizontal="center" vertical="center"/>
    </xf>
    <xf numFmtId="170" fontId="2" fillId="7" borderId="36" xfId="0" applyNumberFormat="1" applyFont="1" applyFill="1" applyBorder="1" applyAlignment="1">
      <alignment horizontal="center" vertical="center"/>
    </xf>
    <xf numFmtId="170" fontId="2" fillId="7" borderId="37" xfId="0" applyNumberFormat="1" applyFont="1" applyFill="1" applyBorder="1" applyAlignment="1">
      <alignment horizontal="center" vertical="center"/>
    </xf>
    <xf numFmtId="9" fontId="0" fillId="7" borderId="36" xfId="0" applyNumberFormat="1" applyFont="1" applyFill="1" applyBorder="1" applyAlignment="1">
      <alignment horizontal="center" vertical="center"/>
    </xf>
    <xf numFmtId="9" fontId="0" fillId="7" borderId="37" xfId="0" applyNumberFormat="1" applyFont="1" applyFill="1" applyBorder="1" applyAlignment="1">
      <alignment horizontal="center" vertical="center"/>
    </xf>
    <xf numFmtId="0" fontId="4" fillId="7" borderId="36" xfId="0" applyNumberFormat="1" applyFont="1" applyFill="1" applyBorder="1" applyAlignment="1">
      <alignment horizontal="center" vertical="center"/>
    </xf>
    <xf numFmtId="0" fontId="4" fillId="7" borderId="37" xfId="0" applyNumberFormat="1" applyFont="1" applyFill="1" applyBorder="1" applyAlignment="1">
      <alignment horizontal="center" vertical="center"/>
    </xf>
    <xf numFmtId="0" fontId="4" fillId="7" borderId="38" xfId="0" applyNumberFormat="1" applyFont="1" applyFill="1" applyBorder="1" applyAlignment="1">
      <alignment horizontal="center" vertical="center"/>
    </xf>
    <xf numFmtId="0" fontId="2" fillId="8" borderId="14" xfId="0" applyNumberFormat="1" applyFont="1" applyFill="1" applyBorder="1" applyAlignment="1">
      <alignment horizontal="left" vertical="center" indent="1"/>
    </xf>
    <xf numFmtId="0" fontId="2" fillId="8" borderId="32" xfId="0" applyNumberFormat="1" applyFont="1" applyFill="1" applyBorder="1" applyAlignment="1">
      <alignment horizontal="left" vertical="center" indent="1"/>
    </xf>
    <xf numFmtId="3" fontId="2" fillId="8" borderId="14" xfId="0" applyNumberFormat="1" applyFont="1" applyFill="1" applyBorder="1" applyAlignment="1">
      <alignment horizontal="center" vertical="center"/>
    </xf>
    <xf numFmtId="3" fontId="2" fillId="8" borderId="32" xfId="0" applyNumberFormat="1" applyFont="1" applyFill="1" applyBorder="1" applyAlignment="1">
      <alignment horizontal="center" vertical="center"/>
    </xf>
    <xf numFmtId="3" fontId="3" fillId="8" borderId="14" xfId="0" applyNumberFormat="1" applyFont="1" applyFill="1" applyBorder="1" applyAlignment="1">
      <alignment horizontal="center" vertical="center"/>
    </xf>
    <xf numFmtId="3" fontId="3" fillId="8" borderId="32" xfId="0" applyNumberFormat="1" applyFont="1" applyFill="1" applyBorder="1" applyAlignment="1">
      <alignment horizontal="center" vertical="center"/>
    </xf>
    <xf numFmtId="165" fontId="0" fillId="8" borderId="14" xfId="0" applyNumberFormat="1" applyFont="1" applyFill="1" applyBorder="1" applyAlignment="1">
      <alignment horizontal="center" vertical="center"/>
    </xf>
    <xf numFmtId="165" fontId="0" fillId="8" borderId="32" xfId="0" applyNumberFormat="1" applyFont="1" applyFill="1" applyBorder="1" applyAlignment="1">
      <alignment horizontal="center" vertical="center"/>
    </xf>
    <xf numFmtId="3" fontId="0" fillId="8" borderId="14" xfId="0" applyNumberFormat="1" applyFont="1" applyFill="1" applyBorder="1" applyAlignment="1">
      <alignment horizontal="center" vertical="center"/>
    </xf>
    <xf numFmtId="3" fontId="0" fillId="8" borderId="32" xfId="0" applyNumberFormat="1" applyFont="1" applyFill="1" applyBorder="1" applyAlignment="1">
      <alignment horizontal="center" vertical="center"/>
    </xf>
    <xf numFmtId="170" fontId="2" fillId="8" borderId="14" xfId="0" applyNumberFormat="1" applyFont="1" applyFill="1" applyBorder="1" applyAlignment="1">
      <alignment horizontal="center" vertical="center"/>
    </xf>
    <xf numFmtId="170" fontId="2" fillId="8" borderId="32" xfId="0" applyNumberFormat="1" applyFont="1" applyFill="1" applyBorder="1" applyAlignment="1">
      <alignment horizontal="center" vertical="center"/>
    </xf>
    <xf numFmtId="9" fontId="0" fillId="8" borderId="14" xfId="0" applyNumberFormat="1" applyFont="1" applyFill="1" applyBorder="1" applyAlignment="1">
      <alignment horizontal="center" vertical="center"/>
    </xf>
    <xf numFmtId="9" fontId="0" fillId="8" borderId="32" xfId="0" applyNumberFormat="1" applyFont="1" applyFill="1" applyBorder="1" applyAlignment="1">
      <alignment horizontal="center" vertical="center"/>
    </xf>
    <xf numFmtId="0" fontId="4" fillId="8" borderId="14" xfId="0" applyNumberFormat="1" applyFont="1" applyFill="1" applyBorder="1" applyAlignment="1">
      <alignment horizontal="center" vertical="center"/>
    </xf>
    <xf numFmtId="0" fontId="4" fillId="8" borderId="32" xfId="0" applyNumberFormat="1" applyFont="1" applyFill="1" applyBorder="1" applyAlignment="1">
      <alignment horizontal="center" vertical="center"/>
    </xf>
    <xf numFmtId="0" fontId="4" fillId="8" borderId="5" xfId="0" applyNumberFormat="1" applyFont="1" applyFill="1" applyBorder="1" applyAlignment="1">
      <alignment horizontal="center" vertical="center"/>
    </xf>
    <xf numFmtId="0" fontId="2" fillId="8" borderId="33" xfId="0" applyNumberFormat="1" applyFont="1" applyFill="1" applyBorder="1" applyAlignment="1">
      <alignment horizontal="left" vertical="center" indent="1"/>
    </xf>
    <xf numFmtId="0" fontId="2" fillId="8" borderId="34" xfId="0" applyNumberFormat="1" applyFont="1" applyFill="1" applyBorder="1" applyAlignment="1">
      <alignment horizontal="left" vertical="center" indent="1"/>
    </xf>
    <xf numFmtId="3" fontId="2" fillId="8" borderId="33" xfId="0" applyNumberFormat="1" applyFont="1" applyFill="1" applyBorder="1" applyAlignment="1">
      <alignment horizontal="center" vertical="center"/>
    </xf>
    <xf numFmtId="3" fontId="2" fillId="8" borderId="34" xfId="0" applyNumberFormat="1" applyFont="1" applyFill="1" applyBorder="1" applyAlignment="1">
      <alignment horizontal="center" vertical="center"/>
    </xf>
    <xf numFmtId="3" fontId="3" fillId="8" borderId="33" xfId="0" applyNumberFormat="1" applyFont="1" applyFill="1" applyBorder="1" applyAlignment="1">
      <alignment horizontal="center" vertical="center"/>
    </xf>
    <xf numFmtId="3" fontId="3" fillId="8" borderId="34" xfId="0" applyNumberFormat="1" applyFont="1" applyFill="1" applyBorder="1" applyAlignment="1">
      <alignment horizontal="center" vertical="center"/>
    </xf>
    <xf numFmtId="165" fontId="0" fillId="8" borderId="33" xfId="0" applyNumberFormat="1" applyFont="1" applyFill="1" applyBorder="1" applyAlignment="1">
      <alignment horizontal="center" vertical="center"/>
    </xf>
    <xf numFmtId="165" fontId="0" fillId="8" borderId="34" xfId="0" applyNumberFormat="1" applyFont="1" applyFill="1" applyBorder="1" applyAlignment="1">
      <alignment horizontal="center" vertical="center"/>
    </xf>
    <xf numFmtId="3" fontId="0" fillId="8" borderId="33" xfId="0" applyNumberFormat="1" applyFont="1" applyFill="1" applyBorder="1" applyAlignment="1">
      <alignment horizontal="center" vertical="center"/>
    </xf>
    <xf numFmtId="3" fontId="0" fillId="8" borderId="34" xfId="0" applyNumberFormat="1" applyFont="1" applyFill="1" applyBorder="1" applyAlignment="1">
      <alignment horizontal="center" vertical="center"/>
    </xf>
    <xf numFmtId="170" fontId="2" fillId="8" borderId="33" xfId="0" applyNumberFormat="1" applyFont="1" applyFill="1" applyBorder="1" applyAlignment="1">
      <alignment horizontal="center" vertical="center"/>
    </xf>
    <xf numFmtId="170" fontId="2" fillId="8" borderId="34" xfId="0" applyNumberFormat="1" applyFont="1" applyFill="1" applyBorder="1" applyAlignment="1">
      <alignment horizontal="center" vertical="center"/>
    </xf>
    <xf numFmtId="9" fontId="0" fillId="8" borderId="33" xfId="0" applyNumberFormat="1" applyFont="1" applyFill="1" applyBorder="1" applyAlignment="1">
      <alignment horizontal="center" vertical="center"/>
    </xf>
    <xf numFmtId="9" fontId="0" fillId="8" borderId="34" xfId="0" applyNumberFormat="1" applyFont="1" applyFill="1" applyBorder="1" applyAlignment="1">
      <alignment horizontal="center" vertical="center"/>
    </xf>
    <xf numFmtId="0" fontId="4" fillId="8" borderId="33" xfId="0" applyNumberFormat="1" applyFont="1" applyFill="1" applyBorder="1" applyAlignment="1">
      <alignment horizontal="center" vertical="center"/>
    </xf>
    <xf numFmtId="0" fontId="4" fillId="8" borderId="34" xfId="0" applyNumberFormat="1" applyFont="1" applyFill="1" applyBorder="1" applyAlignment="1">
      <alignment horizontal="center" vertical="center"/>
    </xf>
    <xf numFmtId="0" fontId="4" fillId="8" borderId="35" xfId="0" applyNumberFormat="1" applyFont="1" applyFill="1" applyBorder="1" applyAlignment="1">
      <alignment horizontal="center" vertical="center"/>
    </xf>
    <xf numFmtId="0" fontId="2" fillId="8" borderId="36" xfId="0" applyNumberFormat="1" applyFont="1" applyFill="1" applyBorder="1" applyAlignment="1">
      <alignment horizontal="left" vertical="center" indent="1"/>
    </xf>
    <xf numFmtId="0" fontId="2" fillId="8" borderId="37" xfId="0" applyNumberFormat="1" applyFont="1" applyFill="1" applyBorder="1" applyAlignment="1">
      <alignment horizontal="left" vertical="center" indent="1"/>
    </xf>
    <xf numFmtId="3" fontId="2" fillId="8" borderId="36" xfId="0" applyNumberFormat="1" applyFont="1" applyFill="1" applyBorder="1" applyAlignment="1">
      <alignment horizontal="center" vertical="center"/>
    </xf>
    <xf numFmtId="3" fontId="2" fillId="8" borderId="37" xfId="0" applyNumberFormat="1" applyFont="1" applyFill="1" applyBorder="1" applyAlignment="1">
      <alignment horizontal="center" vertical="center"/>
    </xf>
    <xf numFmtId="165" fontId="3" fillId="8" borderId="36" xfId="0" applyNumberFormat="1" applyFont="1" applyFill="1" applyBorder="1" applyAlignment="1">
      <alignment horizontal="center" vertical="center"/>
    </xf>
    <xf numFmtId="165" fontId="3" fillId="8" borderId="37" xfId="0" applyNumberFormat="1" applyFont="1" applyFill="1" applyBorder="1" applyAlignment="1">
      <alignment horizontal="center" vertical="center"/>
    </xf>
    <xf numFmtId="165" fontId="0" fillId="8" borderId="36" xfId="0" applyNumberFormat="1" applyFont="1" applyFill="1" applyBorder="1" applyAlignment="1">
      <alignment horizontal="center" vertical="center"/>
    </xf>
    <xf numFmtId="165" fontId="0" fillId="8" borderId="37" xfId="0" applyNumberFormat="1" applyFont="1" applyFill="1" applyBorder="1" applyAlignment="1">
      <alignment horizontal="center" vertical="center"/>
    </xf>
    <xf numFmtId="170" fontId="2" fillId="8" borderId="36" xfId="0" applyNumberFormat="1" applyFont="1" applyFill="1" applyBorder="1" applyAlignment="1">
      <alignment horizontal="center" vertical="center"/>
    </xf>
    <xf numFmtId="170" fontId="2" fillId="8" borderId="37" xfId="0" applyNumberFormat="1" applyFont="1" applyFill="1" applyBorder="1" applyAlignment="1">
      <alignment horizontal="center" vertical="center"/>
    </xf>
    <xf numFmtId="9" fontId="0" fillId="8" borderId="36" xfId="0" applyNumberFormat="1" applyFont="1" applyFill="1" applyBorder="1" applyAlignment="1">
      <alignment horizontal="center" vertical="center"/>
    </xf>
    <xf numFmtId="9" fontId="0" fillId="8" borderId="37" xfId="0" applyNumberFormat="1" applyFont="1" applyFill="1" applyBorder="1" applyAlignment="1">
      <alignment horizontal="center" vertical="center"/>
    </xf>
    <xf numFmtId="0" fontId="4" fillId="8" borderId="36" xfId="0" applyNumberFormat="1" applyFont="1" applyFill="1" applyBorder="1" applyAlignment="1">
      <alignment horizontal="center" vertical="center"/>
    </xf>
    <xf numFmtId="0" fontId="4" fillId="8" borderId="37" xfId="0" applyNumberFormat="1" applyFont="1" applyFill="1" applyBorder="1" applyAlignment="1">
      <alignment horizontal="center" vertical="center"/>
    </xf>
    <xf numFmtId="0" fontId="4" fillId="8" borderId="38" xfId="0" applyNumberFormat="1" applyFont="1" applyFill="1" applyBorder="1" applyAlignment="1">
      <alignment horizontal="center" vertical="center"/>
    </xf>
    <xf numFmtId="0" fontId="2" fillId="9" borderId="14" xfId="0" applyNumberFormat="1" applyFont="1" applyFill="1" applyBorder="1" applyAlignment="1">
      <alignment horizontal="left" vertical="center" indent="1"/>
    </xf>
    <xf numFmtId="0" fontId="2" fillId="9" borderId="32" xfId="0" applyNumberFormat="1" applyFont="1" applyFill="1" applyBorder="1" applyAlignment="1">
      <alignment horizontal="left" vertical="center" indent="1"/>
    </xf>
    <xf numFmtId="3" fontId="2" fillId="9" borderId="14" xfId="0" applyNumberFormat="1" applyFont="1" applyFill="1" applyBorder="1" applyAlignment="1">
      <alignment horizontal="center" vertical="center"/>
    </xf>
    <xf numFmtId="3" fontId="2" fillId="9" borderId="32" xfId="0" applyNumberFormat="1" applyFont="1" applyFill="1" applyBorder="1" applyAlignment="1">
      <alignment horizontal="center" vertical="center"/>
    </xf>
    <xf numFmtId="3" fontId="3" fillId="9" borderId="14" xfId="0" applyNumberFormat="1" applyFont="1" applyFill="1" applyBorder="1" applyAlignment="1">
      <alignment horizontal="center" vertical="center"/>
    </xf>
    <xf numFmtId="3" fontId="3" fillId="9" borderId="32" xfId="0" applyNumberFormat="1" applyFont="1" applyFill="1" applyBorder="1" applyAlignment="1">
      <alignment horizontal="center" vertical="center"/>
    </xf>
    <xf numFmtId="165" fontId="0" fillId="9" borderId="14" xfId="0" applyNumberFormat="1" applyFont="1" applyFill="1" applyBorder="1" applyAlignment="1">
      <alignment horizontal="center" vertical="center"/>
    </xf>
    <xf numFmtId="165" fontId="0" fillId="9" borderId="32" xfId="0" applyNumberFormat="1" applyFont="1" applyFill="1" applyBorder="1" applyAlignment="1">
      <alignment horizontal="center" vertical="center"/>
    </xf>
    <xf numFmtId="3" fontId="0" fillId="9" borderId="14" xfId="0" applyNumberFormat="1" applyFont="1" applyFill="1" applyBorder="1" applyAlignment="1">
      <alignment horizontal="center" vertical="center"/>
    </xf>
    <xf numFmtId="3" fontId="0" fillId="9" borderId="32" xfId="0" applyNumberFormat="1" applyFont="1" applyFill="1" applyBorder="1" applyAlignment="1">
      <alignment horizontal="center" vertical="center"/>
    </xf>
    <xf numFmtId="170" fontId="2" fillId="9" borderId="14" xfId="0" applyNumberFormat="1" applyFont="1" applyFill="1" applyBorder="1" applyAlignment="1">
      <alignment horizontal="center" vertical="center"/>
    </xf>
    <xf numFmtId="170" fontId="2" fillId="9" borderId="32" xfId="0" applyNumberFormat="1" applyFont="1" applyFill="1" applyBorder="1" applyAlignment="1">
      <alignment horizontal="center" vertical="center"/>
    </xf>
    <xf numFmtId="9" fontId="0" fillId="9" borderId="14" xfId="0" applyNumberFormat="1" applyFont="1" applyFill="1" applyBorder="1" applyAlignment="1">
      <alignment horizontal="center" vertical="center"/>
    </xf>
    <xf numFmtId="9" fontId="0" fillId="9" borderId="32" xfId="0" applyNumberFormat="1" applyFont="1" applyFill="1" applyBorder="1" applyAlignment="1">
      <alignment horizontal="center" vertical="center"/>
    </xf>
    <xf numFmtId="0" fontId="4" fillId="9" borderId="14" xfId="0" applyNumberFormat="1" applyFont="1" applyFill="1" applyBorder="1" applyAlignment="1">
      <alignment horizontal="center" vertical="center"/>
    </xf>
    <xf numFmtId="0" fontId="4" fillId="9" borderId="32" xfId="0" applyNumberFormat="1" applyFont="1" applyFill="1" applyBorder="1" applyAlignment="1">
      <alignment horizontal="center" vertical="center"/>
    </xf>
    <xf numFmtId="0" fontId="4" fillId="9" borderId="5" xfId="0" applyNumberFormat="1" applyFont="1" applyFill="1" applyBorder="1" applyAlignment="1">
      <alignment horizontal="center" vertical="center"/>
    </xf>
    <xf numFmtId="0" fontId="2" fillId="9" borderId="33" xfId="0" applyNumberFormat="1" applyFont="1" applyFill="1" applyBorder="1" applyAlignment="1">
      <alignment horizontal="left" vertical="center" indent="1"/>
    </xf>
    <xf numFmtId="0" fontId="2" fillId="9" borderId="34" xfId="0" applyNumberFormat="1" applyFont="1" applyFill="1" applyBorder="1" applyAlignment="1">
      <alignment horizontal="left" vertical="center" indent="1"/>
    </xf>
    <xf numFmtId="3" fontId="2" fillId="9" borderId="33" xfId="0" applyNumberFormat="1" applyFont="1" applyFill="1" applyBorder="1" applyAlignment="1">
      <alignment horizontal="center" vertical="center"/>
    </xf>
    <xf numFmtId="3" fontId="2" fillId="9" borderId="34" xfId="0" applyNumberFormat="1" applyFont="1" applyFill="1" applyBorder="1" applyAlignment="1">
      <alignment horizontal="center" vertical="center"/>
    </xf>
    <xf numFmtId="3" fontId="3" fillId="9" borderId="33" xfId="0" applyNumberFormat="1" applyFont="1" applyFill="1" applyBorder="1" applyAlignment="1">
      <alignment horizontal="center" vertical="center"/>
    </xf>
    <xf numFmtId="3" fontId="3" fillId="9" borderId="34" xfId="0" applyNumberFormat="1" applyFont="1" applyFill="1" applyBorder="1" applyAlignment="1">
      <alignment horizontal="center" vertical="center"/>
    </xf>
    <xf numFmtId="165" fontId="0" fillId="9" borderId="33" xfId="0" applyNumberFormat="1" applyFont="1" applyFill="1" applyBorder="1" applyAlignment="1">
      <alignment horizontal="center" vertical="center"/>
    </xf>
    <xf numFmtId="165" fontId="0" fillId="9" borderId="34" xfId="0" applyNumberFormat="1" applyFont="1" applyFill="1" applyBorder="1" applyAlignment="1">
      <alignment horizontal="center" vertical="center"/>
    </xf>
    <xf numFmtId="3" fontId="0" fillId="9" borderId="33" xfId="0" applyNumberFormat="1" applyFont="1" applyFill="1" applyBorder="1" applyAlignment="1">
      <alignment horizontal="center" vertical="center"/>
    </xf>
    <xf numFmtId="3" fontId="0" fillId="9" borderId="34" xfId="0" applyNumberFormat="1" applyFont="1" applyFill="1" applyBorder="1" applyAlignment="1">
      <alignment horizontal="center" vertical="center"/>
    </xf>
    <xf numFmtId="170" fontId="2" fillId="9" borderId="33" xfId="0" applyNumberFormat="1" applyFont="1" applyFill="1" applyBorder="1" applyAlignment="1">
      <alignment horizontal="center" vertical="center"/>
    </xf>
    <xf numFmtId="170" fontId="2" fillId="9" borderId="34" xfId="0" applyNumberFormat="1" applyFont="1" applyFill="1" applyBorder="1" applyAlignment="1">
      <alignment horizontal="center" vertical="center"/>
    </xf>
    <xf numFmtId="9" fontId="0" fillId="9" borderId="33" xfId="0" applyNumberFormat="1" applyFont="1" applyFill="1" applyBorder="1" applyAlignment="1">
      <alignment horizontal="center" vertical="center"/>
    </xf>
    <xf numFmtId="9" fontId="0" fillId="9" borderId="34" xfId="0" applyNumberFormat="1" applyFont="1" applyFill="1" applyBorder="1" applyAlignment="1">
      <alignment horizontal="center" vertical="center"/>
    </xf>
    <xf numFmtId="0" fontId="4" fillId="9" borderId="33" xfId="0" applyNumberFormat="1" applyFont="1" applyFill="1" applyBorder="1" applyAlignment="1">
      <alignment horizontal="center" vertical="center"/>
    </xf>
    <xf numFmtId="0" fontId="4" fillId="9" borderId="34" xfId="0" applyNumberFormat="1" applyFont="1" applyFill="1" applyBorder="1" applyAlignment="1">
      <alignment horizontal="center" vertical="center"/>
    </xf>
    <xf numFmtId="0" fontId="4" fillId="9" borderId="35" xfId="0" applyNumberFormat="1" applyFont="1" applyFill="1" applyBorder="1" applyAlignment="1">
      <alignment horizontal="center" vertical="center"/>
    </xf>
    <xf numFmtId="0" fontId="2" fillId="9" borderId="36" xfId="0" applyNumberFormat="1" applyFont="1" applyFill="1" applyBorder="1" applyAlignment="1">
      <alignment horizontal="left" vertical="center" indent="1"/>
    </xf>
    <xf numFmtId="0" fontId="2" fillId="9" borderId="37" xfId="0" applyNumberFormat="1" applyFont="1" applyFill="1" applyBorder="1" applyAlignment="1">
      <alignment horizontal="left" vertical="center" indent="1"/>
    </xf>
    <xf numFmtId="3" fontId="2" fillId="9" borderId="36" xfId="0" applyNumberFormat="1" applyFont="1" applyFill="1" applyBorder="1" applyAlignment="1">
      <alignment horizontal="center" vertical="center"/>
    </xf>
    <xf numFmtId="3" fontId="2" fillId="9" borderId="37" xfId="0" applyNumberFormat="1" applyFont="1" applyFill="1" applyBorder="1" applyAlignment="1">
      <alignment horizontal="center" vertical="center"/>
    </xf>
    <xf numFmtId="3" fontId="3" fillId="9" borderId="36" xfId="0" applyNumberFormat="1" applyFont="1" applyFill="1" applyBorder="1" applyAlignment="1">
      <alignment horizontal="center" vertical="center"/>
    </xf>
    <xf numFmtId="3" fontId="3" fillId="9" borderId="37" xfId="0" applyNumberFormat="1" applyFont="1" applyFill="1" applyBorder="1" applyAlignment="1">
      <alignment horizontal="center" vertical="center"/>
    </xf>
    <xf numFmtId="165" fontId="0" fillId="9" borderId="36" xfId="0" applyNumberFormat="1" applyFont="1" applyFill="1" applyBorder="1" applyAlignment="1">
      <alignment horizontal="center" vertical="center"/>
    </xf>
    <xf numFmtId="165" fontId="0" fillId="9" borderId="37" xfId="0" applyNumberFormat="1" applyFont="1" applyFill="1" applyBorder="1" applyAlignment="1">
      <alignment horizontal="center" vertical="center"/>
    </xf>
    <xf numFmtId="3" fontId="0" fillId="9" borderId="36" xfId="0" applyNumberFormat="1" applyFont="1" applyFill="1" applyBorder="1" applyAlignment="1">
      <alignment horizontal="center" vertical="center"/>
    </xf>
    <xf numFmtId="3" fontId="0" fillId="9" borderId="37" xfId="0" applyNumberFormat="1" applyFont="1" applyFill="1" applyBorder="1" applyAlignment="1">
      <alignment horizontal="center" vertical="center"/>
    </xf>
    <xf numFmtId="170" fontId="2" fillId="9" borderId="36" xfId="0" applyNumberFormat="1" applyFont="1" applyFill="1" applyBorder="1" applyAlignment="1">
      <alignment horizontal="center" vertical="center"/>
    </xf>
    <xf numFmtId="170" fontId="2" fillId="9" borderId="37" xfId="0" applyNumberFormat="1" applyFont="1" applyFill="1" applyBorder="1" applyAlignment="1">
      <alignment horizontal="center" vertical="center"/>
    </xf>
    <xf numFmtId="9" fontId="0" fillId="9" borderId="36" xfId="0" applyNumberFormat="1" applyFont="1" applyFill="1" applyBorder="1" applyAlignment="1">
      <alignment horizontal="center" vertical="center"/>
    </xf>
    <xf numFmtId="9" fontId="0" fillId="9" borderId="37" xfId="0" applyNumberFormat="1" applyFont="1" applyFill="1" applyBorder="1" applyAlignment="1">
      <alignment horizontal="center" vertical="center"/>
    </xf>
    <xf numFmtId="0" fontId="4" fillId="9" borderId="36" xfId="0" applyNumberFormat="1" applyFont="1" applyFill="1" applyBorder="1" applyAlignment="1">
      <alignment horizontal="center" vertical="center"/>
    </xf>
    <xf numFmtId="0" fontId="4" fillId="9" borderId="37" xfId="0" applyNumberFormat="1" applyFont="1" applyFill="1" applyBorder="1" applyAlignment="1">
      <alignment horizontal="center" vertical="center"/>
    </xf>
    <xf numFmtId="0" fontId="4" fillId="9" borderId="38" xfId="0" applyNumberFormat="1" applyFont="1" applyFill="1" applyBorder="1" applyAlignment="1">
      <alignment horizontal="center" vertical="center"/>
    </xf>
    <xf numFmtId="168" fontId="3" fillId="7" borderId="14" xfId="0" applyNumberFormat="1" applyFont="1" applyFill="1" applyBorder="1" applyAlignment="1">
      <alignment horizontal="center" vertical="center"/>
    </xf>
    <xf numFmtId="168" fontId="3" fillId="7" borderId="32" xfId="0" applyNumberFormat="1" applyFont="1" applyFill="1" applyBorder="1" applyAlignment="1">
      <alignment horizontal="center" vertical="center"/>
    </xf>
    <xf numFmtId="168" fontId="0" fillId="7" borderId="14" xfId="0" applyNumberFormat="1" applyFont="1" applyFill="1" applyBorder="1" applyAlignment="1">
      <alignment horizontal="center" vertical="center"/>
    </xf>
    <xf numFmtId="168" fontId="0" fillId="7" borderId="32" xfId="0" applyNumberFormat="1" applyFont="1" applyFill="1" applyBorder="1" applyAlignment="1">
      <alignment horizontal="center" vertical="center"/>
    </xf>
    <xf numFmtId="9" fontId="2" fillId="7" borderId="36" xfId="0" applyNumberFormat="1" applyFont="1" applyFill="1" applyBorder="1" applyAlignment="1">
      <alignment horizontal="center" vertical="center"/>
    </xf>
    <xf numFmtId="9" fontId="2" fillId="7" borderId="37" xfId="0" applyNumberFormat="1" applyFont="1" applyFill="1" applyBorder="1" applyAlignment="1">
      <alignment horizontal="center" vertical="center"/>
    </xf>
    <xf numFmtId="169" fontId="3" fillId="7" borderId="36" xfId="0" applyNumberFormat="1" applyFont="1" applyFill="1" applyBorder="1" applyAlignment="1">
      <alignment horizontal="center" vertical="center"/>
    </xf>
    <xf numFmtId="169" fontId="3" fillId="7" borderId="37" xfId="0" applyNumberFormat="1" applyFont="1" applyFill="1" applyBorder="1" applyAlignment="1">
      <alignment horizontal="center" vertical="center"/>
    </xf>
    <xf numFmtId="169" fontId="0" fillId="7" borderId="36" xfId="0" applyNumberFormat="1" applyFont="1" applyFill="1" applyBorder="1" applyAlignment="1">
      <alignment horizontal="center" vertical="center"/>
    </xf>
    <xf numFmtId="169" fontId="0" fillId="7" borderId="37" xfId="0" applyNumberFormat="1" applyFont="1" applyFill="1" applyBorder="1" applyAlignment="1">
      <alignment horizontal="center" vertical="center"/>
    </xf>
    <xf numFmtId="0" fontId="2" fillId="10" borderId="14" xfId="0" applyNumberFormat="1" applyFont="1" applyFill="1" applyBorder="1" applyAlignment="1">
      <alignment horizontal="left" vertical="center" indent="1"/>
    </xf>
    <xf numFmtId="0" fontId="2" fillId="10" borderId="32" xfId="0" applyNumberFormat="1" applyFont="1" applyFill="1" applyBorder="1" applyAlignment="1">
      <alignment horizontal="left" vertical="center" indent="1"/>
    </xf>
    <xf numFmtId="3" fontId="2" fillId="10" borderId="14" xfId="0" applyNumberFormat="1" applyFont="1" applyFill="1" applyBorder="1" applyAlignment="1">
      <alignment horizontal="center" vertical="center"/>
    </xf>
    <xf numFmtId="3" fontId="2" fillId="10" borderId="32" xfId="0" applyNumberFormat="1" applyFont="1" applyFill="1" applyBorder="1" applyAlignment="1">
      <alignment horizontal="center" vertical="center"/>
    </xf>
    <xf numFmtId="3" fontId="3" fillId="10" borderId="14" xfId="0" applyNumberFormat="1" applyFont="1" applyFill="1" applyBorder="1" applyAlignment="1">
      <alignment horizontal="center" vertical="center"/>
    </xf>
    <xf numFmtId="3" fontId="3" fillId="10" borderId="32" xfId="0" applyNumberFormat="1" applyFont="1" applyFill="1" applyBorder="1" applyAlignment="1">
      <alignment horizontal="center" vertical="center"/>
    </xf>
    <xf numFmtId="165" fontId="0" fillId="10" borderId="14" xfId="0" applyNumberFormat="1" applyFont="1" applyFill="1" applyBorder="1" applyAlignment="1">
      <alignment horizontal="center" vertical="center"/>
    </xf>
    <xf numFmtId="165" fontId="0" fillId="10" borderId="32" xfId="0" applyNumberFormat="1" applyFont="1" applyFill="1" applyBorder="1" applyAlignment="1">
      <alignment horizontal="center" vertical="center"/>
    </xf>
    <xf numFmtId="3" fontId="0" fillId="10" borderId="14" xfId="0" applyNumberFormat="1" applyFont="1" applyFill="1" applyBorder="1" applyAlignment="1">
      <alignment horizontal="center" vertical="center"/>
    </xf>
    <xf numFmtId="3" fontId="0" fillId="10" borderId="32" xfId="0" applyNumberFormat="1" applyFont="1" applyFill="1" applyBorder="1" applyAlignment="1">
      <alignment horizontal="center" vertical="center"/>
    </xf>
    <xf numFmtId="170" fontId="2" fillId="10" borderId="14" xfId="0" applyNumberFormat="1" applyFont="1" applyFill="1" applyBorder="1" applyAlignment="1">
      <alignment horizontal="center" vertical="center"/>
    </xf>
    <xf numFmtId="170" fontId="2" fillId="10" borderId="32" xfId="0" applyNumberFormat="1" applyFont="1" applyFill="1" applyBorder="1" applyAlignment="1">
      <alignment horizontal="center" vertical="center"/>
    </xf>
    <xf numFmtId="9" fontId="0" fillId="10" borderId="14" xfId="0" applyNumberFormat="1" applyFont="1" applyFill="1" applyBorder="1" applyAlignment="1">
      <alignment horizontal="center" vertical="center"/>
    </xf>
    <xf numFmtId="9" fontId="0" fillId="10" borderId="32" xfId="0" applyNumberFormat="1" applyFont="1" applyFill="1" applyBorder="1" applyAlignment="1">
      <alignment horizontal="center" vertical="center"/>
    </xf>
    <xf numFmtId="0" fontId="4" fillId="10" borderId="14" xfId="0" applyNumberFormat="1" applyFont="1" applyFill="1" applyBorder="1" applyAlignment="1">
      <alignment horizontal="center" vertical="center"/>
    </xf>
    <xf numFmtId="0" fontId="4" fillId="10" borderId="32" xfId="0" applyNumberFormat="1" applyFont="1" applyFill="1" applyBorder="1" applyAlignment="1">
      <alignment horizontal="center" vertical="center"/>
    </xf>
    <xf numFmtId="0" fontId="4" fillId="10" borderId="5" xfId="0" applyNumberFormat="1" applyFont="1" applyFill="1" applyBorder="1" applyAlignment="1">
      <alignment horizontal="center" vertical="center"/>
    </xf>
    <xf numFmtId="0" fontId="2" fillId="10" borderId="33" xfId="0" applyNumberFormat="1" applyFont="1" applyFill="1" applyBorder="1" applyAlignment="1">
      <alignment horizontal="left" vertical="center" indent="1"/>
    </xf>
    <xf numFmtId="0" fontId="2" fillId="10" borderId="34" xfId="0" applyNumberFormat="1" applyFont="1" applyFill="1" applyBorder="1" applyAlignment="1">
      <alignment horizontal="left" vertical="center" indent="1"/>
    </xf>
    <xf numFmtId="3" fontId="2" fillId="10" borderId="33" xfId="0" applyNumberFormat="1" applyFont="1" applyFill="1" applyBorder="1" applyAlignment="1">
      <alignment horizontal="center" vertical="center"/>
    </xf>
    <xf numFmtId="3" fontId="2" fillId="10" borderId="34" xfId="0" applyNumberFormat="1" applyFont="1" applyFill="1" applyBorder="1" applyAlignment="1">
      <alignment horizontal="center" vertical="center"/>
    </xf>
    <xf numFmtId="3" fontId="3" fillId="10" borderId="33" xfId="0" applyNumberFormat="1" applyFont="1" applyFill="1" applyBorder="1" applyAlignment="1">
      <alignment horizontal="center" vertical="center"/>
    </xf>
    <xf numFmtId="3" fontId="3" fillId="10" borderId="34" xfId="0" applyNumberFormat="1" applyFont="1" applyFill="1" applyBorder="1" applyAlignment="1">
      <alignment horizontal="center" vertical="center"/>
    </xf>
    <xf numFmtId="165" fontId="0" fillId="10" borderId="33" xfId="0" applyNumberFormat="1" applyFont="1" applyFill="1" applyBorder="1" applyAlignment="1">
      <alignment horizontal="center" vertical="center"/>
    </xf>
    <xf numFmtId="165" fontId="0" fillId="10" borderId="34" xfId="0" applyNumberFormat="1" applyFont="1" applyFill="1" applyBorder="1" applyAlignment="1">
      <alignment horizontal="center" vertical="center"/>
    </xf>
    <xf numFmtId="3" fontId="0" fillId="10" borderId="33" xfId="0" applyNumberFormat="1" applyFont="1" applyFill="1" applyBorder="1" applyAlignment="1">
      <alignment horizontal="center" vertical="center"/>
    </xf>
    <xf numFmtId="3" fontId="0" fillId="10" borderId="34" xfId="0" applyNumberFormat="1" applyFont="1" applyFill="1" applyBorder="1" applyAlignment="1">
      <alignment horizontal="center" vertical="center"/>
    </xf>
    <xf numFmtId="170" fontId="2" fillId="10" borderId="33" xfId="0" applyNumberFormat="1" applyFont="1" applyFill="1" applyBorder="1" applyAlignment="1">
      <alignment horizontal="center" vertical="center"/>
    </xf>
    <xf numFmtId="170" fontId="2" fillId="10" borderId="34" xfId="0" applyNumberFormat="1" applyFont="1" applyFill="1" applyBorder="1" applyAlignment="1">
      <alignment horizontal="center" vertical="center"/>
    </xf>
    <xf numFmtId="9" fontId="0" fillId="10" borderId="33" xfId="0" applyNumberFormat="1" applyFont="1" applyFill="1" applyBorder="1" applyAlignment="1">
      <alignment horizontal="center" vertical="center"/>
    </xf>
    <xf numFmtId="9" fontId="0" fillId="10" borderId="34" xfId="0" applyNumberFormat="1" applyFont="1" applyFill="1" applyBorder="1" applyAlignment="1">
      <alignment horizontal="center" vertical="center"/>
    </xf>
    <xf numFmtId="0" fontId="4" fillId="10" borderId="33" xfId="0" applyNumberFormat="1" applyFont="1" applyFill="1" applyBorder="1" applyAlignment="1">
      <alignment horizontal="center" vertical="center"/>
    </xf>
    <xf numFmtId="0" fontId="4" fillId="10" borderId="34" xfId="0" applyNumberFormat="1" applyFont="1" applyFill="1" applyBorder="1" applyAlignment="1">
      <alignment horizontal="center" vertical="center"/>
    </xf>
    <xf numFmtId="0" fontId="4" fillId="10" borderId="35" xfId="0" applyNumberFormat="1" applyFont="1" applyFill="1" applyBorder="1" applyAlignment="1">
      <alignment horizontal="center" vertical="center"/>
    </xf>
    <xf numFmtId="0" fontId="2" fillId="10" borderId="36" xfId="0" applyNumberFormat="1" applyFont="1" applyFill="1" applyBorder="1" applyAlignment="1">
      <alignment horizontal="left" vertical="center" indent="1"/>
    </xf>
    <xf numFmtId="0" fontId="2" fillId="10" borderId="37" xfId="0" applyNumberFormat="1" applyFont="1" applyFill="1" applyBorder="1" applyAlignment="1">
      <alignment horizontal="left" vertical="center" indent="1"/>
    </xf>
    <xf numFmtId="3" fontId="2" fillId="10" borderId="36" xfId="0" applyNumberFormat="1" applyFont="1" applyFill="1" applyBorder="1" applyAlignment="1">
      <alignment horizontal="center" vertical="center"/>
    </xf>
    <xf numFmtId="3" fontId="2" fillId="10" borderId="37" xfId="0" applyNumberFormat="1" applyFont="1" applyFill="1" applyBorder="1" applyAlignment="1">
      <alignment horizontal="center" vertical="center"/>
    </xf>
    <xf numFmtId="3" fontId="3" fillId="10" borderId="36" xfId="0" applyNumberFormat="1" applyFont="1" applyFill="1" applyBorder="1" applyAlignment="1">
      <alignment horizontal="center" vertical="center"/>
    </xf>
    <xf numFmtId="3" fontId="3" fillId="10" borderId="37" xfId="0" applyNumberFormat="1" applyFont="1" applyFill="1" applyBorder="1" applyAlignment="1">
      <alignment horizontal="center" vertical="center"/>
    </xf>
    <xf numFmtId="165" fontId="0" fillId="10" borderId="36" xfId="0" applyNumberFormat="1" applyFont="1" applyFill="1" applyBorder="1" applyAlignment="1">
      <alignment horizontal="center" vertical="center"/>
    </xf>
    <xf numFmtId="165" fontId="0" fillId="10" borderId="37" xfId="0" applyNumberFormat="1" applyFont="1" applyFill="1" applyBorder="1" applyAlignment="1">
      <alignment horizontal="center" vertical="center"/>
    </xf>
    <xf numFmtId="3" fontId="0" fillId="10" borderId="36" xfId="0" applyNumberFormat="1" applyFont="1" applyFill="1" applyBorder="1" applyAlignment="1">
      <alignment horizontal="center" vertical="center"/>
    </xf>
    <xf numFmtId="3" fontId="0" fillId="10" borderId="37" xfId="0" applyNumberFormat="1" applyFont="1" applyFill="1" applyBorder="1" applyAlignment="1">
      <alignment horizontal="center" vertical="center"/>
    </xf>
    <xf numFmtId="170" fontId="2" fillId="10" borderId="36" xfId="0" applyNumberFormat="1" applyFont="1" applyFill="1" applyBorder="1" applyAlignment="1">
      <alignment horizontal="center" vertical="center"/>
    </xf>
    <xf numFmtId="170" fontId="2" fillId="10" borderId="37" xfId="0" applyNumberFormat="1" applyFont="1" applyFill="1" applyBorder="1" applyAlignment="1">
      <alignment horizontal="center" vertical="center"/>
    </xf>
    <xf numFmtId="9" fontId="0" fillId="10" borderId="36" xfId="0" applyNumberFormat="1" applyFont="1" applyFill="1" applyBorder="1" applyAlignment="1">
      <alignment horizontal="center" vertical="center"/>
    </xf>
    <xf numFmtId="9" fontId="0" fillId="10" borderId="37" xfId="0" applyNumberFormat="1" applyFont="1" applyFill="1" applyBorder="1" applyAlignment="1">
      <alignment horizontal="center" vertical="center"/>
    </xf>
    <xf numFmtId="0" fontId="4" fillId="10" borderId="36" xfId="0" applyNumberFormat="1" applyFont="1" applyFill="1" applyBorder="1" applyAlignment="1">
      <alignment horizontal="center" vertical="center"/>
    </xf>
    <xf numFmtId="0" fontId="4" fillId="10" borderId="37" xfId="0" applyNumberFormat="1" applyFont="1" applyFill="1" applyBorder="1" applyAlignment="1">
      <alignment horizontal="center" vertical="center"/>
    </xf>
    <xf numFmtId="0" fontId="4" fillId="10" borderId="38" xfId="0" applyNumberFormat="1" applyFont="1" applyFill="1" applyBorder="1" applyAlignment="1">
      <alignment horizontal="center" vertical="center"/>
    </xf>
    <xf numFmtId="0" fontId="2" fillId="7" borderId="4" xfId="0" applyNumberFormat="1" applyFont="1" applyFill="1" applyBorder="1" applyAlignment="1">
      <alignment horizontal="center" vertical="center"/>
    </xf>
    <xf numFmtId="0" fontId="2" fillId="7" borderId="39" xfId="0" applyNumberFormat="1" applyFont="1" applyFill="1" applyBorder="1" applyAlignment="1">
      <alignment horizontal="center" vertical="center"/>
    </xf>
    <xf numFmtId="0" fontId="2" fillId="7" borderId="6" xfId="0" applyNumberFormat="1" applyFont="1" applyFill="1" applyBorder="1" applyAlignment="1">
      <alignment horizontal="center" vertical="center"/>
    </xf>
    <xf numFmtId="0" fontId="2" fillId="8" borderId="4" xfId="0" applyNumberFormat="1" applyFont="1" applyFill="1" applyBorder="1" applyAlignment="1">
      <alignment horizontal="center" vertical="center"/>
    </xf>
    <xf numFmtId="0" fontId="2" fillId="8" borderId="39" xfId="0" applyNumberFormat="1" applyFont="1" applyFill="1" applyBorder="1" applyAlignment="1">
      <alignment horizontal="center" vertical="center"/>
    </xf>
    <xf numFmtId="0" fontId="2" fillId="8" borderId="6" xfId="0" applyNumberFormat="1" applyFont="1" applyFill="1" applyBorder="1" applyAlignment="1">
      <alignment horizontal="center" vertical="center"/>
    </xf>
    <xf numFmtId="0" fontId="2" fillId="9" borderId="4" xfId="0" applyNumberFormat="1" applyFont="1" applyFill="1" applyBorder="1" applyAlignment="1">
      <alignment horizontal="center" vertical="center"/>
    </xf>
    <xf numFmtId="0" fontId="2" fillId="9" borderId="39" xfId="0" applyNumberFormat="1" applyFont="1" applyFill="1" applyBorder="1" applyAlignment="1">
      <alignment horizontal="center" vertical="center"/>
    </xf>
    <xf numFmtId="0" fontId="2" fillId="9" borderId="6" xfId="0" applyNumberFormat="1" applyFont="1" applyFill="1" applyBorder="1" applyAlignment="1">
      <alignment horizontal="center" vertical="center"/>
    </xf>
    <xf numFmtId="0" fontId="2" fillId="10" borderId="4" xfId="0" applyNumberFormat="1" applyFont="1" applyFill="1" applyBorder="1" applyAlignment="1">
      <alignment horizontal="center" vertical="center"/>
    </xf>
    <xf numFmtId="0" fontId="2" fillId="10" borderId="39" xfId="0" applyNumberFormat="1" applyFont="1" applyFill="1" applyBorder="1" applyAlignment="1">
      <alignment horizontal="center" vertical="center"/>
    </xf>
    <xf numFmtId="0" fontId="2" fillId="10" borderId="6" xfId="0" applyNumberFormat="1" applyFont="1" applyFill="1" applyBorder="1" applyAlignment="1">
      <alignment horizontal="center" vertical="center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0" fontId="4" fillId="5" borderId="10" xfId="0" applyNumberFormat="1" applyFont="1" applyFill="1" applyBorder="1" applyAlignment="1">
      <alignment horizontal="center" vertical="center" wrapText="1"/>
    </xf>
    <xf numFmtId="0" fontId="4" fillId="5" borderId="9" xfId="0" applyNumberFormat="1" applyFont="1" applyFill="1" applyBorder="1" applyAlignment="1">
      <alignment horizontal="center" vertical="center" wrapText="1"/>
    </xf>
    <xf numFmtId="0" fontId="4" fillId="4" borderId="8" xfId="0" applyNumberFormat="1" applyFont="1" applyFill="1" applyBorder="1" applyAlignment="1">
      <alignment horizontal="center" vertical="center" wrapText="1"/>
    </xf>
    <xf numFmtId="0" fontId="4" fillId="4" borderId="9" xfId="0" applyNumberFormat="1" applyFont="1" applyFill="1" applyBorder="1" applyAlignment="1">
      <alignment horizontal="center" vertical="center" wrapText="1"/>
    </xf>
    <xf numFmtId="0" fontId="4" fillId="4" borderId="10" xfId="0" applyNumberFormat="1" applyFont="1" applyFill="1" applyBorder="1" applyAlignment="1">
      <alignment horizontal="center" vertical="center" wrapText="1"/>
    </xf>
    <xf numFmtId="3" fontId="2" fillId="7" borderId="5" xfId="0" applyNumberFormat="1" applyFont="1" applyFill="1" applyBorder="1" applyAlignment="1">
      <alignment horizontal="center" vertical="center"/>
    </xf>
    <xf numFmtId="3" fontId="2" fillId="7" borderId="35" xfId="0" applyNumberFormat="1" applyFont="1" applyFill="1" applyBorder="1" applyAlignment="1">
      <alignment horizontal="center" vertical="center"/>
    </xf>
    <xf numFmtId="165" fontId="2" fillId="7" borderId="36" xfId="0" applyNumberFormat="1" applyFont="1" applyFill="1" applyBorder="1" applyAlignment="1">
      <alignment horizontal="center" vertical="center"/>
    </xf>
    <xf numFmtId="165" fontId="2" fillId="7" borderId="37" xfId="0" applyNumberFormat="1" applyFont="1" applyFill="1" applyBorder="1" applyAlignment="1">
      <alignment horizontal="center" vertical="center"/>
    </xf>
    <xf numFmtId="165" fontId="2" fillId="7" borderId="38" xfId="0" applyNumberFormat="1" applyFont="1" applyFill="1" applyBorder="1" applyAlignment="1">
      <alignment horizontal="center" vertical="center"/>
    </xf>
    <xf numFmtId="3" fontId="2" fillId="8" borderId="5" xfId="0" applyNumberFormat="1" applyFont="1" applyFill="1" applyBorder="1" applyAlignment="1">
      <alignment horizontal="center" vertical="center"/>
    </xf>
    <xf numFmtId="3" fontId="2" fillId="8" borderId="35" xfId="0" applyNumberFormat="1" applyFont="1" applyFill="1" applyBorder="1" applyAlignment="1">
      <alignment horizontal="center" vertical="center"/>
    </xf>
    <xf numFmtId="165" fontId="2" fillId="8" borderId="36" xfId="0" applyNumberFormat="1" applyFont="1" applyFill="1" applyBorder="1" applyAlignment="1">
      <alignment horizontal="center" vertical="center"/>
    </xf>
    <xf numFmtId="165" fontId="2" fillId="8" borderId="37" xfId="0" applyNumberFormat="1" applyFont="1" applyFill="1" applyBorder="1" applyAlignment="1">
      <alignment horizontal="center" vertical="center"/>
    </xf>
    <xf numFmtId="165" fontId="2" fillId="8" borderId="38" xfId="0" applyNumberFormat="1" applyFont="1" applyFill="1" applyBorder="1" applyAlignment="1">
      <alignment horizontal="center" vertical="center"/>
    </xf>
    <xf numFmtId="3" fontId="2" fillId="9" borderId="5" xfId="0" applyNumberFormat="1" applyFont="1" applyFill="1" applyBorder="1" applyAlignment="1">
      <alignment horizontal="center" vertical="center"/>
    </xf>
    <xf numFmtId="3" fontId="2" fillId="9" borderId="35" xfId="0" applyNumberFormat="1" applyFont="1" applyFill="1" applyBorder="1" applyAlignment="1">
      <alignment horizontal="center" vertical="center"/>
    </xf>
    <xf numFmtId="3" fontId="2" fillId="9" borderId="38" xfId="0" applyNumberFormat="1" applyFont="1" applyFill="1" applyBorder="1" applyAlignment="1">
      <alignment horizontal="center" vertical="center"/>
    </xf>
    <xf numFmtId="9" fontId="2" fillId="7" borderId="38" xfId="0" applyNumberFormat="1" applyFont="1" applyFill="1" applyBorder="1" applyAlignment="1">
      <alignment horizontal="center" vertical="center"/>
    </xf>
    <xf numFmtId="3" fontId="2" fillId="10" borderId="5" xfId="0" applyNumberFormat="1" applyFont="1" applyFill="1" applyBorder="1" applyAlignment="1">
      <alignment horizontal="center" vertical="center"/>
    </xf>
    <xf numFmtId="3" fontId="2" fillId="10" borderId="35" xfId="0" applyNumberFormat="1" applyFont="1" applyFill="1" applyBorder="1" applyAlignment="1">
      <alignment horizontal="center" vertical="center"/>
    </xf>
    <xf numFmtId="3" fontId="2" fillId="10" borderId="38" xfId="0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right" vertical="center" indent="1"/>
    </xf>
    <xf numFmtId="0" fontId="18" fillId="0" borderId="0" xfId="0" applyNumberFormat="1" applyFont="1" applyFill="1" applyBorder="1" applyAlignment="1">
      <alignment horizontal="right" vertical="center" indent="1"/>
    </xf>
    <xf numFmtId="0" fontId="19" fillId="14" borderId="40" xfId="0" applyNumberFormat="1" applyFont="1" applyFill="1" applyBorder="1" applyAlignment="1" applyProtection="1">
      <alignment horizontal="center" vertical="center"/>
      <protection locked="0"/>
    </xf>
    <xf numFmtId="0" fontId="19" fillId="14" borderId="41" xfId="0" applyNumberFormat="1" applyFont="1" applyFill="1" applyBorder="1" applyAlignment="1" applyProtection="1">
      <alignment horizontal="center" vertical="center"/>
      <protection locked="0"/>
    </xf>
    <xf numFmtId="0" fontId="19" fillId="14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NumberFormat="1" applyFont="1" applyFill="1" applyBorder="1" applyAlignment="1">
      <alignment horizontal="right" vertical="center"/>
    </xf>
    <xf numFmtId="0" fontId="0" fillId="13" borderId="43" xfId="0" applyNumberFormat="1" applyFont="1" applyFill="1" applyBorder="1" applyAlignment="1">
      <alignment horizontal="center" vertical="center"/>
    </xf>
    <xf numFmtId="0" fontId="0" fillId="13" borderId="0" xfId="0" applyNumberFormat="1" applyFont="1" applyFill="1" applyBorder="1" applyAlignment="1">
      <alignment horizontal="center" vertical="center"/>
    </xf>
    <xf numFmtId="0" fontId="0" fillId="13" borderId="44" xfId="0" applyNumberFormat="1" applyFont="1" applyFill="1" applyBorder="1" applyAlignment="1">
      <alignment horizontal="center" vertical="center"/>
    </xf>
    <xf numFmtId="0" fontId="0" fillId="13" borderId="45" xfId="0" applyNumberFormat="1" applyFont="1" applyFill="1" applyBorder="1" applyAlignment="1">
      <alignment horizontal="center" vertical="center"/>
    </xf>
    <xf numFmtId="0" fontId="0" fillId="13" borderId="46" xfId="0" applyNumberFormat="1" applyFont="1" applyFill="1" applyBorder="1" applyAlignment="1">
      <alignment horizontal="center" vertical="center"/>
    </xf>
    <xf numFmtId="0" fontId="0" fillId="13" borderId="47" xfId="0" applyNumberFormat="1" applyFont="1" applyFill="1" applyBorder="1" applyAlignment="1">
      <alignment horizontal="center" vertical="center"/>
    </xf>
    <xf numFmtId="0" fontId="15" fillId="7" borderId="48" xfId="0" applyNumberFormat="1" applyFont="1" applyFill="1" applyBorder="1" applyAlignment="1">
      <alignment horizontal="center" vertical="center"/>
    </xf>
    <xf numFmtId="3" fontId="20" fillId="13" borderId="0" xfId="0" applyNumberFormat="1" applyFont="1" applyFill="1" applyBorder="1" applyAlignment="1">
      <alignment horizontal="center" vertical="center"/>
    </xf>
    <xf numFmtId="0" fontId="16" fillId="13" borderId="0" xfId="0" applyNumberFormat="1" applyFont="1" applyFill="1" applyBorder="1" applyAlignment="1">
      <alignment horizontal="center" vertical="center"/>
    </xf>
    <xf numFmtId="171" fontId="7" fillId="13" borderId="0" xfId="0" applyNumberFormat="1" applyFont="1" applyFill="1" applyBorder="1" applyAlignment="1">
      <alignment horizontal="center" vertical="center"/>
    </xf>
    <xf numFmtId="172" fontId="21" fillId="13" borderId="46" xfId="0" applyNumberFormat="1" applyFont="1" applyFill="1" applyBorder="1" applyAlignment="1">
      <alignment horizontal="center" vertical="center"/>
    </xf>
    <xf numFmtId="0" fontId="15" fillId="8" borderId="48" xfId="0" applyNumberFormat="1" applyFont="1" applyFill="1" applyBorder="1" applyAlignment="1">
      <alignment horizontal="center" vertical="center"/>
    </xf>
    <xf numFmtId="173" fontId="7" fillId="13" borderId="0" xfId="0" applyNumberFormat="1" applyFont="1" applyFill="1" applyBorder="1" applyAlignment="1">
      <alignment horizontal="center" vertical="center"/>
    </xf>
    <xf numFmtId="0" fontId="15" fillId="9" borderId="48" xfId="0" applyNumberFormat="1" applyFont="1" applyFill="1" applyBorder="1" applyAlignment="1">
      <alignment horizontal="center" vertical="center"/>
    </xf>
    <xf numFmtId="174" fontId="7" fillId="13" borderId="0" xfId="0" applyNumberFormat="1" applyFont="1" applyFill="1" applyBorder="1" applyAlignment="1">
      <alignment horizontal="center" vertical="center"/>
    </xf>
    <xf numFmtId="9" fontId="20" fillId="13" borderId="0" xfId="0" applyNumberFormat="1" applyFont="1" applyFill="1" applyBorder="1" applyAlignment="1">
      <alignment horizontal="center" vertical="center"/>
    </xf>
    <xf numFmtId="175" fontId="7" fillId="13" borderId="0" xfId="0" applyNumberFormat="1" applyFont="1" applyFill="1" applyBorder="1" applyAlignment="1">
      <alignment horizontal="center" vertical="center"/>
    </xf>
    <xf numFmtId="0" fontId="15" fillId="10" borderId="48" xfId="0" applyNumberFormat="1" applyFont="1" applyFill="1" applyBorder="1" applyAlignment="1">
      <alignment horizontal="center" vertical="center"/>
    </xf>
    <xf numFmtId="176" fontId="7" fillId="13" borderId="0" xfId="0" applyNumberFormat="1" applyFont="1" applyFill="1" applyBorder="1" applyAlignment="1">
      <alignment horizontal="center" vertical="center"/>
    </xf>
    <xf numFmtId="0" fontId="22" fillId="0" borderId="0" xfId="0" applyNumberFormat="1" applyFont="1" applyFill="1" applyBorder="1" applyAlignment="1">
      <alignment horizontal="left" vertical="center"/>
    </xf>
    <xf numFmtId="0" fontId="23" fillId="16" borderId="28" xfId="0" applyFont="1" applyFill="1" applyBorder="1" applyAlignment="1">
      <alignment horizontal="center" vertical="center"/>
    </xf>
    <xf numFmtId="0" fontId="24" fillId="17" borderId="28" xfId="0" applyFont="1" applyFill="1" applyBorder="1" applyAlignment="1">
      <alignment horizontal="center" vertical="center"/>
    </xf>
    <xf numFmtId="0" fontId="24" fillId="18" borderId="28" xfId="0" applyFont="1" applyFill="1" applyBorder="1" applyAlignment="1">
      <alignment horizontal="center" vertical="center"/>
    </xf>
    <xf numFmtId="0" fontId="24" fillId="19" borderId="28" xfId="0" applyFont="1" applyFill="1" applyBorder="1" applyAlignment="1">
      <alignment horizontal="center" vertical="center"/>
    </xf>
    <xf numFmtId="0" fontId="24" fillId="20" borderId="28" xfId="0" applyFont="1" applyFill="1" applyBorder="1" applyAlignment="1">
      <alignment horizontal="center" vertical="center"/>
    </xf>
    <xf numFmtId="0" fontId="24" fillId="21" borderId="28" xfId="0" applyFont="1" applyFill="1" applyBorder="1" applyAlignment="1">
      <alignment horizontal="center" vertical="center"/>
    </xf>
    <xf numFmtId="0" fontId="24" fillId="22" borderId="28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3" fontId="2" fillId="7" borderId="3" xfId="0" applyNumberFormat="1" applyFont="1" applyFill="1" applyBorder="1" applyAlignment="1">
      <alignment horizontal="center" vertical="center"/>
    </xf>
    <xf numFmtId="3" fontId="0" fillId="7" borderId="25" xfId="0" applyNumberFormat="1" applyFont="1" applyFill="1" applyBorder="1" applyAlignment="1">
      <alignment horizontal="center" vertical="center"/>
    </xf>
    <xf numFmtId="3" fontId="0" fillId="7" borderId="26" xfId="0" applyNumberFormat="1" applyFont="1" applyFill="1" applyBorder="1" applyAlignment="1">
      <alignment horizontal="center" vertical="center"/>
    </xf>
    <xf numFmtId="3" fontId="0" fillId="7" borderId="27" xfId="0" applyNumberFormat="1" applyFont="1" applyFill="1" applyBorder="1" applyAlignment="1">
      <alignment horizontal="center" vertical="center"/>
    </xf>
    <xf numFmtId="3" fontId="2" fillId="8" borderId="3" xfId="0" applyNumberFormat="1" applyFont="1" applyFill="1" applyBorder="1" applyAlignment="1">
      <alignment horizontal="center" vertical="center"/>
    </xf>
    <xf numFmtId="3" fontId="0" fillId="8" borderId="25" xfId="0" applyNumberFormat="1" applyFont="1" applyFill="1" applyBorder="1" applyAlignment="1">
      <alignment horizontal="center" vertical="center"/>
    </xf>
    <xf numFmtId="3" fontId="0" fillId="8" borderId="26" xfId="0" applyNumberFormat="1" applyFont="1" applyFill="1" applyBorder="1" applyAlignment="1">
      <alignment horizontal="center" vertical="center"/>
    </xf>
    <xf numFmtId="3" fontId="0" fillId="8" borderId="27" xfId="0" applyNumberFormat="1" applyFont="1" applyFill="1" applyBorder="1" applyAlignment="1">
      <alignment horizontal="center" vertical="center"/>
    </xf>
    <xf numFmtId="3" fontId="3" fillId="7" borderId="37" xfId="0" applyNumberFormat="1" applyFont="1" applyFill="1" applyBorder="1" applyAlignment="1">
      <alignment horizontal="center" vertical="center"/>
    </xf>
    <xf numFmtId="3" fontId="0" fillId="7" borderId="37" xfId="0" applyNumberFormat="1" applyFont="1" applyFill="1" applyBorder="1" applyAlignment="1">
      <alignment horizontal="center" vertical="center"/>
    </xf>
    <xf numFmtId="3" fontId="3" fillId="8" borderId="37" xfId="0" applyNumberFormat="1" applyFont="1" applyFill="1" applyBorder="1" applyAlignment="1">
      <alignment horizontal="center" vertical="center"/>
    </xf>
    <xf numFmtId="3" fontId="0" fillId="8" borderId="37" xfId="0" applyNumberFormat="1" applyFont="1" applyFill="1" applyBorder="1" applyAlignment="1">
      <alignment horizontal="center" vertical="center"/>
    </xf>
    <xf numFmtId="165" fontId="0" fillId="7" borderId="34" xfId="0" applyNumberFormat="1" applyFont="1" applyFill="1" applyBorder="1" applyAlignment="1">
      <alignment horizontal="center" vertical="center"/>
    </xf>
    <xf numFmtId="165" fontId="2" fillId="7" borderId="34" xfId="0" applyNumberFormat="1" applyFont="1" applyFill="1" applyBorder="1" applyAlignment="1">
      <alignment horizontal="center" vertical="center"/>
    </xf>
    <xf numFmtId="165" fontId="0" fillId="7" borderId="33" xfId="0" applyNumberFormat="1" applyFont="1" applyFill="1" applyBorder="1" applyAlignment="1">
      <alignment horizontal="center" vertical="center"/>
    </xf>
    <xf numFmtId="165" fontId="2" fillId="7" borderId="33" xfId="0" applyNumberFormat="1" applyFont="1" applyFill="1" applyBorder="1" applyAlignment="1">
      <alignment horizontal="center" vertical="center"/>
    </xf>
    <xf numFmtId="165" fontId="2" fillId="7" borderId="35" xfId="0" applyNumberFormat="1" applyFont="1" applyFill="1" applyBorder="1" applyAlignment="1">
      <alignment horizontal="center" vertical="center"/>
    </xf>
    <xf numFmtId="3" fontId="2" fillId="7" borderId="37" xfId="0" applyNumberFormat="1" applyFont="1" applyFill="1" applyBorder="1" applyAlignment="1">
      <alignment horizontal="center" vertical="center"/>
    </xf>
    <xf numFmtId="3" fontId="0" fillId="7" borderId="36" xfId="0" applyNumberFormat="1" applyFont="1" applyFill="1" applyBorder="1" applyAlignment="1">
      <alignment horizontal="center" vertical="center"/>
    </xf>
    <xf numFmtId="3" fontId="2" fillId="7" borderId="36" xfId="0" applyNumberFormat="1" applyFont="1" applyFill="1" applyBorder="1" applyAlignment="1">
      <alignment horizontal="center" vertical="center"/>
    </xf>
    <xf numFmtId="3" fontId="2" fillId="7" borderId="38" xfId="0" applyNumberFormat="1" applyFont="1" applyFill="1" applyBorder="1" applyAlignment="1">
      <alignment horizontal="center" vertical="center"/>
    </xf>
    <xf numFmtId="165" fontId="0" fillId="8" borderId="34" xfId="0" applyNumberFormat="1" applyFont="1" applyFill="1" applyBorder="1" applyAlignment="1">
      <alignment horizontal="center" vertical="center"/>
    </xf>
    <xf numFmtId="165" fontId="2" fillId="8" borderId="34" xfId="0" applyNumberFormat="1" applyFont="1" applyFill="1" applyBorder="1" applyAlignment="1">
      <alignment horizontal="center" vertical="center"/>
    </xf>
    <xf numFmtId="165" fontId="0" fillId="8" borderId="33" xfId="0" applyNumberFormat="1" applyFont="1" applyFill="1" applyBorder="1" applyAlignment="1">
      <alignment horizontal="center" vertical="center"/>
    </xf>
    <xf numFmtId="165" fontId="2" fillId="8" borderId="33" xfId="0" applyNumberFormat="1" applyFont="1" applyFill="1" applyBorder="1" applyAlignment="1">
      <alignment horizontal="center" vertical="center"/>
    </xf>
    <xf numFmtId="165" fontId="2" fillId="8" borderId="35" xfId="0" applyNumberFormat="1" applyFont="1" applyFill="1" applyBorder="1" applyAlignment="1">
      <alignment horizontal="center" vertical="center"/>
    </xf>
    <xf numFmtId="3" fontId="2" fillId="8" borderId="37" xfId="0" applyNumberFormat="1" applyFont="1" applyFill="1" applyBorder="1" applyAlignment="1">
      <alignment horizontal="center" vertical="center"/>
    </xf>
    <xf numFmtId="3" fontId="0" fillId="8" borderId="36" xfId="0" applyNumberFormat="1" applyFont="1" applyFill="1" applyBorder="1" applyAlignment="1">
      <alignment horizontal="center" vertical="center"/>
    </xf>
    <xf numFmtId="3" fontId="2" fillId="8" borderId="36" xfId="0" applyNumberFormat="1" applyFont="1" applyFill="1" applyBorder="1" applyAlignment="1">
      <alignment horizontal="center" vertical="center"/>
    </xf>
    <xf numFmtId="3" fontId="2" fillId="8" borderId="3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2F7D4E"/>
      </font>
      <fill>
        <patternFill>
          <bgColor rgb="FFE2EFD9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2F7D4E"/>
      </font>
    </dxf>
    <dxf>
      <font>
        <b/>
        <color rgb="FFC00000"/>
      </font>
    </dxf>
    <dxf>
      <font>
        <b/>
        <color rgb="FFC98A00"/>
      </font>
    </dxf>
    <dxf>
      <font>
        <b/>
        <color rgb="FF000000"/>
      </font>
      <fill>
        <patternFill>
          <bgColor rgb="FFD9D9D9"/>
        </patternFill>
      </fill>
    </dxf>
    <dxf>
      <numFmt numFmtId="165" formatCode="#,##0.0"/>
    </dxf>
    <dxf>
      <font>
        <color rgb="FFA6A6A6"/>
      </font>
      <fill>
        <patternFill>
          <bgColor rgb="FFE7E6E6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99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calculos!$AP$12</c:f>
          <c:strCache>
            <c:ptCount val="1"/>
            <c:pt idx="0">
              <c:v>Veículos por dia · recebidos x expedidos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Recebidos (IN)</c:v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calculos!$C$12:$C$42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er>
          <c:idx val="1"/>
          <c:order val="1"/>
          <c:tx>
            <c:v>Expedidos (OUT)</c:v>
          </c:tx>
          <c:spPr>
            <a:solidFill>
              <a:srgbClr val="A6A6A6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calculos!$L$12:$L$42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6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calculos!$AP$13</c:f>
          <c:strCache>
            <c:ptCount val="1"/>
            <c:pt idx="0">
              <c:v>Taxa de ocupação por dia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Taxa de ocupação</c:v>
          </c:tx>
          <c:spPr>
            <a:solidFill>
              <a:srgbClr val="E01E1E"/>
            </a:solidFill>
            <a:ln>
              <a:noFill/>
            </a:ln>
          </c:spPr>
          <c:invertIfNegative val="0"/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calculos!$Z$12:$Z$42</c:f>
              <c:numCache>
                <c:formatCode>General</c:formatCode>
                <c:ptCount val="31"/>
              </c:numCache>
            </c:numRef>
          </c:val>
        </c:ser>
        <c:gapWidth val="40"/>
        <c:axId val="101"/>
        <c:axId val="102"/>
      </c:barChart>
      <c:lineChart>
        <c:grouping val="standard"/>
        <c:varyColors val="0"/>
        <c:ser>
          <c:idx val="1"/>
          <c:order val="1"/>
          <c:tx>
            <c:v>Atenção 70%</c:v>
          </c:tx>
          <c:spPr>
            <a:ln w="19050" cap="rnd">
              <a:solidFill>
                <a:srgbClr val="C98A00"/>
              </a:solidFill>
              <a:prstDash val="dash"/>
              <a:round/>
            </a:ln>
          </c:spPr>
          <c:marker>
            <c:symbol val="none"/>
          </c:marker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calculos!$AI$12:$AI$42</c:f>
              <c:numCache>
                <c:formatCode>General</c:formatCode>
                <c:ptCount val="31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</c:numCache>
            </c:numRef>
          </c:val>
          <c:smooth val="0"/>
        </c:ser>
        <c:ser>
          <c:idx val="2"/>
          <c:order val="2"/>
          <c:tx>
            <c:v>Crítico 90%</c:v>
          </c:tx>
          <c:spPr>
            <a:ln w="19050" cap="rnd">
              <a:solidFill>
                <a:srgbClr val="7B0000"/>
              </a:solidFill>
              <a:prstDash val="dash"/>
              <a:round/>
            </a:ln>
          </c:spPr>
          <c:marker>
            <c:symbol val="none"/>
          </c:marker>
          <c:cat>
            <c:numRef>
              <c:f>calculos!$A$12:$A$42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calculos!$AJ$12:$AJ$42</c:f>
              <c:numCache>
                <c:formatCode>General</c:formatCode>
                <c:ptCount val="31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</c:numCache>
            </c:numRef>
          </c:val>
          <c:smooth val="0"/>
        </c:ser>
        <c:marker val="1"/>
        <c:axId val="101"/>
        <c:axId val="102"/>
      </c:line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strRef>
          <c:f>calculos!$AP$14</c:f>
          <c:strCache>
            <c:ptCount val="1"/>
            <c:pt idx="0">
              <c:v>Por semana · Pallets Movimentados (IN) x Pallets Movimentados (OUT) — todos os clientes</c:v>
            </c:pt>
          </c:strCache>
        </c:strRef>
      </c:tx>
      <c:overlay val="0"/>
      <c:txPr>
        <a:bodyPr/>
        <a:lstStyle/>
        <a:p>
          <a:pPr>
            <a:defRPr sz="1100" b="1">
              <a:solidFill>
                <a:srgbClr val="404040"/>
              </a:solidFill>
              <a:latin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</c:v>
          </c:tx>
          <c:spPr>
            <a:solidFill>
              <a:srgbClr val="E01E1E"/>
            </a:solidFill>
            <a:ln>
              <a:noFill/>
            </a:ln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calculos!$F$87:$F$91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(29–30)</c:v>
                </c:pt>
              </c:strCache>
            </c:strRef>
          </c:cat>
          <c:val>
            <c:numRef>
              <c:f>calculos!$I$87:$I$91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OUT</c:v>
          </c:tx>
          <c:spPr>
            <a:solidFill>
              <a:srgbClr val="A6A6A6"/>
            </a:solidFill>
            <a:ln>
              <a:noFill/>
            </a:ln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calculos!$F$87:$F$91</c:f>
              <c:strCache>
                <c:ptCount val="5"/>
                <c:pt idx="0">
                  <c:v>Sem 1 (01–07)</c:v>
                </c:pt>
                <c:pt idx="1">
                  <c:v>Sem 2 (08–14)</c:v>
                </c:pt>
                <c:pt idx="2">
                  <c:v>Sem 3 (15–21)</c:v>
                </c:pt>
                <c:pt idx="3">
                  <c:v>Sem 4 (22–28)</c:v>
                </c:pt>
                <c:pt idx="4">
                  <c:v>Sem 5 (29–30)</c:v>
                </c:pt>
              </c:strCache>
            </c:strRef>
          </c:cat>
          <c:val>
            <c:numRef>
              <c:f>calculos!$J$87:$J$91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70"/>
        <c:overlap val="-10"/>
        <c:axId val="101"/>
        <c:axId val="102"/>
      </c:barChart>
      <c:catAx>
        <c:axId val="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1"/>
        <c:axPos val="l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title>
      <c:tx>
        <c:rich>
          <a:bodyPr/>
          <a:lstStyle/>
          <a:p>
            <a:pPr>
              <a:defRPr sz="1100" b="1"/>
            </a:pPr>
            <a:r>
              <a:rPr lang="pt-BR" sz="1100" b="1">
                <a:solidFill>
                  <a:srgbClr val="404040"/>
                </a:solidFill>
                <a:latin typeface="Calibri"/>
              </a:rPr>
              <a:t>Veículos por cliente no mês · recebidos x expedidos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Recebidos (IN)</c:v>
          </c:tx>
          <c:spPr>
            <a:solidFill>
              <a:srgbClr val="E01E1E"/>
            </a:solidFill>
            <a:ln>
              <a:noFill/>
            </a:ln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calculos!$B$95:$J$95</c:f>
              <c:strCache>
                <c:ptCount val="9"/>
                <c:pt idx="0">
                  <c:v>BASF</c:v>
                </c:pt>
                <c:pt idx="1">
                  <c:v>BEAUTYBIZ</c:v>
                </c:pt>
                <c:pt idx="2">
                  <c:v>BOTICÁRIO</c:v>
                </c:pt>
                <c:pt idx="3">
                  <c:v>SUPPLY</c:v>
                </c:pt>
                <c:pt idx="4">
                  <c:v>GE VERNOVA</c:v>
                </c:pt>
                <c:pt idx="5">
                  <c:v>VESTAS</c:v>
                </c:pt>
                <c:pt idx="6">
                  <c:v>VEDACIT</c:v>
                </c:pt>
                <c:pt idx="7">
                  <c:v>OMNLIFE</c:v>
                </c:pt>
                <c:pt idx="8">
                  <c:v>ALPARGATAS</c:v>
                </c:pt>
              </c:strCache>
            </c:strRef>
          </c:cat>
          <c:val>
            <c:numRef>
              <c:f>calculos!$B$96:$J$96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Expedidos (OUT)</c:v>
          </c:tx>
          <c:spPr>
            <a:solidFill>
              <a:srgbClr val="A6A6A6"/>
            </a:solidFill>
            <a:ln>
              <a:noFill/>
            </a:ln>
          </c:spPr>
          <c:invertIfNegative val="0"/>
          <c:dLbls>
            <c:numFmt formatCode="#,##0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0">
                    <a:solidFill>
                      <a:srgbClr val="40404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calculos!$B$95:$J$95</c:f>
              <c:strCache>
                <c:ptCount val="9"/>
                <c:pt idx="0">
                  <c:v>BASF</c:v>
                </c:pt>
                <c:pt idx="1">
                  <c:v>BEAUTYBIZ</c:v>
                </c:pt>
                <c:pt idx="2">
                  <c:v>BOTICÁRIO</c:v>
                </c:pt>
                <c:pt idx="3">
                  <c:v>SUPPLY</c:v>
                </c:pt>
                <c:pt idx="4">
                  <c:v>GE VERNOVA</c:v>
                </c:pt>
                <c:pt idx="5">
                  <c:v>VESTAS</c:v>
                </c:pt>
                <c:pt idx="6">
                  <c:v>VEDACIT</c:v>
                </c:pt>
                <c:pt idx="7">
                  <c:v>OMNLIFE</c:v>
                </c:pt>
                <c:pt idx="8">
                  <c:v>ALPARGATAS</c:v>
                </c:pt>
              </c:strCache>
            </c:strRef>
          </c:cat>
          <c:val>
            <c:numRef>
              <c:f>calculos!$B$105:$J$105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50"/>
        <c:overlap val="-10"/>
        <c:axId val="101"/>
        <c:axId val="102"/>
      </c:barChart>
      <c:catAx>
        <c:axId val="10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10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2"/>
        <c:crosses val="autoZero"/>
        <c:auto val="1"/>
        <c:lblAlgn val="ctr"/>
        <c:lblOffset val="100"/>
        <c:tickLblSkip val="1"/>
        <c:noMultiLvlLbl val="0"/>
      </c:catAx>
      <c:valAx>
        <c:axId val="102"/>
        <c:scaling>
          <c:orientation val="minMax"/>
          <c:min val="0"/>
        </c:scaling>
        <c:delete val="1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95959"/>
                </a:solidFill>
                <a:latin typeface="Calibri"/>
              </a:defRPr>
            </a:pPr>
            <a:endParaRPr lang="pt-BR"/>
          </a:p>
        </c:txPr>
        <c:crossAx val="1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900" b="0">
              <a:solidFill>
                <a:srgbClr val="404040"/>
              </a:solidFill>
              <a:latin typeface="Calibri"/>
            </a:defRPr>
          </a:pPr>
          <a:endParaRPr lang="pt-BR"/>
        </a:p>
      </c:txPr>
    </c:legend>
    <c:plotVisOnly val="1"/>
    <c:dispBlanksAs val="gap"/>
  </c:chart>
  <c:spPr>
    <a:solidFill>
      <a:srgbClr val="F2F2F2"/>
    </a:solidFill>
    <a:ln>
      <a:noFill/>
    </a:ln>
  </c:spPr>
  <c:txPr>
    <a:bodyPr/>
    <a:lstStyle/>
    <a:p>
      <a:pPr>
        <a:defRPr sz="900" b="0">
          <a:solidFill>
            <a:srgbClr val="595959"/>
          </a:solidFill>
          <a:latin typeface="Calibri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chart" Target="../charts/chart1.xml"/><Relationship Id="rId8" Type="http://schemas.openxmlformats.org/officeDocument/2006/relationships/chart" Target="../charts/chart2.xml"/><Relationship Id="rId9" Type="http://schemas.openxmlformats.org/officeDocument/2006/relationships/chart" Target="../charts/chart3.xml"/><Relationship Id="rId10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5</xdr:row>
      <xdr:rowOff>57150</xdr:rowOff>
    </xdr:from>
    <xdr:ext cx="438150" cy="323850"/>
    <xdr:pic>
      <xdr:nvPicPr>
        <xdr:cNvPr id="3" name="Imagem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38150" cy="3238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5</xdr:row>
      <xdr:rowOff>57150</xdr:rowOff>
    </xdr:from>
    <xdr:ext cx="438150" cy="381000"/>
    <xdr:pic>
      <xdr:nvPicPr>
        <xdr:cNvPr id="4" name="Imagem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438150" cy="381000"/>
        </a:xfrm>
        <a:prstGeom prst="rect">
          <a:avLst/>
        </a:prstGeom>
      </xdr:spPr>
    </xdr:pic>
    <xdr:clientData/>
  </xdr:oneCellAnchor>
  <xdr:oneCellAnchor>
    <xdr:from>
      <xdr:col>11</xdr:col>
      <xdr:colOff>38100</xdr:colOff>
      <xdr:row>5</xdr:row>
      <xdr:rowOff>57150</xdr:rowOff>
    </xdr:from>
    <xdr:ext cx="438150" cy="381000"/>
    <xdr:pic>
      <xdr:nvPicPr>
        <xdr:cNvPr id="5" name="Imagem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438150" cy="381000"/>
        </a:xfrm>
        <a:prstGeom prst="rect">
          <a:avLst/>
        </a:prstGeom>
      </xdr:spPr>
    </xdr:pic>
    <xdr:clientData/>
  </xdr:oneCellAnchor>
  <xdr:oneCellAnchor>
    <xdr:from>
      <xdr:col>16</xdr:col>
      <xdr:colOff>38100</xdr:colOff>
      <xdr:row>5</xdr:row>
      <xdr:rowOff>57150</xdr:rowOff>
    </xdr:from>
    <xdr:ext cx="438150" cy="333375"/>
    <xdr:pic>
      <xdr:nvPicPr>
        <xdr:cNvPr id="6" name="Imagem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438150" cy="333375"/>
        </a:xfrm>
        <a:prstGeom prst="rect">
          <a:avLst/>
        </a:prstGeom>
      </xdr:spPr>
    </xdr:pic>
    <xdr:clientData/>
  </xdr:oneCellAnchor>
  <xdr:oneCellAnchor>
    <xdr:from>
      <xdr:col>21</xdr:col>
      <xdr:colOff>38100</xdr:colOff>
      <xdr:row>5</xdr:row>
      <xdr:rowOff>57150</xdr:rowOff>
    </xdr:from>
    <xdr:ext cx="438150" cy="438150"/>
    <xdr:pic>
      <xdr:nvPicPr>
        <xdr:cNvPr id="7" name="Imagem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438150" cy="43815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12</xdr:row>
      <xdr:rowOff>0</xdr:rowOff>
    </xdr:from>
    <xdr:to>
      <xdr:col>13</xdr:col>
      <xdr:colOff>0</xdr:colOff>
      <xdr:row>29</xdr:row>
      <xdr:rowOff>0</xdr:rowOff>
    </xdr:to>
    <xdr:graphicFrame macro="">
      <xdr:nvGraphicFramePr>
        <xdr:cNvPr id="8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 editAs="oneCell">
    <xdr:from>
      <xdr:col>14</xdr:col>
      <xdr:colOff>0</xdr:colOff>
      <xdr:row>12</xdr:row>
      <xdr:rowOff>0</xdr:rowOff>
    </xdr:from>
    <xdr:to>
      <xdr:col>25</xdr:col>
      <xdr:colOff>0</xdr:colOff>
      <xdr:row>29</xdr:row>
      <xdr:rowOff>0</xdr:rowOff>
    </xdr:to>
    <xdr:graphicFrame macro="">
      <xdr:nvGraphicFramePr>
        <xdr:cNvPr id="9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10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  <xdr:twoCellAnchor editAs="oneCell">
    <xdr:from>
      <xdr:col>14</xdr:col>
      <xdr:colOff>0</xdr:colOff>
      <xdr:row>30</xdr:row>
      <xdr:rowOff>0</xdr:rowOff>
    </xdr:from>
    <xdr:to>
      <xdr:col>25</xdr:col>
      <xdr:colOff>0</xdr:colOff>
      <xdr:row>47</xdr:row>
      <xdr:rowOff>0</xdr:rowOff>
    </xdr:to>
    <xdr:graphicFrame macro="">
      <xdr:nvGraphicFramePr>
        <xdr:cNvPr id="11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47625</xdr:rowOff>
    </xdr:from>
    <xdr:ext cx="1152525" cy="323850"/>
    <xdr:pic>
      <xdr:nvPicPr>
        <xdr:cNvPr id="2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52525" cy="3238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bBase" displayName="tbBase" ref="A2:AE3" totalsRowShown="0">
  <autoFilter ref="A2:AE3"/>
  <tableColumns count="31">
    <tableColumn id="1" name="Data"/>
    <tableColumn id="2" name="Cliente"/>
    <tableColumn id="3" name="IN Veículos Recebidos"/>
    <tableColumn id="4" name="IN Pallets Movimentados"/>
    <tableColumn id="5" name="IN Toneladas Movimentadas"/>
    <tableColumn id="6" name="IN Caixas Movimentadas"/>
    <tableColumn id="7" name="IN Itens Recebidos CX Mista"/>
    <tableColumn id="8" name="IN Caixas Mistas Recebidas"/>
    <tableColumn id="9" name="IN Caixas Fechadas"/>
    <tableColumn id="10" name="IN Peças Movimentadas"/>
    <tableColumn id="11" name="IN Linhas NF"/>
    <tableColumn id="12" name="OUT Veículos Expedidos"/>
    <tableColumn id="13" name="OUT Pallets Movimentados"/>
    <tableColumn id="14" name="OUT Toneladas Movimentadas"/>
    <tableColumn id="15" name="OUT Caixas Expedidas"/>
    <tableColumn id="16" name="OUT Pedidos Expedidos"/>
    <tableColumn id="17" name="OUT Pedidos Faturados"/>
    <tableColumn id="18" name="OUT Itens Expedidos"/>
    <tableColumn id="19" name="OUT Peças Movimentadas"/>
    <tableColumn id="20" name="OUT Linhas NF"/>
    <tableColumn id="21" name="NC Incidentes"/>
    <tableColumn id="22" name="NC No show"/>
    <tableColumn id="23" name="NC Backlog"/>
    <tableColumn id="24" name="Posições Disponíveis"/>
    <tableColumn id="25" name="Posições Ocupadas"/>
    <tableColumn id="26" name="Efetivo"/>
    <tableColumn id="27" name="Falta"/>
    <tableColumn id="28" name="Folga"/>
    <tableColumn id="29" name="Férias"/>
    <tableColumn id="30" name="Desligamentos"/>
    <tableColumn id="31" name="Modalidade"/>
  </tableColumns>
  <tableStyleInfo name="TableStyleLight1" showFirstColumn="0" showLastColumn="0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Id="rIdTb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1E1E"/>
    <pageSetUpPr fitToPage="1"/>
  </sheetPr>
  <dimension ref="A1:Z48"/>
  <sheetViews>
    <sheetView showGridLines="0" tabSelected="1" zoomScale="90" zoomScaleNormal="90" workbookViewId="0"/>
  </sheetViews>
  <sheetFormatPr defaultRowHeight="15"/>
  <cols>
    <col min="1" max="1" width="1.5" customWidth="1"/>
    <col min="2" max="2" width="7.4" customWidth="1"/>
    <col min="3" max="3" width="7.4" customWidth="1"/>
    <col min="4" max="4" width="7.4" customWidth="1"/>
    <col min="5" max="5" width="7.4" customWidth="1"/>
    <col min="6" max="6" width="1.8" customWidth="1"/>
    <col min="7" max="7" width="7.4" customWidth="1"/>
    <col min="8" max="8" width="7.4" customWidth="1"/>
    <col min="9" max="9" width="7.4" customWidth="1"/>
    <col min="10" max="10" width="7.4" customWidth="1"/>
    <col min="11" max="11" width="1.8" customWidth="1"/>
    <col min="12" max="12" width="7.4" customWidth="1"/>
    <col min="13" max="13" width="7.4" customWidth="1"/>
    <col min="14" max="14" width="7.4" customWidth="1"/>
    <col min="15" max="15" width="7.4" customWidth="1"/>
    <col min="16" max="16" width="1.8" customWidth="1"/>
    <col min="17" max="17" width="7.4" customWidth="1"/>
    <col min="18" max="18" width="7.4" customWidth="1"/>
    <col min="19" max="19" width="7.4" customWidth="1"/>
    <col min="20" max="20" width="7.4" customWidth="1"/>
    <col min="21" max="21" width="1.8" customWidth="1"/>
    <col min="22" max="22" width="7.4" customWidth="1"/>
    <col min="23" max="23" width="7.4" customWidth="1"/>
    <col min="24" max="24" width="7.4" customWidth="1"/>
    <col min="25" max="25" width="7.4" customWidth="1"/>
    <col min="26" max="26" width="1.5" customWidth="1"/>
  </cols>
  <sheetData>
    <row r="1" ht="34.5" customHeight="1">
      <c r="A1" s="1"/>
      <c r="B1" s="1"/>
      <c r="C1" s="1"/>
      <c r="D1" s="1"/>
      <c r="E1" s="1"/>
      <c r="F1" s="1"/>
      <c r="G1" s="432" t="inlineStr">
        <is>
          <t xml:space="preserve">INDICADORES OPERACIONAIS</t>
        </is>
      </c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3" t="inlineStr">
        <is>
          <t xml:space="preserve">SETEMBRO · 2026</t>
        </is>
      </c>
      <c r="V1" s="433"/>
      <c r="W1" s="433"/>
      <c r="X1" s="433"/>
      <c r="Y1" s="433"/>
      <c r="Z1" s="433"/>
    </row>
    <row r="3" ht="26" customHeight="1">
      <c r="B3" s="434" t="inlineStr">
        <is>
          <t xml:space="preserve">CLIENTE  ▸</t>
        </is>
      </c>
      <c r="C3" s="434"/>
      <c r="D3" s="435" t="inlineStr">
        <is>
          <t xml:space="preserve">Todos</t>
        </is>
      </c>
      <c r="E3" s="436"/>
      <c r="F3" s="436"/>
      <c r="G3" s="436"/>
      <c r="H3" s="436"/>
      <c r="I3" s="437"/>
      <c r="Q3" s="438" t="str">
        <f>IF(calculos!$B$9=0,"Sem dados na Base para o mês escolhido","Dados até "&amp;TEXT(calculos!$C$7+calculos!$B$9-1,"dd/mm")&amp;"  ·  ▲▼ comparado a "&amp;LOWER(LEFT(calculos!$B$8,FIND("/",calculos!$B$8)-1))&amp;" (dias 1 a "&amp;calculos!$B$9&amp;")")</f>
        <v>Sem dados na Base para o mês escolhido</v>
      </c>
      <c r="R3" s="438"/>
      <c r="S3" s="438"/>
      <c r="T3" s="438"/>
      <c r="U3" s="438"/>
      <c r="V3" s="438"/>
      <c r="W3" s="438"/>
      <c r="X3" s="438"/>
      <c r="Y3" s="438"/>
    </row>
    <row r="5" ht="22" customHeight="1">
      <c r="B5" s="445" t="inlineStr">
        <is>
          <t xml:space="preserve">RECEBIMENTO (IN)</t>
        </is>
      </c>
      <c r="C5" s="445"/>
      <c r="D5" s="445"/>
      <c r="E5" s="445"/>
      <c r="G5" s="450" t="inlineStr">
        <is>
          <t xml:space="preserve">EXPEDIÇÃO (OUT)</t>
        </is>
      </c>
      <c r="H5" s="450"/>
      <c r="I5" s="450"/>
      <c r="J5" s="450"/>
      <c r="L5" s="452" t="inlineStr">
        <is>
          <t xml:space="preserve">NÃO CONFORMIDADES</t>
        </is>
      </c>
      <c r="M5" s="452"/>
      <c r="N5" s="452"/>
      <c r="O5" s="452"/>
      <c r="Q5" s="445" t="inlineStr">
        <is>
          <t xml:space="preserve">OCUPAÇÃO (P.P)</t>
        </is>
      </c>
      <c r="R5" s="445"/>
      <c r="S5" s="445"/>
      <c r="T5" s="445"/>
      <c r="V5" s="456" t="inlineStr">
        <is>
          <t xml:space="preserve">GENTE</t>
        </is>
      </c>
      <c r="W5" s="456"/>
      <c r="X5" s="456"/>
      <c r="Y5" s="456"/>
    </row>
    <row r="6" ht="19" customHeight="1">
      <c r="B6" s="439"/>
      <c r="C6" s="446">
        <f>calculos!$C$43</f>
        <v>0</v>
      </c>
      <c r="D6" s="446"/>
      <c r="E6" s="446"/>
      <c r="G6" s="439"/>
      <c r="H6" s="446">
        <f>calculos!$L$43</f>
        <v>0</v>
      </c>
      <c r="I6" s="446"/>
      <c r="J6" s="446"/>
      <c r="L6" s="439"/>
      <c r="M6" s="446">
        <f>calculos!$U$43</f>
        <v>0</v>
      </c>
      <c r="N6" s="446"/>
      <c r="O6" s="446"/>
      <c r="Q6" s="439"/>
      <c r="R6" s="454" t="str">
        <f>calculos!$Z$43</f>
        <v/>
      </c>
      <c r="S6" s="454"/>
      <c r="T6" s="454"/>
      <c r="V6" s="439"/>
      <c r="W6" s="446" t="str">
        <f>calculos!$AA$43</f>
        <v/>
      </c>
      <c r="X6" s="446"/>
      <c r="Y6" s="446"/>
    </row>
    <row r="7" ht="19" customHeight="1">
      <c r="B7" s="439"/>
      <c r="C7" s="446"/>
      <c r="D7" s="446"/>
      <c r="E7" s="446"/>
      <c r="G7" s="439"/>
      <c r="H7" s="446"/>
      <c r="I7" s="446"/>
      <c r="J7" s="446"/>
      <c r="L7" s="439"/>
      <c r="M7" s="446"/>
      <c r="N7" s="446"/>
      <c r="O7" s="446"/>
      <c r="Q7" s="439"/>
      <c r="R7" s="454"/>
      <c r="S7" s="454"/>
      <c r="T7" s="454"/>
      <c r="V7" s="439"/>
      <c r="W7" s="446"/>
      <c r="X7" s="446"/>
      <c r="Y7" s="446"/>
    </row>
    <row r="8" ht="19" customHeight="1">
      <c r="B8" s="439"/>
      <c r="C8" s="446"/>
      <c r="D8" s="446"/>
      <c r="E8" s="446"/>
      <c r="G8" s="439"/>
      <c r="H8" s="446"/>
      <c r="I8" s="446"/>
      <c r="J8" s="446"/>
      <c r="L8" s="439"/>
      <c r="M8" s="446"/>
      <c r="N8" s="446"/>
      <c r="O8" s="446"/>
      <c r="Q8" s="439"/>
      <c r="R8" s="454"/>
      <c r="S8" s="454"/>
      <c r="T8" s="454"/>
      <c r="V8" s="439"/>
      <c r="W8" s="446"/>
      <c r="X8" s="446"/>
      <c r="Y8" s="446"/>
    </row>
    <row r="9" ht="15" customHeight="1">
      <c r="B9" s="447" t="inlineStr">
        <is>
          <t xml:space="preserve">veículos recebidos</t>
        </is>
      </c>
      <c r="C9" s="447"/>
      <c r="D9" s="447"/>
      <c r="E9" s="447"/>
      <c r="G9" s="447" t="inlineStr">
        <is>
          <t xml:space="preserve">veículos expedidos</t>
        </is>
      </c>
      <c r="H9" s="447"/>
      <c r="I9" s="447"/>
      <c r="J9" s="447"/>
      <c r="L9" s="447" t="inlineStr">
        <is>
          <t xml:space="preserve">incidentes no mês</t>
        </is>
      </c>
      <c r="M9" s="447"/>
      <c r="N9" s="447"/>
      <c r="O9" s="447"/>
      <c r="Q9" s="447" t="str">
        <f>"taxa de ocupação · "&amp;calculos!$Z$50</f>
        <v>taxa de ocupação · </v>
      </c>
      <c r="R9" s="447"/>
      <c r="S9" s="447"/>
      <c r="T9" s="447"/>
      <c r="V9" s="447" t="inlineStr">
        <is>
          <t xml:space="preserve">efetivo operacional</t>
        </is>
      </c>
      <c r="W9" s="447"/>
      <c r="X9" s="447"/>
      <c r="Y9" s="447"/>
    </row>
    <row r="10" ht="15" customHeight="1">
      <c r="B10" s="448" t="str">
        <f>IFERROR(IF(calculos!$B$3="","",FIXED(INDEX(calculos!$C$43:$AE$43,MATCH(calculos!$B$3,calculos!$C$11:$AE$11,0)),IF(ISNUMBER(SEARCH("Toneladas",calculos!$B$3)),1,0))&amp;" "&amp;MID(calculos!$B$3,FIND(" ",calculos!$B$3)+1,99)),"")</f>
        <v>0 Pallets Movimentados</v>
      </c>
      <c r="C10" s="448"/>
      <c r="D10" s="448"/>
      <c r="E10" s="448"/>
      <c r="G10" s="451" t="str">
        <f>IFERROR(IF(calculos!$C$3="","",FIXED(INDEX(calculos!$C$43:$AE$43,MATCH(calculos!$C$3,calculos!$C$11:$AE$11,0)),IF(ISNUMBER(SEARCH("Toneladas",calculos!$C$3)),1,0))&amp;" "&amp;MID(calculos!$C$3,FIND(" ",calculos!$C$3)+1,99)),"")</f>
        <v>0 Pallets Movimentados</v>
      </c>
      <c r="H10" s="451"/>
      <c r="I10" s="451"/>
      <c r="J10" s="451"/>
      <c r="L10" s="453">
        <f>calculos!$V$43</f>
        <v>0</v>
      </c>
      <c r="M10" s="453"/>
      <c r="N10" s="453"/>
      <c r="O10" s="453"/>
      <c r="Q10" s="455" t="str">
        <f>calculos!$Y$43</f>
        <v/>
      </c>
      <c r="R10" s="455"/>
      <c r="S10" s="455"/>
      <c r="T10" s="455"/>
      <c r="V10" s="457">
        <f>calculos!$AB$43</f>
        <v>0</v>
      </c>
      <c r="W10" s="457"/>
      <c r="X10" s="457"/>
      <c r="Y10" s="457"/>
    </row>
    <row r="11" ht="16" customHeight="1">
      <c r="B11" s="449" t="str">
        <f>calculos!$C$47</f>
        <v/>
      </c>
      <c r="C11" s="449"/>
      <c r="D11" s="449"/>
      <c r="E11" s="449"/>
      <c r="G11" s="449" t="str">
        <f>calculos!$L$47</f>
        <v/>
      </c>
      <c r="H11" s="449"/>
      <c r="I11" s="449"/>
      <c r="J11" s="449"/>
      <c r="L11" s="449" t="str">
        <f>calculos!$U$47</f>
        <v/>
      </c>
      <c r="M11" s="449"/>
      <c r="N11" s="449"/>
      <c r="O11" s="449"/>
      <c r="Q11" s="449" t="str">
        <f>calculos!$Z$47</f>
        <v/>
      </c>
      <c r="R11" s="449"/>
      <c r="S11" s="449"/>
      <c r="T11" s="449"/>
      <c r="V11" s="449" t="str">
        <f>calculos!$AA$47</f>
        <v/>
      </c>
      <c r="W11" s="449"/>
      <c r="X11" s="449"/>
      <c r="Y11" s="449"/>
    </row>
    <row r="48">
      <c r="B48" s="458" t="inlineStr">
        <is>
          <t xml:space="preserve">Cartões e gráficos seguem o filtro de cliente (o ranking mostra todos). Detalhe dos indicadores de cada cliente na aba “Quadro de Indicadores”. Fonte: Power Automate · IntraLog.</t>
        </is>
      </c>
      <c r="C48" s="458"/>
      <c r="D48" s="458"/>
      <c r="E48" s="458"/>
      <c r="F48" s="458"/>
      <c r="G48" s="458"/>
      <c r="H48" s="458"/>
      <c r="I48" s="458"/>
      <c r="J48" s="458"/>
      <c r="K48" s="458"/>
      <c r="L48" s="458"/>
      <c r="M48" s="458"/>
      <c r="N48" s="458"/>
      <c r="O48" s="458"/>
      <c r="P48" s="458"/>
      <c r="Q48" s="458"/>
      <c r="R48" s="458"/>
      <c r="S48" s="458"/>
      <c r="T48" s="458"/>
      <c r="U48" s="458"/>
      <c r="V48" s="458"/>
      <c r="W48" s="458"/>
      <c r="X48" s="458"/>
      <c r="Y48" s="458"/>
    </row>
  </sheetData>
  <mergeCells count="31">
    <mergeCell ref="G1:T1"/>
    <mergeCell ref="U1:Z1"/>
    <mergeCell ref="B3:C3"/>
    <mergeCell ref="D3:I3"/>
    <mergeCell ref="Q3:Y3"/>
    <mergeCell ref="B5:E5"/>
    <mergeCell ref="C6:E8"/>
    <mergeCell ref="B9:E9"/>
    <mergeCell ref="B10:E10"/>
    <mergeCell ref="B11:E11"/>
    <mergeCell ref="G5:J5"/>
    <mergeCell ref="H6:J8"/>
    <mergeCell ref="G9:J9"/>
    <mergeCell ref="G10:J10"/>
    <mergeCell ref="G11:J11"/>
    <mergeCell ref="L5:O5"/>
    <mergeCell ref="M6:O8"/>
    <mergeCell ref="L9:O9"/>
    <mergeCell ref="L10:O10"/>
    <mergeCell ref="L11:O11"/>
    <mergeCell ref="Q5:T5"/>
    <mergeCell ref="R6:T8"/>
    <mergeCell ref="Q9:T9"/>
    <mergeCell ref="Q10:T10"/>
    <mergeCell ref="Q11:T11"/>
    <mergeCell ref="V5:Y5"/>
    <mergeCell ref="W6:Y8"/>
    <mergeCell ref="V9:Y9"/>
    <mergeCell ref="V10:Y10"/>
    <mergeCell ref="V11:Y11"/>
    <mergeCell ref="B48:Y48"/>
  </mergeCells>
  <conditionalFormatting sqref="B11">
    <cfRule type="expression" dxfId="6" priority="1">
      <formula>AND(ISNUMBER(B11),B11&gt;0)</formula>
    </cfRule>
  </conditionalFormatting>
  <conditionalFormatting sqref="B11">
    <cfRule type="expression" dxfId="7" priority="2">
      <formula>AND(ISNUMBER(B11),B11&lt;0)</formula>
    </cfRule>
  </conditionalFormatting>
  <conditionalFormatting sqref="G11">
    <cfRule type="expression" dxfId="6" priority="3">
      <formula>AND(ISNUMBER(G11),G11&gt;0)</formula>
    </cfRule>
  </conditionalFormatting>
  <conditionalFormatting sqref="G11">
    <cfRule type="expression" dxfId="7" priority="4">
      <formula>AND(ISNUMBER(G11),G11&lt;0)</formula>
    </cfRule>
  </conditionalFormatting>
  <conditionalFormatting sqref="L11">
    <cfRule type="expression" dxfId="6" priority="5">
      <formula>AND(ISNUMBER(L11),L11&lt;0)</formula>
    </cfRule>
  </conditionalFormatting>
  <conditionalFormatting sqref="L11">
    <cfRule type="expression" dxfId="7" priority="6">
      <formula>AND(ISNUMBER(L11),L11&gt;0)</formula>
    </cfRule>
  </conditionalFormatting>
  <conditionalFormatting sqref="R6">
    <cfRule type="expression" dxfId="7" priority="7" stopIfTrue="1">
      <formula>AND(ISNUMBER(R6),R6&gt;=calculos!$B$6)</formula>
    </cfRule>
  </conditionalFormatting>
  <conditionalFormatting sqref="R6">
    <cfRule type="expression" dxfId="8" priority="8" stopIfTrue="1">
      <formula>AND(ISNUMBER(R6),R6&gt;=calculos!$B$5)</formula>
    </cfRule>
  </conditionalFormatting>
  <conditionalFormatting sqref="R6">
    <cfRule type="expression" dxfId="6" priority="9">
      <formula>ISNUMBER(R6)</formula>
    </cfRule>
  </conditionalFormatting>
  <dataValidations count="2">
    <dataValidation type="list" allowBlank="1" showInputMessage="1" showErrorMessage="1" errorTitle="Cliente" error="Escolha um cliente da lista." promptTitle="Cliente" prompt="Escolha um cliente ou Todos. A página inteira se atualiza." sqref="D3">
      <formula1>calculos!$AL$12:$AL$21</formula1>
    </dataValidation>
    <dataValidation type="list" allowBlank="0" showInputMessage="1" showErrorMessage="1" errorTitle="Mês / ano" error="Escolha um mês da lista." promptTitle="Mês / ano" prompt="Escolha o mês / ano dos Indicadores. Os dados vêm da aba Base." sqref="U1">
      <formula1>calculos!$AN$12:$AN$35</formula1>
    </dataValidation>
  </dataValidations>
  <pageMargins left="0.25" right="0.25" top="0.4" bottom="0.4" header="0.2" footer="0.2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00000"/>
    <pageSetUpPr fitToPage="1"/>
  </sheetPr>
  <dimension ref="A1:AK164"/>
  <sheetViews>
    <sheetView showGridLines="0" zoomScale="100" zoomScaleNormal="100" workbookViewId="0">
      <pane xSplit="5" ySplit="4" topLeftCell="F5" activePane="bottomRight" state="frozen"/>
      <selection pane="bottomRight" activeCell="F5" sqref="F5"/>
    </sheetView>
  </sheetViews>
  <sheetFormatPr defaultRowHeight="15"/>
  <cols>
    <col min="1" max="1" width="13" customWidth="1"/>
    <col min="2" max="2" width="17.3" customWidth="1"/>
    <col min="3" max="3" width="22.3" customWidth="1"/>
    <col min="4" max="4" width="8" customWidth="1"/>
    <col min="5" max="5" width="1.6" customWidth="1"/>
    <col min="6" max="6" width="6.3" customWidth="1"/>
    <col min="7" max="7" width="6.3" customWidth="1"/>
    <col min="8" max="8" width="6.3" customWidth="1"/>
    <col min="9" max="9" width="6.3" customWidth="1"/>
    <col min="10" max="10" width="6.3" customWidth="1"/>
    <col min="11" max="11" width="6.3" customWidth="1"/>
    <col min="12" max="12" width="6.3" customWidth="1"/>
    <col min="13" max="13" width="6.3" customWidth="1"/>
    <col min="14" max="14" width="6.3" customWidth="1"/>
    <col min="15" max="15" width="6.3" customWidth="1"/>
    <col min="16" max="16" width="6.3" customWidth="1"/>
    <col min="17" max="17" width="6.3" customWidth="1"/>
    <col min="18" max="18" width="6.3" customWidth="1"/>
    <col min="19" max="19" width="6.3" customWidth="1"/>
    <col min="20" max="20" width="6.3" customWidth="1"/>
    <col min="21" max="21" width="6.3" customWidth="1"/>
    <col min="22" max="22" width="6.3" customWidth="1"/>
    <col min="23" max="23" width="6.3" customWidth="1"/>
    <col min="24" max="24" width="6.3" customWidth="1"/>
    <col min="25" max="25" width="6.3" customWidth="1"/>
    <col min="26" max="26" width="6.3" customWidth="1"/>
    <col min="27" max="27" width="6.3" customWidth="1"/>
    <col min="28" max="28" width="6.3" customWidth="1"/>
    <col min="29" max="29" width="6.3" customWidth="1"/>
    <col min="30" max="30" width="6.3" customWidth="1"/>
    <col min="31" max="31" width="6.3" customWidth="1"/>
    <col min="32" max="32" width="6.3" customWidth="1"/>
    <col min="33" max="33" width="6.3" customWidth="1"/>
    <col min="34" max="34" width="6.3" customWidth="1"/>
    <col min="35" max="35" width="6.3" customWidth="1"/>
    <col min="36" max="36" width="6.3" customWidth="1"/>
    <col min="37" max="37" width="9.5" customWidth="1"/>
  </cols>
  <sheetData>
    <row r="1" ht="34.5" customHeight="1">
      <c r="A1" s="1"/>
      <c r="B1" s="1"/>
      <c r="C1" s="1"/>
      <c r="D1" s="1"/>
      <c r="E1" s="1"/>
      <c r="F1" s="2" t="inlineStr">
        <is>
          <t xml:space="preserve">MONITORAMENTO DIÁRIO DE PERFORMANCE</t>
        </is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 t="inlineStr">
        <is>
          <t xml:space="preserve">SETEMBRO · 2026</t>
        </is>
      </c>
      <c r="AF1" s="3"/>
      <c r="AG1" s="3"/>
      <c r="AH1" s="3"/>
      <c r="AI1" s="3"/>
      <c r="AJ1" s="3"/>
      <c r="AK1" s="3"/>
    </row>
    <row r="2" ht="19.5" customHeight="1">
      <c r="A2" s="4" t="inlineStr">
        <is>
          <t xml:space="preserve">CLIENTE</t>
        </is>
      </c>
      <c r="B2" s="6" t="inlineStr">
        <is>
          <t xml:space="preserve">INDICADORES</t>
        </is>
      </c>
      <c r="C2" s="7"/>
      <c r="D2" s="10" t="inlineStr">
        <is>
          <t xml:space="preserve">META</t>
        </is>
      </c>
      <c r="F2" s="12" t="inlineStr">
        <is>
          <t xml:space="preserve">REALIZADO P/DIA</t>
        </is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4"/>
      <c r="AK2" s="15" t="inlineStr">
        <is>
          <t xml:space="preserve">MÊS</t>
        </is>
      </c>
    </row>
    <row r="3" ht="13.5" customHeight="1">
      <c r="A3" s="5"/>
      <c r="B3" s="8"/>
      <c r="C3" s="9"/>
      <c r="D3" s="11"/>
      <c r="F3" s="17">
        <f>IF(ISNUMBER($AE$1),DATE(YEAR($AE$1),MONTH($AE$1),1),IFERROR(DATE(VALUE(RIGHT(TRIM($AE$1),4)),MATCH(TRIM(LEFT($AE$1,FIND("·",$AE$1)-1)),{"JANEIRO","FEVEREIRO","MARÇO","ABRIL","MAIO","JUNHO","JULHO","AGOSTO","SETEMBRO","OUTUBRO","NOVEMBRO","DEZEMBRO"},0),1),DATE(2026,9,1)))</f>
        <v>46266</v>
      </c>
      <c r="G3" s="18">
        <f>IF(F3="","",IF(MONTH(F3+1)=MONTH($F$3),F3+1,""))</f>
        <v>46267</v>
      </c>
      <c r="H3" s="18">
        <f>IF(G3="","",IF(MONTH(G3+1)=MONTH($F$3),G3+1,""))</f>
        <v>46268</v>
      </c>
      <c r="I3" s="18">
        <f>IF(H3="","",IF(MONTH(H3+1)=MONTH($F$3),H3+1,""))</f>
        <v>46269</v>
      </c>
      <c r="J3" s="19">
        <f>IF(I3="","",IF(MONTH(I3+1)=MONTH($F$3),I3+1,""))</f>
        <v>46270</v>
      </c>
      <c r="K3" s="19">
        <f>IF(J3="","",IF(MONTH(J3+1)=MONTH($F$3),J3+1,""))</f>
        <v>46271</v>
      </c>
      <c r="L3" s="18">
        <f>IF(K3="","",IF(MONTH(K3+1)=MONTH($F$3),K3+1,""))</f>
        <v>46272</v>
      </c>
      <c r="M3" s="18">
        <f>IF(L3="","",IF(MONTH(L3+1)=MONTH($F$3),L3+1,""))</f>
        <v>46273</v>
      </c>
      <c r="N3" s="18">
        <f>IF(M3="","",IF(MONTH(M3+1)=MONTH($F$3),M3+1,""))</f>
        <v>46274</v>
      </c>
      <c r="O3" s="18">
        <f>IF(N3="","",IF(MONTH(N3+1)=MONTH($F$3),N3+1,""))</f>
        <v>46275</v>
      </c>
      <c r="P3" s="18">
        <f>IF(O3="","",IF(MONTH(O3+1)=MONTH($F$3),O3+1,""))</f>
        <v>46276</v>
      </c>
      <c r="Q3" s="19">
        <f>IF(P3="","",IF(MONTH(P3+1)=MONTH($F$3),P3+1,""))</f>
        <v>46277</v>
      </c>
      <c r="R3" s="19">
        <f>IF(Q3="","",IF(MONTH(Q3+1)=MONTH($F$3),Q3+1,""))</f>
        <v>46278</v>
      </c>
      <c r="S3" s="18">
        <f>IF(R3="","",IF(MONTH(R3+1)=MONTH($F$3),R3+1,""))</f>
        <v>46279</v>
      </c>
      <c r="T3" s="18">
        <f>IF(S3="","",IF(MONTH(S3+1)=MONTH($F$3),S3+1,""))</f>
        <v>46280</v>
      </c>
      <c r="U3" s="18">
        <f>IF(T3="","",IF(MONTH(T3+1)=MONTH($F$3),T3+1,""))</f>
        <v>46281</v>
      </c>
      <c r="V3" s="18">
        <f>IF(U3="","",IF(MONTH(U3+1)=MONTH($F$3),U3+1,""))</f>
        <v>46282</v>
      </c>
      <c r="W3" s="18">
        <f>IF(V3="","",IF(MONTH(V3+1)=MONTH($F$3),V3+1,""))</f>
        <v>46283</v>
      </c>
      <c r="X3" s="19">
        <f>IF(W3="","",IF(MONTH(W3+1)=MONTH($F$3),W3+1,""))</f>
        <v>46284</v>
      </c>
      <c r="Y3" s="19">
        <f>IF(X3="","",IF(MONTH(X3+1)=MONTH($F$3),X3+1,""))</f>
        <v>46285</v>
      </c>
      <c r="Z3" s="18">
        <f>IF(Y3="","",IF(MONTH(Y3+1)=MONTH($F$3),Y3+1,""))</f>
        <v>46286</v>
      </c>
      <c r="AA3" s="18">
        <f>IF(Z3="","",IF(MONTH(Z3+1)=MONTH($F$3),Z3+1,""))</f>
        <v>46287</v>
      </c>
      <c r="AB3" s="18">
        <f>IF(AA3="","",IF(MONTH(AA3+1)=MONTH($F$3),AA3+1,""))</f>
        <v>46288</v>
      </c>
      <c r="AC3" s="18">
        <f>IF(AB3="","",IF(MONTH(AB3+1)=MONTH($F$3),AB3+1,""))</f>
        <v>46289</v>
      </c>
      <c r="AD3" s="18">
        <f>IF(AC3="","",IF(MONTH(AC3+1)=MONTH($F$3),AC3+1,""))</f>
        <v>46290</v>
      </c>
      <c r="AE3" s="19">
        <f>IF(AD3="","",IF(MONTH(AD3+1)=MONTH($F$3),AD3+1,""))</f>
        <v>46291</v>
      </c>
      <c r="AF3" s="19">
        <f>IF(AE3="","",IF(MONTH(AE3+1)=MONTH($F$3),AE3+1,""))</f>
        <v>46292</v>
      </c>
      <c r="AG3" s="18">
        <f>IF(AF3="","",IF(MONTH(AF3+1)=MONTH($F$3),AF3+1,""))</f>
        <v>46293</v>
      </c>
      <c r="AH3" s="18">
        <f>IF(AG3="","",IF(MONTH(AG3+1)=MONTH($F$3),AG3+1,""))</f>
        <v>46294</v>
      </c>
      <c r="AI3" s="18">
        <f>IF(AH3="","",IF(MONTH(AH3+1)=MONTH($F$3),AH3+1,""))</f>
        <v>46295</v>
      </c>
      <c r="AJ3" s="20" t="str">
        <f>IF(AI3="","",IF(MONTH(AI3+1)=MONTH($F$3),AI3+1,""))</f>
        <v/>
      </c>
      <c r="AK3" s="16"/>
    </row>
    <row r="5" ht="15.75" customHeight="1">
      <c r="A5" s="117" t="inlineStr">
        <is>
          <t xml:space="preserve">BASF</t>
        </is>
      </c>
      <c r="B5" s="105" t="inlineStr">
        <is>
          <t xml:space="preserve">IN</t>
        </is>
      </c>
      <c r="C5" s="21" t="inlineStr">
        <is>
          <t xml:space="preserve">Veículos Recebidos</t>
        </is>
      </c>
      <c r="D5" s="22" t="str">
        <f>IFERROR(1/(1/INDEX(calculos!$C$55:$K$83,MATCH("IN Veículos Recebidos",calculos!$A$55:$A$83,0),MATCH($A$5,calculos!$C$54:$K$54,0))),"")</f>
        <v/>
      </c>
      <c r="E5" s="23"/>
      <c r="F5" s="24" t="str">
        <f>IF(F$3="","",IF(COUNTIFS(Base!$A$3:$A$5001,F$3,Base!$B$3:$B$5001,$A$5,Base!$C$3:$C$5001,"&lt;&gt;")=0,"",SUMIFS(Base!$C$3:$C$5001,Base!$A$3:$A$5001,F$3,Base!$B$3:$B$5001,$A$5)))</f>
        <v/>
      </c>
      <c r="G5" s="25" t="str">
        <f>IF(G$3="","",IF(COUNTIFS(Base!$A$3:$A$5001,G$3,Base!$B$3:$B$5001,$A$5,Base!$C$3:$C$5001,"&lt;&gt;")=0,"",SUMIFS(Base!$C$3:$C$5001,Base!$A$3:$A$5001,G$3,Base!$B$3:$B$5001,$A$5)))</f>
        <v/>
      </c>
      <c r="H5" s="25" t="str">
        <f>IF(H$3="","",IF(COUNTIFS(Base!$A$3:$A$5001,H$3,Base!$B$3:$B$5001,$A$5,Base!$C$3:$C$5001,"&lt;&gt;")=0,"",SUMIFS(Base!$C$3:$C$5001,Base!$A$3:$A$5001,H$3,Base!$B$3:$B$5001,$A$5)))</f>
        <v/>
      </c>
      <c r="I5" s="25" t="str">
        <f>IF(I$3="","",IF(COUNTIFS(Base!$A$3:$A$5001,I$3,Base!$B$3:$B$5001,$A$5,Base!$C$3:$C$5001,"&lt;&gt;")=0,"",SUMIFS(Base!$C$3:$C$5001,Base!$A$3:$A$5001,I$3,Base!$B$3:$B$5001,$A$5)))</f>
        <v/>
      </c>
      <c r="J5" s="25" t="str">
        <f>IF(J$3="","",IF(COUNTIFS(Base!$A$3:$A$5001,J$3,Base!$B$3:$B$5001,$A$5,Base!$C$3:$C$5001,"&lt;&gt;")=0,"",SUMIFS(Base!$C$3:$C$5001,Base!$A$3:$A$5001,J$3,Base!$B$3:$B$5001,$A$5)))</f>
        <v/>
      </c>
      <c r="K5" s="25" t="str">
        <f>IF(K$3="","",IF(COUNTIFS(Base!$A$3:$A$5001,K$3,Base!$B$3:$B$5001,$A$5,Base!$C$3:$C$5001,"&lt;&gt;")=0,"",SUMIFS(Base!$C$3:$C$5001,Base!$A$3:$A$5001,K$3,Base!$B$3:$B$5001,$A$5)))</f>
        <v/>
      </c>
      <c r="L5" s="25" t="str">
        <f>IF(L$3="","",IF(COUNTIFS(Base!$A$3:$A$5001,L$3,Base!$B$3:$B$5001,$A$5,Base!$C$3:$C$5001,"&lt;&gt;")=0,"",SUMIFS(Base!$C$3:$C$5001,Base!$A$3:$A$5001,L$3,Base!$B$3:$B$5001,$A$5)))</f>
        <v/>
      </c>
      <c r="M5" s="25" t="str">
        <f>IF(M$3="","",IF(COUNTIFS(Base!$A$3:$A$5001,M$3,Base!$B$3:$B$5001,$A$5,Base!$C$3:$C$5001,"&lt;&gt;")=0,"",SUMIFS(Base!$C$3:$C$5001,Base!$A$3:$A$5001,M$3,Base!$B$3:$B$5001,$A$5)))</f>
        <v/>
      </c>
      <c r="N5" s="25" t="str">
        <f>IF(N$3="","",IF(COUNTIFS(Base!$A$3:$A$5001,N$3,Base!$B$3:$B$5001,$A$5,Base!$C$3:$C$5001,"&lt;&gt;")=0,"",SUMIFS(Base!$C$3:$C$5001,Base!$A$3:$A$5001,N$3,Base!$B$3:$B$5001,$A$5)))</f>
        <v/>
      </c>
      <c r="O5" s="25" t="str">
        <f>IF(O$3="","",IF(COUNTIFS(Base!$A$3:$A$5001,O$3,Base!$B$3:$B$5001,$A$5,Base!$C$3:$C$5001,"&lt;&gt;")=0,"",SUMIFS(Base!$C$3:$C$5001,Base!$A$3:$A$5001,O$3,Base!$B$3:$B$5001,$A$5)))</f>
        <v/>
      </c>
      <c r="P5" s="25" t="str">
        <f>IF(P$3="","",IF(COUNTIFS(Base!$A$3:$A$5001,P$3,Base!$B$3:$B$5001,$A$5,Base!$C$3:$C$5001,"&lt;&gt;")=0,"",SUMIFS(Base!$C$3:$C$5001,Base!$A$3:$A$5001,P$3,Base!$B$3:$B$5001,$A$5)))</f>
        <v/>
      </c>
      <c r="Q5" s="25" t="str">
        <f>IF(Q$3="","",IF(COUNTIFS(Base!$A$3:$A$5001,Q$3,Base!$B$3:$B$5001,$A$5,Base!$C$3:$C$5001,"&lt;&gt;")=0,"",SUMIFS(Base!$C$3:$C$5001,Base!$A$3:$A$5001,Q$3,Base!$B$3:$B$5001,$A$5)))</f>
        <v/>
      </c>
      <c r="R5" s="25" t="str">
        <f>IF(R$3="","",IF(COUNTIFS(Base!$A$3:$A$5001,R$3,Base!$B$3:$B$5001,$A$5,Base!$C$3:$C$5001,"&lt;&gt;")=0,"",SUMIFS(Base!$C$3:$C$5001,Base!$A$3:$A$5001,R$3,Base!$B$3:$B$5001,$A$5)))</f>
        <v/>
      </c>
      <c r="S5" s="25" t="str">
        <f>IF(S$3="","",IF(COUNTIFS(Base!$A$3:$A$5001,S$3,Base!$B$3:$B$5001,$A$5,Base!$C$3:$C$5001,"&lt;&gt;")=0,"",SUMIFS(Base!$C$3:$C$5001,Base!$A$3:$A$5001,S$3,Base!$B$3:$B$5001,$A$5)))</f>
        <v/>
      </c>
      <c r="T5" s="25" t="str">
        <f>IF(T$3="","",IF(COUNTIFS(Base!$A$3:$A$5001,T$3,Base!$B$3:$B$5001,$A$5,Base!$C$3:$C$5001,"&lt;&gt;")=0,"",SUMIFS(Base!$C$3:$C$5001,Base!$A$3:$A$5001,T$3,Base!$B$3:$B$5001,$A$5)))</f>
        <v/>
      </c>
      <c r="U5" s="25" t="str">
        <f>IF(U$3="","",IF(COUNTIFS(Base!$A$3:$A$5001,U$3,Base!$B$3:$B$5001,$A$5,Base!$C$3:$C$5001,"&lt;&gt;")=0,"",SUMIFS(Base!$C$3:$C$5001,Base!$A$3:$A$5001,U$3,Base!$B$3:$B$5001,$A$5)))</f>
        <v/>
      </c>
      <c r="V5" s="25" t="str">
        <f>IF(V$3="","",IF(COUNTIFS(Base!$A$3:$A$5001,V$3,Base!$B$3:$B$5001,$A$5,Base!$C$3:$C$5001,"&lt;&gt;")=0,"",SUMIFS(Base!$C$3:$C$5001,Base!$A$3:$A$5001,V$3,Base!$B$3:$B$5001,$A$5)))</f>
        <v/>
      </c>
      <c r="W5" s="25" t="str">
        <f>IF(W$3="","",IF(COUNTIFS(Base!$A$3:$A$5001,W$3,Base!$B$3:$B$5001,$A$5,Base!$C$3:$C$5001,"&lt;&gt;")=0,"",SUMIFS(Base!$C$3:$C$5001,Base!$A$3:$A$5001,W$3,Base!$B$3:$B$5001,$A$5)))</f>
        <v/>
      </c>
      <c r="X5" s="25" t="str">
        <f>IF(X$3="","",IF(COUNTIFS(Base!$A$3:$A$5001,X$3,Base!$B$3:$B$5001,$A$5,Base!$C$3:$C$5001,"&lt;&gt;")=0,"",SUMIFS(Base!$C$3:$C$5001,Base!$A$3:$A$5001,X$3,Base!$B$3:$B$5001,$A$5)))</f>
        <v/>
      </c>
      <c r="Y5" s="25" t="str">
        <f>IF(Y$3="","",IF(COUNTIFS(Base!$A$3:$A$5001,Y$3,Base!$B$3:$B$5001,$A$5,Base!$C$3:$C$5001,"&lt;&gt;")=0,"",SUMIFS(Base!$C$3:$C$5001,Base!$A$3:$A$5001,Y$3,Base!$B$3:$B$5001,$A$5)))</f>
        <v/>
      </c>
      <c r="Z5" s="25" t="str">
        <f>IF(Z$3="","",IF(COUNTIFS(Base!$A$3:$A$5001,Z$3,Base!$B$3:$B$5001,$A$5,Base!$C$3:$C$5001,"&lt;&gt;")=0,"",SUMIFS(Base!$C$3:$C$5001,Base!$A$3:$A$5001,Z$3,Base!$B$3:$B$5001,$A$5)))</f>
        <v/>
      </c>
      <c r="AA5" s="25" t="str">
        <f>IF(AA$3="","",IF(COUNTIFS(Base!$A$3:$A$5001,AA$3,Base!$B$3:$B$5001,$A$5,Base!$C$3:$C$5001,"&lt;&gt;")=0,"",SUMIFS(Base!$C$3:$C$5001,Base!$A$3:$A$5001,AA$3,Base!$B$3:$B$5001,$A$5)))</f>
        <v/>
      </c>
      <c r="AB5" s="25" t="str">
        <f>IF(AB$3="","",IF(COUNTIFS(Base!$A$3:$A$5001,AB$3,Base!$B$3:$B$5001,$A$5,Base!$C$3:$C$5001,"&lt;&gt;")=0,"",SUMIFS(Base!$C$3:$C$5001,Base!$A$3:$A$5001,AB$3,Base!$B$3:$B$5001,$A$5)))</f>
        <v/>
      </c>
      <c r="AC5" s="25" t="str">
        <f>IF(AC$3="","",IF(COUNTIFS(Base!$A$3:$A$5001,AC$3,Base!$B$3:$B$5001,$A$5,Base!$C$3:$C$5001,"&lt;&gt;")=0,"",SUMIFS(Base!$C$3:$C$5001,Base!$A$3:$A$5001,AC$3,Base!$B$3:$B$5001,$A$5)))</f>
        <v/>
      </c>
      <c r="AD5" s="25" t="str">
        <f>IF(AD$3="","",IF(COUNTIFS(Base!$A$3:$A$5001,AD$3,Base!$B$3:$B$5001,$A$5,Base!$C$3:$C$5001,"&lt;&gt;")=0,"",SUMIFS(Base!$C$3:$C$5001,Base!$A$3:$A$5001,AD$3,Base!$B$3:$B$5001,$A$5)))</f>
        <v/>
      </c>
      <c r="AE5" s="25" t="str">
        <f>IF(AE$3="","",IF(COUNTIFS(Base!$A$3:$A$5001,AE$3,Base!$B$3:$B$5001,$A$5,Base!$C$3:$C$5001,"&lt;&gt;")=0,"",SUMIFS(Base!$C$3:$C$5001,Base!$A$3:$A$5001,AE$3,Base!$B$3:$B$5001,$A$5)))</f>
        <v/>
      </c>
      <c r="AF5" s="25" t="str">
        <f>IF(AF$3="","",IF(COUNTIFS(Base!$A$3:$A$5001,AF$3,Base!$B$3:$B$5001,$A$5,Base!$C$3:$C$5001,"&lt;&gt;")=0,"",SUMIFS(Base!$C$3:$C$5001,Base!$A$3:$A$5001,AF$3,Base!$B$3:$B$5001,$A$5)))</f>
        <v/>
      </c>
      <c r="AG5" s="25" t="str">
        <f>IF(AG$3="","",IF(COUNTIFS(Base!$A$3:$A$5001,AG$3,Base!$B$3:$B$5001,$A$5,Base!$C$3:$C$5001,"&lt;&gt;")=0,"",SUMIFS(Base!$C$3:$C$5001,Base!$A$3:$A$5001,AG$3,Base!$B$3:$B$5001,$A$5)))</f>
        <v/>
      </c>
      <c r="AH5" s="25" t="str">
        <f>IF(AH$3="","",IF(COUNTIFS(Base!$A$3:$A$5001,AH$3,Base!$B$3:$B$5001,$A$5,Base!$C$3:$C$5001,"&lt;&gt;")=0,"",SUMIFS(Base!$C$3:$C$5001,Base!$A$3:$A$5001,AH$3,Base!$B$3:$B$5001,$A$5)))</f>
        <v/>
      </c>
      <c r="AI5" s="25" t="str">
        <f>IF(AI$3="","",IF(COUNTIFS(Base!$A$3:$A$5001,AI$3,Base!$B$3:$B$5001,$A$5,Base!$C$3:$C$5001,"&lt;&gt;")=0,"",SUMIFS(Base!$C$3:$C$5001,Base!$A$3:$A$5001,AI$3,Base!$B$3:$B$5001,$A$5)))</f>
        <v/>
      </c>
      <c r="AJ5" s="26" t="str">
        <f>IF(AJ$3="","",IF(COUNTIFS(Base!$A$3:$A$5001,AJ$3,Base!$B$3:$B$5001,$A$5,Base!$C$3:$C$5001,"&lt;&gt;")=0,"",SUMIFS(Base!$C$3:$C$5001,Base!$A$3:$A$5001,AJ$3,Base!$B$3:$B$5001,$A$5)))</f>
        <v/>
      </c>
      <c r="AK5" s="27" t="str">
        <f>IF(COUNT(F5:AJ5)=0,"",SUM(F5:AJ5))</f>
        <v/>
      </c>
    </row>
    <row r="6" ht="15.75" customHeight="1">
      <c r="A6" s="118"/>
      <c r="B6" s="106"/>
      <c r="C6" s="28" t="inlineStr">
        <is>
          <t xml:space="preserve">Pallets Movimentados</t>
        </is>
      </c>
      <c r="D6" s="29" t="str">
        <f>IFERROR(1/(1/INDEX(calculos!$C$55:$K$83,MATCH("IN Pallets Movimentados",calculos!$A$55:$A$83,0),MATCH($A$5,calculos!$C$54:$K$54,0))),"")</f>
        <v/>
      </c>
      <c r="E6" s="30"/>
      <c r="F6" s="31" t="str">
        <f>IF(F$3="","",IF(COUNTIFS(Base!$A$3:$A$5001,F$3,Base!$B$3:$B$5001,$A$5,Base!$D$3:$D$5001,"&lt;&gt;")=0,"",SUMIFS(Base!$D$3:$D$5001,Base!$A$3:$A$5001,F$3,Base!$B$3:$B$5001,$A$5)))</f>
        <v/>
      </c>
      <c r="G6" s="32" t="str">
        <f>IF(G$3="","",IF(COUNTIFS(Base!$A$3:$A$5001,G$3,Base!$B$3:$B$5001,$A$5,Base!$D$3:$D$5001,"&lt;&gt;")=0,"",SUMIFS(Base!$D$3:$D$5001,Base!$A$3:$A$5001,G$3,Base!$B$3:$B$5001,$A$5)))</f>
        <v/>
      </c>
      <c r="H6" s="32" t="str">
        <f>IF(H$3="","",IF(COUNTIFS(Base!$A$3:$A$5001,H$3,Base!$B$3:$B$5001,$A$5,Base!$D$3:$D$5001,"&lt;&gt;")=0,"",SUMIFS(Base!$D$3:$D$5001,Base!$A$3:$A$5001,H$3,Base!$B$3:$B$5001,$A$5)))</f>
        <v/>
      </c>
      <c r="I6" s="32" t="str">
        <f>IF(I$3="","",IF(COUNTIFS(Base!$A$3:$A$5001,I$3,Base!$B$3:$B$5001,$A$5,Base!$D$3:$D$5001,"&lt;&gt;")=0,"",SUMIFS(Base!$D$3:$D$5001,Base!$A$3:$A$5001,I$3,Base!$B$3:$B$5001,$A$5)))</f>
        <v/>
      </c>
      <c r="J6" s="32" t="str">
        <f>IF(J$3="","",IF(COUNTIFS(Base!$A$3:$A$5001,J$3,Base!$B$3:$B$5001,$A$5,Base!$D$3:$D$5001,"&lt;&gt;")=0,"",SUMIFS(Base!$D$3:$D$5001,Base!$A$3:$A$5001,J$3,Base!$B$3:$B$5001,$A$5)))</f>
        <v/>
      </c>
      <c r="K6" s="32" t="str">
        <f>IF(K$3="","",IF(COUNTIFS(Base!$A$3:$A$5001,K$3,Base!$B$3:$B$5001,$A$5,Base!$D$3:$D$5001,"&lt;&gt;")=0,"",SUMIFS(Base!$D$3:$D$5001,Base!$A$3:$A$5001,K$3,Base!$B$3:$B$5001,$A$5)))</f>
        <v/>
      </c>
      <c r="L6" s="32" t="str">
        <f>IF(L$3="","",IF(COUNTIFS(Base!$A$3:$A$5001,L$3,Base!$B$3:$B$5001,$A$5,Base!$D$3:$D$5001,"&lt;&gt;")=0,"",SUMIFS(Base!$D$3:$D$5001,Base!$A$3:$A$5001,L$3,Base!$B$3:$B$5001,$A$5)))</f>
        <v/>
      </c>
      <c r="M6" s="32" t="str">
        <f>IF(M$3="","",IF(COUNTIFS(Base!$A$3:$A$5001,M$3,Base!$B$3:$B$5001,$A$5,Base!$D$3:$D$5001,"&lt;&gt;")=0,"",SUMIFS(Base!$D$3:$D$5001,Base!$A$3:$A$5001,M$3,Base!$B$3:$B$5001,$A$5)))</f>
        <v/>
      </c>
      <c r="N6" s="32" t="str">
        <f>IF(N$3="","",IF(COUNTIFS(Base!$A$3:$A$5001,N$3,Base!$B$3:$B$5001,$A$5,Base!$D$3:$D$5001,"&lt;&gt;")=0,"",SUMIFS(Base!$D$3:$D$5001,Base!$A$3:$A$5001,N$3,Base!$B$3:$B$5001,$A$5)))</f>
        <v/>
      </c>
      <c r="O6" s="32" t="str">
        <f>IF(O$3="","",IF(COUNTIFS(Base!$A$3:$A$5001,O$3,Base!$B$3:$B$5001,$A$5,Base!$D$3:$D$5001,"&lt;&gt;")=0,"",SUMIFS(Base!$D$3:$D$5001,Base!$A$3:$A$5001,O$3,Base!$B$3:$B$5001,$A$5)))</f>
        <v/>
      </c>
      <c r="P6" s="32" t="str">
        <f>IF(P$3="","",IF(COUNTIFS(Base!$A$3:$A$5001,P$3,Base!$B$3:$B$5001,$A$5,Base!$D$3:$D$5001,"&lt;&gt;")=0,"",SUMIFS(Base!$D$3:$D$5001,Base!$A$3:$A$5001,P$3,Base!$B$3:$B$5001,$A$5)))</f>
        <v/>
      </c>
      <c r="Q6" s="32" t="str">
        <f>IF(Q$3="","",IF(COUNTIFS(Base!$A$3:$A$5001,Q$3,Base!$B$3:$B$5001,$A$5,Base!$D$3:$D$5001,"&lt;&gt;")=0,"",SUMIFS(Base!$D$3:$D$5001,Base!$A$3:$A$5001,Q$3,Base!$B$3:$B$5001,$A$5)))</f>
        <v/>
      </c>
      <c r="R6" s="32" t="str">
        <f>IF(R$3="","",IF(COUNTIFS(Base!$A$3:$A$5001,R$3,Base!$B$3:$B$5001,$A$5,Base!$D$3:$D$5001,"&lt;&gt;")=0,"",SUMIFS(Base!$D$3:$D$5001,Base!$A$3:$A$5001,R$3,Base!$B$3:$B$5001,$A$5)))</f>
        <v/>
      </c>
      <c r="S6" s="32" t="str">
        <f>IF(S$3="","",IF(COUNTIFS(Base!$A$3:$A$5001,S$3,Base!$B$3:$B$5001,$A$5,Base!$D$3:$D$5001,"&lt;&gt;")=0,"",SUMIFS(Base!$D$3:$D$5001,Base!$A$3:$A$5001,S$3,Base!$B$3:$B$5001,$A$5)))</f>
        <v/>
      </c>
      <c r="T6" s="32" t="str">
        <f>IF(T$3="","",IF(COUNTIFS(Base!$A$3:$A$5001,T$3,Base!$B$3:$B$5001,$A$5,Base!$D$3:$D$5001,"&lt;&gt;")=0,"",SUMIFS(Base!$D$3:$D$5001,Base!$A$3:$A$5001,T$3,Base!$B$3:$B$5001,$A$5)))</f>
        <v/>
      </c>
      <c r="U6" s="32" t="str">
        <f>IF(U$3="","",IF(COUNTIFS(Base!$A$3:$A$5001,U$3,Base!$B$3:$B$5001,$A$5,Base!$D$3:$D$5001,"&lt;&gt;")=0,"",SUMIFS(Base!$D$3:$D$5001,Base!$A$3:$A$5001,U$3,Base!$B$3:$B$5001,$A$5)))</f>
        <v/>
      </c>
      <c r="V6" s="32" t="str">
        <f>IF(V$3="","",IF(COUNTIFS(Base!$A$3:$A$5001,V$3,Base!$B$3:$B$5001,$A$5,Base!$D$3:$D$5001,"&lt;&gt;")=0,"",SUMIFS(Base!$D$3:$D$5001,Base!$A$3:$A$5001,V$3,Base!$B$3:$B$5001,$A$5)))</f>
        <v/>
      </c>
      <c r="W6" s="32" t="str">
        <f>IF(W$3="","",IF(COUNTIFS(Base!$A$3:$A$5001,W$3,Base!$B$3:$B$5001,$A$5,Base!$D$3:$D$5001,"&lt;&gt;")=0,"",SUMIFS(Base!$D$3:$D$5001,Base!$A$3:$A$5001,W$3,Base!$B$3:$B$5001,$A$5)))</f>
        <v/>
      </c>
      <c r="X6" s="32" t="str">
        <f>IF(X$3="","",IF(COUNTIFS(Base!$A$3:$A$5001,X$3,Base!$B$3:$B$5001,$A$5,Base!$D$3:$D$5001,"&lt;&gt;")=0,"",SUMIFS(Base!$D$3:$D$5001,Base!$A$3:$A$5001,X$3,Base!$B$3:$B$5001,$A$5)))</f>
        <v/>
      </c>
      <c r="Y6" s="32" t="str">
        <f>IF(Y$3="","",IF(COUNTIFS(Base!$A$3:$A$5001,Y$3,Base!$B$3:$B$5001,$A$5,Base!$D$3:$D$5001,"&lt;&gt;")=0,"",SUMIFS(Base!$D$3:$D$5001,Base!$A$3:$A$5001,Y$3,Base!$B$3:$B$5001,$A$5)))</f>
        <v/>
      </c>
      <c r="Z6" s="32" t="str">
        <f>IF(Z$3="","",IF(COUNTIFS(Base!$A$3:$A$5001,Z$3,Base!$B$3:$B$5001,$A$5,Base!$D$3:$D$5001,"&lt;&gt;")=0,"",SUMIFS(Base!$D$3:$D$5001,Base!$A$3:$A$5001,Z$3,Base!$B$3:$B$5001,$A$5)))</f>
        <v/>
      </c>
      <c r="AA6" s="32" t="str">
        <f>IF(AA$3="","",IF(COUNTIFS(Base!$A$3:$A$5001,AA$3,Base!$B$3:$B$5001,$A$5,Base!$D$3:$D$5001,"&lt;&gt;")=0,"",SUMIFS(Base!$D$3:$D$5001,Base!$A$3:$A$5001,AA$3,Base!$B$3:$B$5001,$A$5)))</f>
        <v/>
      </c>
      <c r="AB6" s="32" t="str">
        <f>IF(AB$3="","",IF(COUNTIFS(Base!$A$3:$A$5001,AB$3,Base!$B$3:$B$5001,$A$5,Base!$D$3:$D$5001,"&lt;&gt;")=0,"",SUMIFS(Base!$D$3:$D$5001,Base!$A$3:$A$5001,AB$3,Base!$B$3:$B$5001,$A$5)))</f>
        <v/>
      </c>
      <c r="AC6" s="32" t="str">
        <f>IF(AC$3="","",IF(COUNTIFS(Base!$A$3:$A$5001,AC$3,Base!$B$3:$B$5001,$A$5,Base!$D$3:$D$5001,"&lt;&gt;")=0,"",SUMIFS(Base!$D$3:$D$5001,Base!$A$3:$A$5001,AC$3,Base!$B$3:$B$5001,$A$5)))</f>
        <v/>
      </c>
      <c r="AD6" s="32" t="str">
        <f>IF(AD$3="","",IF(COUNTIFS(Base!$A$3:$A$5001,AD$3,Base!$B$3:$B$5001,$A$5,Base!$D$3:$D$5001,"&lt;&gt;")=0,"",SUMIFS(Base!$D$3:$D$5001,Base!$A$3:$A$5001,AD$3,Base!$B$3:$B$5001,$A$5)))</f>
        <v/>
      </c>
      <c r="AE6" s="32" t="str">
        <f>IF(AE$3="","",IF(COUNTIFS(Base!$A$3:$A$5001,AE$3,Base!$B$3:$B$5001,$A$5,Base!$D$3:$D$5001,"&lt;&gt;")=0,"",SUMIFS(Base!$D$3:$D$5001,Base!$A$3:$A$5001,AE$3,Base!$B$3:$B$5001,$A$5)))</f>
        <v/>
      </c>
      <c r="AF6" s="32" t="str">
        <f>IF(AF$3="","",IF(COUNTIFS(Base!$A$3:$A$5001,AF$3,Base!$B$3:$B$5001,$A$5,Base!$D$3:$D$5001,"&lt;&gt;")=0,"",SUMIFS(Base!$D$3:$D$5001,Base!$A$3:$A$5001,AF$3,Base!$B$3:$B$5001,$A$5)))</f>
        <v/>
      </c>
      <c r="AG6" s="32" t="str">
        <f>IF(AG$3="","",IF(COUNTIFS(Base!$A$3:$A$5001,AG$3,Base!$B$3:$B$5001,$A$5,Base!$D$3:$D$5001,"&lt;&gt;")=0,"",SUMIFS(Base!$D$3:$D$5001,Base!$A$3:$A$5001,AG$3,Base!$B$3:$B$5001,$A$5)))</f>
        <v/>
      </c>
      <c r="AH6" s="32" t="str">
        <f>IF(AH$3="","",IF(COUNTIFS(Base!$A$3:$A$5001,AH$3,Base!$B$3:$B$5001,$A$5,Base!$D$3:$D$5001,"&lt;&gt;")=0,"",SUMIFS(Base!$D$3:$D$5001,Base!$A$3:$A$5001,AH$3,Base!$B$3:$B$5001,$A$5)))</f>
        <v/>
      </c>
      <c r="AI6" s="32" t="str">
        <f>IF(AI$3="","",IF(COUNTIFS(Base!$A$3:$A$5001,AI$3,Base!$B$3:$B$5001,$A$5,Base!$D$3:$D$5001,"&lt;&gt;")=0,"",SUMIFS(Base!$D$3:$D$5001,Base!$A$3:$A$5001,AI$3,Base!$B$3:$B$5001,$A$5)))</f>
        <v/>
      </c>
      <c r="AJ6" s="33" t="str">
        <f>IF(AJ$3="","",IF(COUNTIFS(Base!$A$3:$A$5001,AJ$3,Base!$B$3:$B$5001,$A$5,Base!$D$3:$D$5001,"&lt;&gt;")=0,"",SUMIFS(Base!$D$3:$D$5001,Base!$A$3:$A$5001,AJ$3,Base!$B$3:$B$5001,$A$5)))</f>
        <v/>
      </c>
      <c r="AK6" s="34" t="str">
        <f>IF(COUNT(F6:AJ6)=0,"",SUM(F6:AJ6))</f>
        <v/>
      </c>
    </row>
    <row r="7" ht="15.75" customHeight="1">
      <c r="A7" s="118"/>
      <c r="B7" s="107"/>
      <c r="C7" s="35" t="inlineStr">
        <is>
          <t xml:space="preserve">Toneladas Movimentadas</t>
        </is>
      </c>
      <c r="D7" s="36" t="str">
        <f>IFERROR(1/(1/INDEX(calculos!$C$55:$K$83,MATCH("IN Toneladas Movimentadas",calculos!$A$55:$A$83,0),MATCH($A$5,calculos!$C$54:$K$54,0))),"")</f>
        <v/>
      </c>
      <c r="E7" s="37"/>
      <c r="F7" s="38" t="str">
        <f>IF(F$3="","",IF(COUNTIFS(Base!$A$3:$A$5001,F$3,Base!$B$3:$B$5001,$A$5,Base!$E$3:$E$5001,"&lt;&gt;")=0,"",SUMIFS(Base!$E$3:$E$5001,Base!$A$3:$A$5001,F$3,Base!$B$3:$B$5001,$A$5)))</f>
        <v/>
      </c>
      <c r="G7" s="39" t="str">
        <f>IF(G$3="","",IF(COUNTIFS(Base!$A$3:$A$5001,G$3,Base!$B$3:$B$5001,$A$5,Base!$E$3:$E$5001,"&lt;&gt;")=0,"",SUMIFS(Base!$E$3:$E$5001,Base!$A$3:$A$5001,G$3,Base!$B$3:$B$5001,$A$5)))</f>
        <v/>
      </c>
      <c r="H7" s="39" t="str">
        <f>IF(H$3="","",IF(COUNTIFS(Base!$A$3:$A$5001,H$3,Base!$B$3:$B$5001,$A$5,Base!$E$3:$E$5001,"&lt;&gt;")=0,"",SUMIFS(Base!$E$3:$E$5001,Base!$A$3:$A$5001,H$3,Base!$B$3:$B$5001,$A$5)))</f>
        <v/>
      </c>
      <c r="I7" s="39" t="str">
        <f>IF(I$3="","",IF(COUNTIFS(Base!$A$3:$A$5001,I$3,Base!$B$3:$B$5001,$A$5,Base!$E$3:$E$5001,"&lt;&gt;")=0,"",SUMIFS(Base!$E$3:$E$5001,Base!$A$3:$A$5001,I$3,Base!$B$3:$B$5001,$A$5)))</f>
        <v/>
      </c>
      <c r="J7" s="39" t="str">
        <f>IF(J$3="","",IF(COUNTIFS(Base!$A$3:$A$5001,J$3,Base!$B$3:$B$5001,$A$5,Base!$E$3:$E$5001,"&lt;&gt;")=0,"",SUMIFS(Base!$E$3:$E$5001,Base!$A$3:$A$5001,J$3,Base!$B$3:$B$5001,$A$5)))</f>
        <v/>
      </c>
      <c r="K7" s="39" t="str">
        <f>IF(K$3="","",IF(COUNTIFS(Base!$A$3:$A$5001,K$3,Base!$B$3:$B$5001,$A$5,Base!$E$3:$E$5001,"&lt;&gt;")=0,"",SUMIFS(Base!$E$3:$E$5001,Base!$A$3:$A$5001,K$3,Base!$B$3:$B$5001,$A$5)))</f>
        <v/>
      </c>
      <c r="L7" s="39" t="str">
        <f>IF(L$3="","",IF(COUNTIFS(Base!$A$3:$A$5001,L$3,Base!$B$3:$B$5001,$A$5,Base!$E$3:$E$5001,"&lt;&gt;")=0,"",SUMIFS(Base!$E$3:$E$5001,Base!$A$3:$A$5001,L$3,Base!$B$3:$B$5001,$A$5)))</f>
        <v/>
      </c>
      <c r="M7" s="39" t="str">
        <f>IF(M$3="","",IF(COUNTIFS(Base!$A$3:$A$5001,M$3,Base!$B$3:$B$5001,$A$5,Base!$E$3:$E$5001,"&lt;&gt;")=0,"",SUMIFS(Base!$E$3:$E$5001,Base!$A$3:$A$5001,M$3,Base!$B$3:$B$5001,$A$5)))</f>
        <v/>
      </c>
      <c r="N7" s="39" t="str">
        <f>IF(N$3="","",IF(COUNTIFS(Base!$A$3:$A$5001,N$3,Base!$B$3:$B$5001,$A$5,Base!$E$3:$E$5001,"&lt;&gt;")=0,"",SUMIFS(Base!$E$3:$E$5001,Base!$A$3:$A$5001,N$3,Base!$B$3:$B$5001,$A$5)))</f>
        <v/>
      </c>
      <c r="O7" s="39" t="str">
        <f>IF(O$3="","",IF(COUNTIFS(Base!$A$3:$A$5001,O$3,Base!$B$3:$B$5001,$A$5,Base!$E$3:$E$5001,"&lt;&gt;")=0,"",SUMIFS(Base!$E$3:$E$5001,Base!$A$3:$A$5001,O$3,Base!$B$3:$B$5001,$A$5)))</f>
        <v/>
      </c>
      <c r="P7" s="39" t="str">
        <f>IF(P$3="","",IF(COUNTIFS(Base!$A$3:$A$5001,P$3,Base!$B$3:$B$5001,$A$5,Base!$E$3:$E$5001,"&lt;&gt;")=0,"",SUMIFS(Base!$E$3:$E$5001,Base!$A$3:$A$5001,P$3,Base!$B$3:$B$5001,$A$5)))</f>
        <v/>
      </c>
      <c r="Q7" s="39" t="str">
        <f>IF(Q$3="","",IF(COUNTIFS(Base!$A$3:$A$5001,Q$3,Base!$B$3:$B$5001,$A$5,Base!$E$3:$E$5001,"&lt;&gt;")=0,"",SUMIFS(Base!$E$3:$E$5001,Base!$A$3:$A$5001,Q$3,Base!$B$3:$B$5001,$A$5)))</f>
        <v/>
      </c>
      <c r="R7" s="39" t="str">
        <f>IF(R$3="","",IF(COUNTIFS(Base!$A$3:$A$5001,R$3,Base!$B$3:$B$5001,$A$5,Base!$E$3:$E$5001,"&lt;&gt;")=0,"",SUMIFS(Base!$E$3:$E$5001,Base!$A$3:$A$5001,R$3,Base!$B$3:$B$5001,$A$5)))</f>
        <v/>
      </c>
      <c r="S7" s="39" t="str">
        <f>IF(S$3="","",IF(COUNTIFS(Base!$A$3:$A$5001,S$3,Base!$B$3:$B$5001,$A$5,Base!$E$3:$E$5001,"&lt;&gt;")=0,"",SUMIFS(Base!$E$3:$E$5001,Base!$A$3:$A$5001,S$3,Base!$B$3:$B$5001,$A$5)))</f>
        <v/>
      </c>
      <c r="T7" s="39" t="str">
        <f>IF(T$3="","",IF(COUNTIFS(Base!$A$3:$A$5001,T$3,Base!$B$3:$B$5001,$A$5,Base!$E$3:$E$5001,"&lt;&gt;")=0,"",SUMIFS(Base!$E$3:$E$5001,Base!$A$3:$A$5001,T$3,Base!$B$3:$B$5001,$A$5)))</f>
        <v/>
      </c>
      <c r="U7" s="39" t="str">
        <f>IF(U$3="","",IF(COUNTIFS(Base!$A$3:$A$5001,U$3,Base!$B$3:$B$5001,$A$5,Base!$E$3:$E$5001,"&lt;&gt;")=0,"",SUMIFS(Base!$E$3:$E$5001,Base!$A$3:$A$5001,U$3,Base!$B$3:$B$5001,$A$5)))</f>
        <v/>
      </c>
      <c r="V7" s="39" t="str">
        <f>IF(V$3="","",IF(COUNTIFS(Base!$A$3:$A$5001,V$3,Base!$B$3:$B$5001,$A$5,Base!$E$3:$E$5001,"&lt;&gt;")=0,"",SUMIFS(Base!$E$3:$E$5001,Base!$A$3:$A$5001,V$3,Base!$B$3:$B$5001,$A$5)))</f>
        <v/>
      </c>
      <c r="W7" s="39" t="str">
        <f>IF(W$3="","",IF(COUNTIFS(Base!$A$3:$A$5001,W$3,Base!$B$3:$B$5001,$A$5,Base!$E$3:$E$5001,"&lt;&gt;")=0,"",SUMIFS(Base!$E$3:$E$5001,Base!$A$3:$A$5001,W$3,Base!$B$3:$B$5001,$A$5)))</f>
        <v/>
      </c>
      <c r="X7" s="39" t="str">
        <f>IF(X$3="","",IF(COUNTIFS(Base!$A$3:$A$5001,X$3,Base!$B$3:$B$5001,$A$5,Base!$E$3:$E$5001,"&lt;&gt;")=0,"",SUMIFS(Base!$E$3:$E$5001,Base!$A$3:$A$5001,X$3,Base!$B$3:$B$5001,$A$5)))</f>
        <v/>
      </c>
      <c r="Y7" s="39" t="str">
        <f>IF(Y$3="","",IF(COUNTIFS(Base!$A$3:$A$5001,Y$3,Base!$B$3:$B$5001,$A$5,Base!$E$3:$E$5001,"&lt;&gt;")=0,"",SUMIFS(Base!$E$3:$E$5001,Base!$A$3:$A$5001,Y$3,Base!$B$3:$B$5001,$A$5)))</f>
        <v/>
      </c>
      <c r="Z7" s="39" t="str">
        <f>IF(Z$3="","",IF(COUNTIFS(Base!$A$3:$A$5001,Z$3,Base!$B$3:$B$5001,$A$5,Base!$E$3:$E$5001,"&lt;&gt;")=0,"",SUMIFS(Base!$E$3:$E$5001,Base!$A$3:$A$5001,Z$3,Base!$B$3:$B$5001,$A$5)))</f>
        <v/>
      </c>
      <c r="AA7" s="39" t="str">
        <f>IF(AA$3="","",IF(COUNTIFS(Base!$A$3:$A$5001,AA$3,Base!$B$3:$B$5001,$A$5,Base!$E$3:$E$5001,"&lt;&gt;")=0,"",SUMIFS(Base!$E$3:$E$5001,Base!$A$3:$A$5001,AA$3,Base!$B$3:$B$5001,$A$5)))</f>
        <v/>
      </c>
      <c r="AB7" s="39" t="str">
        <f>IF(AB$3="","",IF(COUNTIFS(Base!$A$3:$A$5001,AB$3,Base!$B$3:$B$5001,$A$5,Base!$E$3:$E$5001,"&lt;&gt;")=0,"",SUMIFS(Base!$E$3:$E$5001,Base!$A$3:$A$5001,AB$3,Base!$B$3:$B$5001,$A$5)))</f>
        <v/>
      </c>
      <c r="AC7" s="39" t="str">
        <f>IF(AC$3="","",IF(COUNTIFS(Base!$A$3:$A$5001,AC$3,Base!$B$3:$B$5001,$A$5,Base!$E$3:$E$5001,"&lt;&gt;")=0,"",SUMIFS(Base!$E$3:$E$5001,Base!$A$3:$A$5001,AC$3,Base!$B$3:$B$5001,$A$5)))</f>
        <v/>
      </c>
      <c r="AD7" s="39" t="str">
        <f>IF(AD$3="","",IF(COUNTIFS(Base!$A$3:$A$5001,AD$3,Base!$B$3:$B$5001,$A$5,Base!$E$3:$E$5001,"&lt;&gt;")=0,"",SUMIFS(Base!$E$3:$E$5001,Base!$A$3:$A$5001,AD$3,Base!$B$3:$B$5001,$A$5)))</f>
        <v/>
      </c>
      <c r="AE7" s="39" t="str">
        <f>IF(AE$3="","",IF(COUNTIFS(Base!$A$3:$A$5001,AE$3,Base!$B$3:$B$5001,$A$5,Base!$E$3:$E$5001,"&lt;&gt;")=0,"",SUMIFS(Base!$E$3:$E$5001,Base!$A$3:$A$5001,AE$3,Base!$B$3:$B$5001,$A$5)))</f>
        <v/>
      </c>
      <c r="AF7" s="39" t="str">
        <f>IF(AF$3="","",IF(COUNTIFS(Base!$A$3:$A$5001,AF$3,Base!$B$3:$B$5001,$A$5,Base!$E$3:$E$5001,"&lt;&gt;")=0,"",SUMIFS(Base!$E$3:$E$5001,Base!$A$3:$A$5001,AF$3,Base!$B$3:$B$5001,$A$5)))</f>
        <v/>
      </c>
      <c r="AG7" s="39" t="str">
        <f>IF(AG$3="","",IF(COUNTIFS(Base!$A$3:$A$5001,AG$3,Base!$B$3:$B$5001,$A$5,Base!$E$3:$E$5001,"&lt;&gt;")=0,"",SUMIFS(Base!$E$3:$E$5001,Base!$A$3:$A$5001,AG$3,Base!$B$3:$B$5001,$A$5)))</f>
        <v/>
      </c>
      <c r="AH7" s="39" t="str">
        <f>IF(AH$3="","",IF(COUNTIFS(Base!$A$3:$A$5001,AH$3,Base!$B$3:$B$5001,$A$5,Base!$E$3:$E$5001,"&lt;&gt;")=0,"",SUMIFS(Base!$E$3:$E$5001,Base!$A$3:$A$5001,AH$3,Base!$B$3:$B$5001,$A$5)))</f>
        <v/>
      </c>
      <c r="AI7" s="39" t="str">
        <f>IF(AI$3="","",IF(COUNTIFS(Base!$A$3:$A$5001,AI$3,Base!$B$3:$B$5001,$A$5,Base!$E$3:$E$5001,"&lt;&gt;")=0,"",SUMIFS(Base!$E$3:$E$5001,Base!$A$3:$A$5001,AI$3,Base!$B$3:$B$5001,$A$5)))</f>
        <v/>
      </c>
      <c r="AJ7" s="40" t="str">
        <f>IF(AJ$3="","",IF(COUNTIFS(Base!$A$3:$A$5001,AJ$3,Base!$B$3:$B$5001,$A$5,Base!$E$3:$E$5001,"&lt;&gt;")=0,"",SUMIFS(Base!$E$3:$E$5001,Base!$A$3:$A$5001,AJ$3,Base!$B$3:$B$5001,$A$5)))</f>
        <v/>
      </c>
      <c r="AK7" s="36" t="str">
        <f>IF(COUNT(F7:AJ7)=0,"",SUM(F7:AJ7))</f>
        <v/>
      </c>
    </row>
    <row r="8" ht="15.75" customHeight="1">
      <c r="A8" s="118"/>
      <c r="B8" s="108" t="inlineStr">
        <is>
          <t xml:space="preserve">OUT</t>
        </is>
      </c>
      <c r="C8" s="41" t="inlineStr">
        <is>
          <t xml:space="preserve">Veículos Expedidos</t>
        </is>
      </c>
      <c r="D8" s="42" t="str">
        <f>IFERROR(1/(1/INDEX(calculos!$C$55:$K$83,MATCH("OUT Veículos Expedidos",calculos!$A$55:$A$83,0),MATCH($A$5,calculos!$C$54:$K$54,0))),"")</f>
        <v/>
      </c>
      <c r="E8" s="43"/>
      <c r="F8" s="44" t="str">
        <f>IF(F$3="","",IF(COUNTIFS(Base!$A$3:$A$5001,F$3,Base!$B$3:$B$5001,$A$5,Base!$L$3:$L$5001,"&lt;&gt;")=0,"",SUMIFS(Base!$L$3:$L$5001,Base!$A$3:$A$5001,F$3,Base!$B$3:$B$5001,$A$5)))</f>
        <v/>
      </c>
      <c r="G8" s="45" t="str">
        <f>IF(G$3="","",IF(COUNTIFS(Base!$A$3:$A$5001,G$3,Base!$B$3:$B$5001,$A$5,Base!$L$3:$L$5001,"&lt;&gt;")=0,"",SUMIFS(Base!$L$3:$L$5001,Base!$A$3:$A$5001,G$3,Base!$B$3:$B$5001,$A$5)))</f>
        <v/>
      </c>
      <c r="H8" s="45" t="str">
        <f>IF(H$3="","",IF(COUNTIFS(Base!$A$3:$A$5001,H$3,Base!$B$3:$B$5001,$A$5,Base!$L$3:$L$5001,"&lt;&gt;")=0,"",SUMIFS(Base!$L$3:$L$5001,Base!$A$3:$A$5001,H$3,Base!$B$3:$B$5001,$A$5)))</f>
        <v/>
      </c>
      <c r="I8" s="45" t="str">
        <f>IF(I$3="","",IF(COUNTIFS(Base!$A$3:$A$5001,I$3,Base!$B$3:$B$5001,$A$5,Base!$L$3:$L$5001,"&lt;&gt;")=0,"",SUMIFS(Base!$L$3:$L$5001,Base!$A$3:$A$5001,I$3,Base!$B$3:$B$5001,$A$5)))</f>
        <v/>
      </c>
      <c r="J8" s="45" t="str">
        <f>IF(J$3="","",IF(COUNTIFS(Base!$A$3:$A$5001,J$3,Base!$B$3:$B$5001,$A$5,Base!$L$3:$L$5001,"&lt;&gt;")=0,"",SUMIFS(Base!$L$3:$L$5001,Base!$A$3:$A$5001,J$3,Base!$B$3:$B$5001,$A$5)))</f>
        <v/>
      </c>
      <c r="K8" s="45" t="str">
        <f>IF(K$3="","",IF(COUNTIFS(Base!$A$3:$A$5001,K$3,Base!$B$3:$B$5001,$A$5,Base!$L$3:$L$5001,"&lt;&gt;")=0,"",SUMIFS(Base!$L$3:$L$5001,Base!$A$3:$A$5001,K$3,Base!$B$3:$B$5001,$A$5)))</f>
        <v/>
      </c>
      <c r="L8" s="45" t="str">
        <f>IF(L$3="","",IF(COUNTIFS(Base!$A$3:$A$5001,L$3,Base!$B$3:$B$5001,$A$5,Base!$L$3:$L$5001,"&lt;&gt;")=0,"",SUMIFS(Base!$L$3:$L$5001,Base!$A$3:$A$5001,L$3,Base!$B$3:$B$5001,$A$5)))</f>
        <v/>
      </c>
      <c r="M8" s="45" t="str">
        <f>IF(M$3="","",IF(COUNTIFS(Base!$A$3:$A$5001,M$3,Base!$B$3:$B$5001,$A$5,Base!$L$3:$L$5001,"&lt;&gt;")=0,"",SUMIFS(Base!$L$3:$L$5001,Base!$A$3:$A$5001,M$3,Base!$B$3:$B$5001,$A$5)))</f>
        <v/>
      </c>
      <c r="N8" s="45" t="str">
        <f>IF(N$3="","",IF(COUNTIFS(Base!$A$3:$A$5001,N$3,Base!$B$3:$B$5001,$A$5,Base!$L$3:$L$5001,"&lt;&gt;")=0,"",SUMIFS(Base!$L$3:$L$5001,Base!$A$3:$A$5001,N$3,Base!$B$3:$B$5001,$A$5)))</f>
        <v/>
      </c>
      <c r="O8" s="45" t="str">
        <f>IF(O$3="","",IF(COUNTIFS(Base!$A$3:$A$5001,O$3,Base!$B$3:$B$5001,$A$5,Base!$L$3:$L$5001,"&lt;&gt;")=0,"",SUMIFS(Base!$L$3:$L$5001,Base!$A$3:$A$5001,O$3,Base!$B$3:$B$5001,$A$5)))</f>
        <v/>
      </c>
      <c r="P8" s="45" t="str">
        <f>IF(P$3="","",IF(COUNTIFS(Base!$A$3:$A$5001,P$3,Base!$B$3:$B$5001,$A$5,Base!$L$3:$L$5001,"&lt;&gt;")=0,"",SUMIFS(Base!$L$3:$L$5001,Base!$A$3:$A$5001,P$3,Base!$B$3:$B$5001,$A$5)))</f>
        <v/>
      </c>
      <c r="Q8" s="45" t="str">
        <f>IF(Q$3="","",IF(COUNTIFS(Base!$A$3:$A$5001,Q$3,Base!$B$3:$B$5001,$A$5,Base!$L$3:$L$5001,"&lt;&gt;")=0,"",SUMIFS(Base!$L$3:$L$5001,Base!$A$3:$A$5001,Q$3,Base!$B$3:$B$5001,$A$5)))</f>
        <v/>
      </c>
      <c r="R8" s="45" t="str">
        <f>IF(R$3="","",IF(COUNTIFS(Base!$A$3:$A$5001,R$3,Base!$B$3:$B$5001,$A$5,Base!$L$3:$L$5001,"&lt;&gt;")=0,"",SUMIFS(Base!$L$3:$L$5001,Base!$A$3:$A$5001,R$3,Base!$B$3:$B$5001,$A$5)))</f>
        <v/>
      </c>
      <c r="S8" s="45" t="str">
        <f>IF(S$3="","",IF(COUNTIFS(Base!$A$3:$A$5001,S$3,Base!$B$3:$B$5001,$A$5,Base!$L$3:$L$5001,"&lt;&gt;")=0,"",SUMIFS(Base!$L$3:$L$5001,Base!$A$3:$A$5001,S$3,Base!$B$3:$B$5001,$A$5)))</f>
        <v/>
      </c>
      <c r="T8" s="45" t="str">
        <f>IF(T$3="","",IF(COUNTIFS(Base!$A$3:$A$5001,T$3,Base!$B$3:$B$5001,$A$5,Base!$L$3:$L$5001,"&lt;&gt;")=0,"",SUMIFS(Base!$L$3:$L$5001,Base!$A$3:$A$5001,T$3,Base!$B$3:$B$5001,$A$5)))</f>
        <v/>
      </c>
      <c r="U8" s="45" t="str">
        <f>IF(U$3="","",IF(COUNTIFS(Base!$A$3:$A$5001,U$3,Base!$B$3:$B$5001,$A$5,Base!$L$3:$L$5001,"&lt;&gt;")=0,"",SUMIFS(Base!$L$3:$L$5001,Base!$A$3:$A$5001,U$3,Base!$B$3:$B$5001,$A$5)))</f>
        <v/>
      </c>
      <c r="V8" s="45" t="str">
        <f>IF(V$3="","",IF(COUNTIFS(Base!$A$3:$A$5001,V$3,Base!$B$3:$B$5001,$A$5,Base!$L$3:$L$5001,"&lt;&gt;")=0,"",SUMIFS(Base!$L$3:$L$5001,Base!$A$3:$A$5001,V$3,Base!$B$3:$B$5001,$A$5)))</f>
        <v/>
      </c>
      <c r="W8" s="45" t="str">
        <f>IF(W$3="","",IF(COUNTIFS(Base!$A$3:$A$5001,W$3,Base!$B$3:$B$5001,$A$5,Base!$L$3:$L$5001,"&lt;&gt;")=0,"",SUMIFS(Base!$L$3:$L$5001,Base!$A$3:$A$5001,W$3,Base!$B$3:$B$5001,$A$5)))</f>
        <v/>
      </c>
      <c r="X8" s="45" t="str">
        <f>IF(X$3="","",IF(COUNTIFS(Base!$A$3:$A$5001,X$3,Base!$B$3:$B$5001,$A$5,Base!$L$3:$L$5001,"&lt;&gt;")=0,"",SUMIFS(Base!$L$3:$L$5001,Base!$A$3:$A$5001,X$3,Base!$B$3:$B$5001,$A$5)))</f>
        <v/>
      </c>
      <c r="Y8" s="45" t="str">
        <f>IF(Y$3="","",IF(COUNTIFS(Base!$A$3:$A$5001,Y$3,Base!$B$3:$B$5001,$A$5,Base!$L$3:$L$5001,"&lt;&gt;")=0,"",SUMIFS(Base!$L$3:$L$5001,Base!$A$3:$A$5001,Y$3,Base!$B$3:$B$5001,$A$5)))</f>
        <v/>
      </c>
      <c r="Z8" s="45" t="str">
        <f>IF(Z$3="","",IF(COUNTIFS(Base!$A$3:$A$5001,Z$3,Base!$B$3:$B$5001,$A$5,Base!$L$3:$L$5001,"&lt;&gt;")=0,"",SUMIFS(Base!$L$3:$L$5001,Base!$A$3:$A$5001,Z$3,Base!$B$3:$B$5001,$A$5)))</f>
        <v/>
      </c>
      <c r="AA8" s="45" t="str">
        <f>IF(AA$3="","",IF(COUNTIFS(Base!$A$3:$A$5001,AA$3,Base!$B$3:$B$5001,$A$5,Base!$L$3:$L$5001,"&lt;&gt;")=0,"",SUMIFS(Base!$L$3:$L$5001,Base!$A$3:$A$5001,AA$3,Base!$B$3:$B$5001,$A$5)))</f>
        <v/>
      </c>
      <c r="AB8" s="45" t="str">
        <f>IF(AB$3="","",IF(COUNTIFS(Base!$A$3:$A$5001,AB$3,Base!$B$3:$B$5001,$A$5,Base!$L$3:$L$5001,"&lt;&gt;")=0,"",SUMIFS(Base!$L$3:$L$5001,Base!$A$3:$A$5001,AB$3,Base!$B$3:$B$5001,$A$5)))</f>
        <v/>
      </c>
      <c r="AC8" s="45" t="str">
        <f>IF(AC$3="","",IF(COUNTIFS(Base!$A$3:$A$5001,AC$3,Base!$B$3:$B$5001,$A$5,Base!$L$3:$L$5001,"&lt;&gt;")=0,"",SUMIFS(Base!$L$3:$L$5001,Base!$A$3:$A$5001,AC$3,Base!$B$3:$B$5001,$A$5)))</f>
        <v/>
      </c>
      <c r="AD8" s="45" t="str">
        <f>IF(AD$3="","",IF(COUNTIFS(Base!$A$3:$A$5001,AD$3,Base!$B$3:$B$5001,$A$5,Base!$L$3:$L$5001,"&lt;&gt;")=0,"",SUMIFS(Base!$L$3:$L$5001,Base!$A$3:$A$5001,AD$3,Base!$B$3:$B$5001,$A$5)))</f>
        <v/>
      </c>
      <c r="AE8" s="45" t="str">
        <f>IF(AE$3="","",IF(COUNTIFS(Base!$A$3:$A$5001,AE$3,Base!$B$3:$B$5001,$A$5,Base!$L$3:$L$5001,"&lt;&gt;")=0,"",SUMIFS(Base!$L$3:$L$5001,Base!$A$3:$A$5001,AE$3,Base!$B$3:$B$5001,$A$5)))</f>
        <v/>
      </c>
      <c r="AF8" s="45" t="str">
        <f>IF(AF$3="","",IF(COUNTIFS(Base!$A$3:$A$5001,AF$3,Base!$B$3:$B$5001,$A$5,Base!$L$3:$L$5001,"&lt;&gt;")=0,"",SUMIFS(Base!$L$3:$L$5001,Base!$A$3:$A$5001,AF$3,Base!$B$3:$B$5001,$A$5)))</f>
        <v/>
      </c>
      <c r="AG8" s="45" t="str">
        <f>IF(AG$3="","",IF(COUNTIFS(Base!$A$3:$A$5001,AG$3,Base!$B$3:$B$5001,$A$5,Base!$L$3:$L$5001,"&lt;&gt;")=0,"",SUMIFS(Base!$L$3:$L$5001,Base!$A$3:$A$5001,AG$3,Base!$B$3:$B$5001,$A$5)))</f>
        <v/>
      </c>
      <c r="AH8" s="45" t="str">
        <f>IF(AH$3="","",IF(COUNTIFS(Base!$A$3:$A$5001,AH$3,Base!$B$3:$B$5001,$A$5,Base!$L$3:$L$5001,"&lt;&gt;")=0,"",SUMIFS(Base!$L$3:$L$5001,Base!$A$3:$A$5001,AH$3,Base!$B$3:$B$5001,$A$5)))</f>
        <v/>
      </c>
      <c r="AI8" s="45" t="str">
        <f>IF(AI$3="","",IF(COUNTIFS(Base!$A$3:$A$5001,AI$3,Base!$B$3:$B$5001,$A$5,Base!$L$3:$L$5001,"&lt;&gt;")=0,"",SUMIFS(Base!$L$3:$L$5001,Base!$A$3:$A$5001,AI$3,Base!$B$3:$B$5001,$A$5)))</f>
        <v/>
      </c>
      <c r="AJ8" s="46" t="str">
        <f>IF(AJ$3="","",IF(COUNTIFS(Base!$A$3:$A$5001,AJ$3,Base!$B$3:$B$5001,$A$5,Base!$L$3:$L$5001,"&lt;&gt;")=0,"",SUMIFS(Base!$L$3:$L$5001,Base!$A$3:$A$5001,AJ$3,Base!$B$3:$B$5001,$A$5)))</f>
        <v/>
      </c>
      <c r="AK8" s="47" t="str">
        <f>IF(COUNT(F8:AJ8)=0,"",SUM(F8:AJ8))</f>
        <v/>
      </c>
    </row>
    <row r="9" ht="15.75" customHeight="1">
      <c r="A9" s="118"/>
      <c r="B9" s="109"/>
      <c r="C9" s="48" t="inlineStr">
        <is>
          <t xml:space="preserve">Pallets Movimentados</t>
        </is>
      </c>
      <c r="D9" s="49" t="str">
        <f>IFERROR(1/(1/INDEX(calculos!$C$55:$K$83,MATCH("OUT Pallets Movimentados",calculos!$A$55:$A$83,0),MATCH($A$5,calculos!$C$54:$K$54,0))),"")</f>
        <v/>
      </c>
      <c r="E9" s="50"/>
      <c r="F9" s="51" t="str">
        <f>IF(F$3="","",IF(COUNTIFS(Base!$A$3:$A$5001,F$3,Base!$B$3:$B$5001,$A$5,Base!$M$3:$M$5001,"&lt;&gt;")=0,"",SUMIFS(Base!$M$3:$M$5001,Base!$A$3:$A$5001,F$3,Base!$B$3:$B$5001,$A$5)))</f>
        <v/>
      </c>
      <c r="G9" s="52" t="str">
        <f>IF(G$3="","",IF(COUNTIFS(Base!$A$3:$A$5001,G$3,Base!$B$3:$B$5001,$A$5,Base!$M$3:$M$5001,"&lt;&gt;")=0,"",SUMIFS(Base!$M$3:$M$5001,Base!$A$3:$A$5001,G$3,Base!$B$3:$B$5001,$A$5)))</f>
        <v/>
      </c>
      <c r="H9" s="52" t="str">
        <f>IF(H$3="","",IF(COUNTIFS(Base!$A$3:$A$5001,H$3,Base!$B$3:$B$5001,$A$5,Base!$M$3:$M$5001,"&lt;&gt;")=0,"",SUMIFS(Base!$M$3:$M$5001,Base!$A$3:$A$5001,H$3,Base!$B$3:$B$5001,$A$5)))</f>
        <v/>
      </c>
      <c r="I9" s="52" t="str">
        <f>IF(I$3="","",IF(COUNTIFS(Base!$A$3:$A$5001,I$3,Base!$B$3:$B$5001,$A$5,Base!$M$3:$M$5001,"&lt;&gt;")=0,"",SUMIFS(Base!$M$3:$M$5001,Base!$A$3:$A$5001,I$3,Base!$B$3:$B$5001,$A$5)))</f>
        <v/>
      </c>
      <c r="J9" s="52" t="str">
        <f>IF(J$3="","",IF(COUNTIFS(Base!$A$3:$A$5001,J$3,Base!$B$3:$B$5001,$A$5,Base!$M$3:$M$5001,"&lt;&gt;")=0,"",SUMIFS(Base!$M$3:$M$5001,Base!$A$3:$A$5001,J$3,Base!$B$3:$B$5001,$A$5)))</f>
        <v/>
      </c>
      <c r="K9" s="52" t="str">
        <f>IF(K$3="","",IF(COUNTIFS(Base!$A$3:$A$5001,K$3,Base!$B$3:$B$5001,$A$5,Base!$M$3:$M$5001,"&lt;&gt;")=0,"",SUMIFS(Base!$M$3:$M$5001,Base!$A$3:$A$5001,K$3,Base!$B$3:$B$5001,$A$5)))</f>
        <v/>
      </c>
      <c r="L9" s="52" t="str">
        <f>IF(L$3="","",IF(COUNTIFS(Base!$A$3:$A$5001,L$3,Base!$B$3:$B$5001,$A$5,Base!$M$3:$M$5001,"&lt;&gt;")=0,"",SUMIFS(Base!$M$3:$M$5001,Base!$A$3:$A$5001,L$3,Base!$B$3:$B$5001,$A$5)))</f>
        <v/>
      </c>
      <c r="M9" s="52" t="str">
        <f>IF(M$3="","",IF(COUNTIFS(Base!$A$3:$A$5001,M$3,Base!$B$3:$B$5001,$A$5,Base!$M$3:$M$5001,"&lt;&gt;")=0,"",SUMIFS(Base!$M$3:$M$5001,Base!$A$3:$A$5001,M$3,Base!$B$3:$B$5001,$A$5)))</f>
        <v/>
      </c>
      <c r="N9" s="52" t="str">
        <f>IF(N$3="","",IF(COUNTIFS(Base!$A$3:$A$5001,N$3,Base!$B$3:$B$5001,$A$5,Base!$M$3:$M$5001,"&lt;&gt;")=0,"",SUMIFS(Base!$M$3:$M$5001,Base!$A$3:$A$5001,N$3,Base!$B$3:$B$5001,$A$5)))</f>
        <v/>
      </c>
      <c r="O9" s="52" t="str">
        <f>IF(O$3="","",IF(COUNTIFS(Base!$A$3:$A$5001,O$3,Base!$B$3:$B$5001,$A$5,Base!$M$3:$M$5001,"&lt;&gt;")=0,"",SUMIFS(Base!$M$3:$M$5001,Base!$A$3:$A$5001,O$3,Base!$B$3:$B$5001,$A$5)))</f>
        <v/>
      </c>
      <c r="P9" s="52" t="str">
        <f>IF(P$3="","",IF(COUNTIFS(Base!$A$3:$A$5001,P$3,Base!$B$3:$B$5001,$A$5,Base!$M$3:$M$5001,"&lt;&gt;")=0,"",SUMIFS(Base!$M$3:$M$5001,Base!$A$3:$A$5001,P$3,Base!$B$3:$B$5001,$A$5)))</f>
        <v/>
      </c>
      <c r="Q9" s="52" t="str">
        <f>IF(Q$3="","",IF(COUNTIFS(Base!$A$3:$A$5001,Q$3,Base!$B$3:$B$5001,$A$5,Base!$M$3:$M$5001,"&lt;&gt;")=0,"",SUMIFS(Base!$M$3:$M$5001,Base!$A$3:$A$5001,Q$3,Base!$B$3:$B$5001,$A$5)))</f>
        <v/>
      </c>
      <c r="R9" s="52" t="str">
        <f>IF(R$3="","",IF(COUNTIFS(Base!$A$3:$A$5001,R$3,Base!$B$3:$B$5001,$A$5,Base!$M$3:$M$5001,"&lt;&gt;")=0,"",SUMIFS(Base!$M$3:$M$5001,Base!$A$3:$A$5001,R$3,Base!$B$3:$B$5001,$A$5)))</f>
        <v/>
      </c>
      <c r="S9" s="52" t="str">
        <f>IF(S$3="","",IF(COUNTIFS(Base!$A$3:$A$5001,S$3,Base!$B$3:$B$5001,$A$5,Base!$M$3:$M$5001,"&lt;&gt;")=0,"",SUMIFS(Base!$M$3:$M$5001,Base!$A$3:$A$5001,S$3,Base!$B$3:$B$5001,$A$5)))</f>
        <v/>
      </c>
      <c r="T9" s="52" t="str">
        <f>IF(T$3="","",IF(COUNTIFS(Base!$A$3:$A$5001,T$3,Base!$B$3:$B$5001,$A$5,Base!$M$3:$M$5001,"&lt;&gt;")=0,"",SUMIFS(Base!$M$3:$M$5001,Base!$A$3:$A$5001,T$3,Base!$B$3:$B$5001,$A$5)))</f>
        <v/>
      </c>
      <c r="U9" s="52" t="str">
        <f>IF(U$3="","",IF(COUNTIFS(Base!$A$3:$A$5001,U$3,Base!$B$3:$B$5001,$A$5,Base!$M$3:$M$5001,"&lt;&gt;")=0,"",SUMIFS(Base!$M$3:$M$5001,Base!$A$3:$A$5001,U$3,Base!$B$3:$B$5001,$A$5)))</f>
        <v/>
      </c>
      <c r="V9" s="52" t="str">
        <f>IF(V$3="","",IF(COUNTIFS(Base!$A$3:$A$5001,V$3,Base!$B$3:$B$5001,$A$5,Base!$M$3:$M$5001,"&lt;&gt;")=0,"",SUMIFS(Base!$M$3:$M$5001,Base!$A$3:$A$5001,V$3,Base!$B$3:$B$5001,$A$5)))</f>
        <v/>
      </c>
      <c r="W9" s="52" t="str">
        <f>IF(W$3="","",IF(COUNTIFS(Base!$A$3:$A$5001,W$3,Base!$B$3:$B$5001,$A$5,Base!$M$3:$M$5001,"&lt;&gt;")=0,"",SUMIFS(Base!$M$3:$M$5001,Base!$A$3:$A$5001,W$3,Base!$B$3:$B$5001,$A$5)))</f>
        <v/>
      </c>
      <c r="X9" s="52" t="str">
        <f>IF(X$3="","",IF(COUNTIFS(Base!$A$3:$A$5001,X$3,Base!$B$3:$B$5001,$A$5,Base!$M$3:$M$5001,"&lt;&gt;")=0,"",SUMIFS(Base!$M$3:$M$5001,Base!$A$3:$A$5001,X$3,Base!$B$3:$B$5001,$A$5)))</f>
        <v/>
      </c>
      <c r="Y9" s="52" t="str">
        <f>IF(Y$3="","",IF(COUNTIFS(Base!$A$3:$A$5001,Y$3,Base!$B$3:$B$5001,$A$5,Base!$M$3:$M$5001,"&lt;&gt;")=0,"",SUMIFS(Base!$M$3:$M$5001,Base!$A$3:$A$5001,Y$3,Base!$B$3:$B$5001,$A$5)))</f>
        <v/>
      </c>
      <c r="Z9" s="52" t="str">
        <f>IF(Z$3="","",IF(COUNTIFS(Base!$A$3:$A$5001,Z$3,Base!$B$3:$B$5001,$A$5,Base!$M$3:$M$5001,"&lt;&gt;")=0,"",SUMIFS(Base!$M$3:$M$5001,Base!$A$3:$A$5001,Z$3,Base!$B$3:$B$5001,$A$5)))</f>
        <v/>
      </c>
      <c r="AA9" s="52" t="str">
        <f>IF(AA$3="","",IF(COUNTIFS(Base!$A$3:$A$5001,AA$3,Base!$B$3:$B$5001,$A$5,Base!$M$3:$M$5001,"&lt;&gt;")=0,"",SUMIFS(Base!$M$3:$M$5001,Base!$A$3:$A$5001,AA$3,Base!$B$3:$B$5001,$A$5)))</f>
        <v/>
      </c>
      <c r="AB9" s="52" t="str">
        <f>IF(AB$3="","",IF(COUNTIFS(Base!$A$3:$A$5001,AB$3,Base!$B$3:$B$5001,$A$5,Base!$M$3:$M$5001,"&lt;&gt;")=0,"",SUMIFS(Base!$M$3:$M$5001,Base!$A$3:$A$5001,AB$3,Base!$B$3:$B$5001,$A$5)))</f>
        <v/>
      </c>
      <c r="AC9" s="52" t="str">
        <f>IF(AC$3="","",IF(COUNTIFS(Base!$A$3:$A$5001,AC$3,Base!$B$3:$B$5001,$A$5,Base!$M$3:$M$5001,"&lt;&gt;")=0,"",SUMIFS(Base!$M$3:$M$5001,Base!$A$3:$A$5001,AC$3,Base!$B$3:$B$5001,$A$5)))</f>
        <v/>
      </c>
      <c r="AD9" s="52" t="str">
        <f>IF(AD$3="","",IF(COUNTIFS(Base!$A$3:$A$5001,AD$3,Base!$B$3:$B$5001,$A$5,Base!$M$3:$M$5001,"&lt;&gt;")=0,"",SUMIFS(Base!$M$3:$M$5001,Base!$A$3:$A$5001,AD$3,Base!$B$3:$B$5001,$A$5)))</f>
        <v/>
      </c>
      <c r="AE9" s="52" t="str">
        <f>IF(AE$3="","",IF(COUNTIFS(Base!$A$3:$A$5001,AE$3,Base!$B$3:$B$5001,$A$5,Base!$M$3:$M$5001,"&lt;&gt;")=0,"",SUMIFS(Base!$M$3:$M$5001,Base!$A$3:$A$5001,AE$3,Base!$B$3:$B$5001,$A$5)))</f>
        <v/>
      </c>
      <c r="AF9" s="52" t="str">
        <f>IF(AF$3="","",IF(COUNTIFS(Base!$A$3:$A$5001,AF$3,Base!$B$3:$B$5001,$A$5,Base!$M$3:$M$5001,"&lt;&gt;")=0,"",SUMIFS(Base!$M$3:$M$5001,Base!$A$3:$A$5001,AF$3,Base!$B$3:$B$5001,$A$5)))</f>
        <v/>
      </c>
      <c r="AG9" s="52" t="str">
        <f>IF(AG$3="","",IF(COUNTIFS(Base!$A$3:$A$5001,AG$3,Base!$B$3:$B$5001,$A$5,Base!$M$3:$M$5001,"&lt;&gt;")=0,"",SUMIFS(Base!$M$3:$M$5001,Base!$A$3:$A$5001,AG$3,Base!$B$3:$B$5001,$A$5)))</f>
        <v/>
      </c>
      <c r="AH9" s="52" t="str">
        <f>IF(AH$3="","",IF(COUNTIFS(Base!$A$3:$A$5001,AH$3,Base!$B$3:$B$5001,$A$5,Base!$M$3:$M$5001,"&lt;&gt;")=0,"",SUMIFS(Base!$M$3:$M$5001,Base!$A$3:$A$5001,AH$3,Base!$B$3:$B$5001,$A$5)))</f>
        <v/>
      </c>
      <c r="AI9" s="52" t="str">
        <f>IF(AI$3="","",IF(COUNTIFS(Base!$A$3:$A$5001,AI$3,Base!$B$3:$B$5001,$A$5,Base!$M$3:$M$5001,"&lt;&gt;")=0,"",SUMIFS(Base!$M$3:$M$5001,Base!$A$3:$A$5001,AI$3,Base!$B$3:$B$5001,$A$5)))</f>
        <v/>
      </c>
      <c r="AJ9" s="53" t="str">
        <f>IF(AJ$3="","",IF(COUNTIFS(Base!$A$3:$A$5001,AJ$3,Base!$B$3:$B$5001,$A$5,Base!$M$3:$M$5001,"&lt;&gt;")=0,"",SUMIFS(Base!$M$3:$M$5001,Base!$A$3:$A$5001,AJ$3,Base!$B$3:$B$5001,$A$5)))</f>
        <v/>
      </c>
      <c r="AK9" s="54" t="str">
        <f>IF(COUNT(F9:AJ9)=0,"",SUM(F9:AJ9))</f>
        <v/>
      </c>
    </row>
    <row r="10" ht="15.75" customHeight="1">
      <c r="A10" s="118"/>
      <c r="B10" s="110"/>
      <c r="C10" s="55" t="inlineStr">
        <is>
          <t xml:space="preserve">Toneladas Movimentadas</t>
        </is>
      </c>
      <c r="D10" s="56" t="str">
        <f>IFERROR(1/(1/INDEX(calculos!$C$55:$K$83,MATCH("OUT Toneladas Movimentadas",calculos!$A$55:$A$83,0),MATCH($A$5,calculos!$C$54:$K$54,0))),"")</f>
        <v/>
      </c>
      <c r="E10" s="57"/>
      <c r="F10" s="58" t="str">
        <f>IF(F$3="","",IF(COUNTIFS(Base!$A$3:$A$5001,F$3,Base!$B$3:$B$5001,$A$5,Base!$N$3:$N$5001,"&lt;&gt;")=0,"",SUMIFS(Base!$N$3:$N$5001,Base!$A$3:$A$5001,F$3,Base!$B$3:$B$5001,$A$5)))</f>
        <v/>
      </c>
      <c r="G10" s="59" t="str">
        <f>IF(G$3="","",IF(COUNTIFS(Base!$A$3:$A$5001,G$3,Base!$B$3:$B$5001,$A$5,Base!$N$3:$N$5001,"&lt;&gt;")=0,"",SUMIFS(Base!$N$3:$N$5001,Base!$A$3:$A$5001,G$3,Base!$B$3:$B$5001,$A$5)))</f>
        <v/>
      </c>
      <c r="H10" s="59" t="str">
        <f>IF(H$3="","",IF(COUNTIFS(Base!$A$3:$A$5001,H$3,Base!$B$3:$B$5001,$A$5,Base!$N$3:$N$5001,"&lt;&gt;")=0,"",SUMIFS(Base!$N$3:$N$5001,Base!$A$3:$A$5001,H$3,Base!$B$3:$B$5001,$A$5)))</f>
        <v/>
      </c>
      <c r="I10" s="59" t="str">
        <f>IF(I$3="","",IF(COUNTIFS(Base!$A$3:$A$5001,I$3,Base!$B$3:$B$5001,$A$5,Base!$N$3:$N$5001,"&lt;&gt;")=0,"",SUMIFS(Base!$N$3:$N$5001,Base!$A$3:$A$5001,I$3,Base!$B$3:$B$5001,$A$5)))</f>
        <v/>
      </c>
      <c r="J10" s="59" t="str">
        <f>IF(J$3="","",IF(COUNTIFS(Base!$A$3:$A$5001,J$3,Base!$B$3:$B$5001,$A$5,Base!$N$3:$N$5001,"&lt;&gt;")=0,"",SUMIFS(Base!$N$3:$N$5001,Base!$A$3:$A$5001,J$3,Base!$B$3:$B$5001,$A$5)))</f>
        <v/>
      </c>
      <c r="K10" s="59" t="str">
        <f>IF(K$3="","",IF(COUNTIFS(Base!$A$3:$A$5001,K$3,Base!$B$3:$B$5001,$A$5,Base!$N$3:$N$5001,"&lt;&gt;")=0,"",SUMIFS(Base!$N$3:$N$5001,Base!$A$3:$A$5001,K$3,Base!$B$3:$B$5001,$A$5)))</f>
        <v/>
      </c>
      <c r="L10" s="59" t="str">
        <f>IF(L$3="","",IF(COUNTIFS(Base!$A$3:$A$5001,L$3,Base!$B$3:$B$5001,$A$5,Base!$N$3:$N$5001,"&lt;&gt;")=0,"",SUMIFS(Base!$N$3:$N$5001,Base!$A$3:$A$5001,L$3,Base!$B$3:$B$5001,$A$5)))</f>
        <v/>
      </c>
      <c r="M10" s="59" t="str">
        <f>IF(M$3="","",IF(COUNTIFS(Base!$A$3:$A$5001,M$3,Base!$B$3:$B$5001,$A$5,Base!$N$3:$N$5001,"&lt;&gt;")=0,"",SUMIFS(Base!$N$3:$N$5001,Base!$A$3:$A$5001,M$3,Base!$B$3:$B$5001,$A$5)))</f>
        <v/>
      </c>
      <c r="N10" s="59" t="str">
        <f>IF(N$3="","",IF(COUNTIFS(Base!$A$3:$A$5001,N$3,Base!$B$3:$B$5001,$A$5,Base!$N$3:$N$5001,"&lt;&gt;")=0,"",SUMIFS(Base!$N$3:$N$5001,Base!$A$3:$A$5001,N$3,Base!$B$3:$B$5001,$A$5)))</f>
        <v/>
      </c>
      <c r="O10" s="59" t="str">
        <f>IF(O$3="","",IF(COUNTIFS(Base!$A$3:$A$5001,O$3,Base!$B$3:$B$5001,$A$5,Base!$N$3:$N$5001,"&lt;&gt;")=0,"",SUMIFS(Base!$N$3:$N$5001,Base!$A$3:$A$5001,O$3,Base!$B$3:$B$5001,$A$5)))</f>
        <v/>
      </c>
      <c r="P10" s="59" t="str">
        <f>IF(P$3="","",IF(COUNTIFS(Base!$A$3:$A$5001,P$3,Base!$B$3:$B$5001,$A$5,Base!$N$3:$N$5001,"&lt;&gt;")=0,"",SUMIFS(Base!$N$3:$N$5001,Base!$A$3:$A$5001,P$3,Base!$B$3:$B$5001,$A$5)))</f>
        <v/>
      </c>
      <c r="Q10" s="59" t="str">
        <f>IF(Q$3="","",IF(COUNTIFS(Base!$A$3:$A$5001,Q$3,Base!$B$3:$B$5001,$A$5,Base!$N$3:$N$5001,"&lt;&gt;")=0,"",SUMIFS(Base!$N$3:$N$5001,Base!$A$3:$A$5001,Q$3,Base!$B$3:$B$5001,$A$5)))</f>
        <v/>
      </c>
      <c r="R10" s="59" t="str">
        <f>IF(R$3="","",IF(COUNTIFS(Base!$A$3:$A$5001,R$3,Base!$B$3:$B$5001,$A$5,Base!$N$3:$N$5001,"&lt;&gt;")=0,"",SUMIFS(Base!$N$3:$N$5001,Base!$A$3:$A$5001,R$3,Base!$B$3:$B$5001,$A$5)))</f>
        <v/>
      </c>
      <c r="S10" s="59" t="str">
        <f>IF(S$3="","",IF(COUNTIFS(Base!$A$3:$A$5001,S$3,Base!$B$3:$B$5001,$A$5,Base!$N$3:$N$5001,"&lt;&gt;")=0,"",SUMIFS(Base!$N$3:$N$5001,Base!$A$3:$A$5001,S$3,Base!$B$3:$B$5001,$A$5)))</f>
        <v/>
      </c>
      <c r="T10" s="59" t="str">
        <f>IF(T$3="","",IF(COUNTIFS(Base!$A$3:$A$5001,T$3,Base!$B$3:$B$5001,$A$5,Base!$N$3:$N$5001,"&lt;&gt;")=0,"",SUMIFS(Base!$N$3:$N$5001,Base!$A$3:$A$5001,T$3,Base!$B$3:$B$5001,$A$5)))</f>
        <v/>
      </c>
      <c r="U10" s="59" t="str">
        <f>IF(U$3="","",IF(COUNTIFS(Base!$A$3:$A$5001,U$3,Base!$B$3:$B$5001,$A$5,Base!$N$3:$N$5001,"&lt;&gt;")=0,"",SUMIFS(Base!$N$3:$N$5001,Base!$A$3:$A$5001,U$3,Base!$B$3:$B$5001,$A$5)))</f>
        <v/>
      </c>
      <c r="V10" s="59" t="str">
        <f>IF(V$3="","",IF(COUNTIFS(Base!$A$3:$A$5001,V$3,Base!$B$3:$B$5001,$A$5,Base!$N$3:$N$5001,"&lt;&gt;")=0,"",SUMIFS(Base!$N$3:$N$5001,Base!$A$3:$A$5001,V$3,Base!$B$3:$B$5001,$A$5)))</f>
        <v/>
      </c>
      <c r="W10" s="59" t="str">
        <f>IF(W$3="","",IF(COUNTIFS(Base!$A$3:$A$5001,W$3,Base!$B$3:$B$5001,$A$5,Base!$N$3:$N$5001,"&lt;&gt;")=0,"",SUMIFS(Base!$N$3:$N$5001,Base!$A$3:$A$5001,W$3,Base!$B$3:$B$5001,$A$5)))</f>
        <v/>
      </c>
      <c r="X10" s="59" t="str">
        <f>IF(X$3="","",IF(COUNTIFS(Base!$A$3:$A$5001,X$3,Base!$B$3:$B$5001,$A$5,Base!$N$3:$N$5001,"&lt;&gt;")=0,"",SUMIFS(Base!$N$3:$N$5001,Base!$A$3:$A$5001,X$3,Base!$B$3:$B$5001,$A$5)))</f>
        <v/>
      </c>
      <c r="Y10" s="59" t="str">
        <f>IF(Y$3="","",IF(COUNTIFS(Base!$A$3:$A$5001,Y$3,Base!$B$3:$B$5001,$A$5,Base!$N$3:$N$5001,"&lt;&gt;")=0,"",SUMIFS(Base!$N$3:$N$5001,Base!$A$3:$A$5001,Y$3,Base!$B$3:$B$5001,$A$5)))</f>
        <v/>
      </c>
      <c r="Z10" s="59" t="str">
        <f>IF(Z$3="","",IF(COUNTIFS(Base!$A$3:$A$5001,Z$3,Base!$B$3:$B$5001,$A$5,Base!$N$3:$N$5001,"&lt;&gt;")=0,"",SUMIFS(Base!$N$3:$N$5001,Base!$A$3:$A$5001,Z$3,Base!$B$3:$B$5001,$A$5)))</f>
        <v/>
      </c>
      <c r="AA10" s="59" t="str">
        <f>IF(AA$3="","",IF(COUNTIFS(Base!$A$3:$A$5001,AA$3,Base!$B$3:$B$5001,$A$5,Base!$N$3:$N$5001,"&lt;&gt;")=0,"",SUMIFS(Base!$N$3:$N$5001,Base!$A$3:$A$5001,AA$3,Base!$B$3:$B$5001,$A$5)))</f>
        <v/>
      </c>
      <c r="AB10" s="59" t="str">
        <f>IF(AB$3="","",IF(COUNTIFS(Base!$A$3:$A$5001,AB$3,Base!$B$3:$B$5001,$A$5,Base!$N$3:$N$5001,"&lt;&gt;")=0,"",SUMIFS(Base!$N$3:$N$5001,Base!$A$3:$A$5001,AB$3,Base!$B$3:$B$5001,$A$5)))</f>
        <v/>
      </c>
      <c r="AC10" s="59" t="str">
        <f>IF(AC$3="","",IF(COUNTIFS(Base!$A$3:$A$5001,AC$3,Base!$B$3:$B$5001,$A$5,Base!$N$3:$N$5001,"&lt;&gt;")=0,"",SUMIFS(Base!$N$3:$N$5001,Base!$A$3:$A$5001,AC$3,Base!$B$3:$B$5001,$A$5)))</f>
        <v/>
      </c>
      <c r="AD10" s="59" t="str">
        <f>IF(AD$3="","",IF(COUNTIFS(Base!$A$3:$A$5001,AD$3,Base!$B$3:$B$5001,$A$5,Base!$N$3:$N$5001,"&lt;&gt;")=0,"",SUMIFS(Base!$N$3:$N$5001,Base!$A$3:$A$5001,AD$3,Base!$B$3:$B$5001,$A$5)))</f>
        <v/>
      </c>
      <c r="AE10" s="59" t="str">
        <f>IF(AE$3="","",IF(COUNTIFS(Base!$A$3:$A$5001,AE$3,Base!$B$3:$B$5001,$A$5,Base!$N$3:$N$5001,"&lt;&gt;")=0,"",SUMIFS(Base!$N$3:$N$5001,Base!$A$3:$A$5001,AE$3,Base!$B$3:$B$5001,$A$5)))</f>
        <v/>
      </c>
      <c r="AF10" s="59" t="str">
        <f>IF(AF$3="","",IF(COUNTIFS(Base!$A$3:$A$5001,AF$3,Base!$B$3:$B$5001,$A$5,Base!$N$3:$N$5001,"&lt;&gt;")=0,"",SUMIFS(Base!$N$3:$N$5001,Base!$A$3:$A$5001,AF$3,Base!$B$3:$B$5001,$A$5)))</f>
        <v/>
      </c>
      <c r="AG10" s="59" t="str">
        <f>IF(AG$3="","",IF(COUNTIFS(Base!$A$3:$A$5001,AG$3,Base!$B$3:$B$5001,$A$5,Base!$N$3:$N$5001,"&lt;&gt;")=0,"",SUMIFS(Base!$N$3:$N$5001,Base!$A$3:$A$5001,AG$3,Base!$B$3:$B$5001,$A$5)))</f>
        <v/>
      </c>
      <c r="AH10" s="59" t="str">
        <f>IF(AH$3="","",IF(COUNTIFS(Base!$A$3:$A$5001,AH$3,Base!$B$3:$B$5001,$A$5,Base!$N$3:$N$5001,"&lt;&gt;")=0,"",SUMIFS(Base!$N$3:$N$5001,Base!$A$3:$A$5001,AH$3,Base!$B$3:$B$5001,$A$5)))</f>
        <v/>
      </c>
      <c r="AI10" s="59" t="str">
        <f>IF(AI$3="","",IF(COUNTIFS(Base!$A$3:$A$5001,AI$3,Base!$B$3:$B$5001,$A$5,Base!$N$3:$N$5001,"&lt;&gt;")=0,"",SUMIFS(Base!$N$3:$N$5001,Base!$A$3:$A$5001,AI$3,Base!$B$3:$B$5001,$A$5)))</f>
        <v/>
      </c>
      <c r="AJ10" s="60" t="str">
        <f>IF(AJ$3="","",IF(COUNTIFS(Base!$A$3:$A$5001,AJ$3,Base!$B$3:$B$5001,$A$5,Base!$N$3:$N$5001,"&lt;&gt;")=0,"",SUMIFS(Base!$N$3:$N$5001,Base!$A$3:$A$5001,AJ$3,Base!$B$3:$B$5001,$A$5)))</f>
        <v/>
      </c>
      <c r="AK10" s="56" t="str">
        <f>IF(COUNT(F10:AJ10)=0,"",SUM(F10:AJ10))</f>
        <v/>
      </c>
    </row>
    <row r="11" ht="15.75" customHeight="1">
      <c r="A11" s="118"/>
      <c r="B11" s="111" t="inlineStr">
        <is>
          <t xml:space="preserve">NC</t>
        </is>
      </c>
      <c r="C11" s="61" t="inlineStr">
        <is>
          <t xml:space="preserve">Incidentes</t>
        </is>
      </c>
      <c r="D11" s="62" t="str">
        <f>IFERROR(1/(1/INDEX(calculos!$C$55:$K$83,MATCH("NC Incidentes",calculos!$A$55:$A$83,0),MATCH($A$5,calculos!$C$54:$K$54,0))),"")</f>
        <v/>
      </c>
      <c r="E11" s="63"/>
      <c r="F11" s="64" t="str">
        <f>IF(F$3="","",IF(COUNTIFS(Base!$A$3:$A$5001,F$3,Base!$B$3:$B$5001,$A$5,Base!$U$3:$U$5001,"&lt;&gt;")=0,"",SUMIFS(Base!$U$3:$U$5001,Base!$A$3:$A$5001,F$3,Base!$B$3:$B$5001,$A$5)))</f>
        <v/>
      </c>
      <c r="G11" s="65" t="str">
        <f>IF(G$3="","",IF(COUNTIFS(Base!$A$3:$A$5001,G$3,Base!$B$3:$B$5001,$A$5,Base!$U$3:$U$5001,"&lt;&gt;")=0,"",SUMIFS(Base!$U$3:$U$5001,Base!$A$3:$A$5001,G$3,Base!$B$3:$B$5001,$A$5)))</f>
        <v/>
      </c>
      <c r="H11" s="65" t="str">
        <f>IF(H$3="","",IF(COUNTIFS(Base!$A$3:$A$5001,H$3,Base!$B$3:$B$5001,$A$5,Base!$U$3:$U$5001,"&lt;&gt;")=0,"",SUMIFS(Base!$U$3:$U$5001,Base!$A$3:$A$5001,H$3,Base!$B$3:$B$5001,$A$5)))</f>
        <v/>
      </c>
      <c r="I11" s="65" t="str">
        <f>IF(I$3="","",IF(COUNTIFS(Base!$A$3:$A$5001,I$3,Base!$B$3:$B$5001,$A$5,Base!$U$3:$U$5001,"&lt;&gt;")=0,"",SUMIFS(Base!$U$3:$U$5001,Base!$A$3:$A$5001,I$3,Base!$B$3:$B$5001,$A$5)))</f>
        <v/>
      </c>
      <c r="J11" s="65" t="str">
        <f>IF(J$3="","",IF(COUNTIFS(Base!$A$3:$A$5001,J$3,Base!$B$3:$B$5001,$A$5,Base!$U$3:$U$5001,"&lt;&gt;")=0,"",SUMIFS(Base!$U$3:$U$5001,Base!$A$3:$A$5001,J$3,Base!$B$3:$B$5001,$A$5)))</f>
        <v/>
      </c>
      <c r="K11" s="65" t="str">
        <f>IF(K$3="","",IF(COUNTIFS(Base!$A$3:$A$5001,K$3,Base!$B$3:$B$5001,$A$5,Base!$U$3:$U$5001,"&lt;&gt;")=0,"",SUMIFS(Base!$U$3:$U$5001,Base!$A$3:$A$5001,K$3,Base!$B$3:$B$5001,$A$5)))</f>
        <v/>
      </c>
      <c r="L11" s="65" t="str">
        <f>IF(L$3="","",IF(COUNTIFS(Base!$A$3:$A$5001,L$3,Base!$B$3:$B$5001,$A$5,Base!$U$3:$U$5001,"&lt;&gt;")=0,"",SUMIFS(Base!$U$3:$U$5001,Base!$A$3:$A$5001,L$3,Base!$B$3:$B$5001,$A$5)))</f>
        <v/>
      </c>
      <c r="M11" s="65" t="str">
        <f>IF(M$3="","",IF(COUNTIFS(Base!$A$3:$A$5001,M$3,Base!$B$3:$B$5001,$A$5,Base!$U$3:$U$5001,"&lt;&gt;")=0,"",SUMIFS(Base!$U$3:$U$5001,Base!$A$3:$A$5001,M$3,Base!$B$3:$B$5001,$A$5)))</f>
        <v/>
      </c>
      <c r="N11" s="65" t="str">
        <f>IF(N$3="","",IF(COUNTIFS(Base!$A$3:$A$5001,N$3,Base!$B$3:$B$5001,$A$5,Base!$U$3:$U$5001,"&lt;&gt;")=0,"",SUMIFS(Base!$U$3:$U$5001,Base!$A$3:$A$5001,N$3,Base!$B$3:$B$5001,$A$5)))</f>
        <v/>
      </c>
      <c r="O11" s="65" t="str">
        <f>IF(O$3="","",IF(COUNTIFS(Base!$A$3:$A$5001,O$3,Base!$B$3:$B$5001,$A$5,Base!$U$3:$U$5001,"&lt;&gt;")=0,"",SUMIFS(Base!$U$3:$U$5001,Base!$A$3:$A$5001,O$3,Base!$B$3:$B$5001,$A$5)))</f>
        <v/>
      </c>
      <c r="P11" s="65" t="str">
        <f>IF(P$3="","",IF(COUNTIFS(Base!$A$3:$A$5001,P$3,Base!$B$3:$B$5001,$A$5,Base!$U$3:$U$5001,"&lt;&gt;")=0,"",SUMIFS(Base!$U$3:$U$5001,Base!$A$3:$A$5001,P$3,Base!$B$3:$B$5001,$A$5)))</f>
        <v/>
      </c>
      <c r="Q11" s="65" t="str">
        <f>IF(Q$3="","",IF(COUNTIFS(Base!$A$3:$A$5001,Q$3,Base!$B$3:$B$5001,$A$5,Base!$U$3:$U$5001,"&lt;&gt;")=0,"",SUMIFS(Base!$U$3:$U$5001,Base!$A$3:$A$5001,Q$3,Base!$B$3:$B$5001,$A$5)))</f>
        <v/>
      </c>
      <c r="R11" s="65" t="str">
        <f>IF(R$3="","",IF(COUNTIFS(Base!$A$3:$A$5001,R$3,Base!$B$3:$B$5001,$A$5,Base!$U$3:$U$5001,"&lt;&gt;")=0,"",SUMIFS(Base!$U$3:$U$5001,Base!$A$3:$A$5001,R$3,Base!$B$3:$B$5001,$A$5)))</f>
        <v/>
      </c>
      <c r="S11" s="65" t="str">
        <f>IF(S$3="","",IF(COUNTIFS(Base!$A$3:$A$5001,S$3,Base!$B$3:$B$5001,$A$5,Base!$U$3:$U$5001,"&lt;&gt;")=0,"",SUMIFS(Base!$U$3:$U$5001,Base!$A$3:$A$5001,S$3,Base!$B$3:$B$5001,$A$5)))</f>
        <v/>
      </c>
      <c r="T11" s="65" t="str">
        <f>IF(T$3="","",IF(COUNTIFS(Base!$A$3:$A$5001,T$3,Base!$B$3:$B$5001,$A$5,Base!$U$3:$U$5001,"&lt;&gt;")=0,"",SUMIFS(Base!$U$3:$U$5001,Base!$A$3:$A$5001,T$3,Base!$B$3:$B$5001,$A$5)))</f>
        <v/>
      </c>
      <c r="U11" s="65" t="str">
        <f>IF(U$3="","",IF(COUNTIFS(Base!$A$3:$A$5001,U$3,Base!$B$3:$B$5001,$A$5,Base!$U$3:$U$5001,"&lt;&gt;")=0,"",SUMIFS(Base!$U$3:$U$5001,Base!$A$3:$A$5001,U$3,Base!$B$3:$B$5001,$A$5)))</f>
        <v/>
      </c>
      <c r="V11" s="65" t="str">
        <f>IF(V$3="","",IF(COUNTIFS(Base!$A$3:$A$5001,V$3,Base!$B$3:$B$5001,$A$5,Base!$U$3:$U$5001,"&lt;&gt;")=0,"",SUMIFS(Base!$U$3:$U$5001,Base!$A$3:$A$5001,V$3,Base!$B$3:$B$5001,$A$5)))</f>
        <v/>
      </c>
      <c r="W11" s="65" t="str">
        <f>IF(W$3="","",IF(COUNTIFS(Base!$A$3:$A$5001,W$3,Base!$B$3:$B$5001,$A$5,Base!$U$3:$U$5001,"&lt;&gt;")=0,"",SUMIFS(Base!$U$3:$U$5001,Base!$A$3:$A$5001,W$3,Base!$B$3:$B$5001,$A$5)))</f>
        <v/>
      </c>
      <c r="X11" s="65" t="str">
        <f>IF(X$3="","",IF(COUNTIFS(Base!$A$3:$A$5001,X$3,Base!$B$3:$B$5001,$A$5,Base!$U$3:$U$5001,"&lt;&gt;")=0,"",SUMIFS(Base!$U$3:$U$5001,Base!$A$3:$A$5001,X$3,Base!$B$3:$B$5001,$A$5)))</f>
        <v/>
      </c>
      <c r="Y11" s="65" t="str">
        <f>IF(Y$3="","",IF(COUNTIFS(Base!$A$3:$A$5001,Y$3,Base!$B$3:$B$5001,$A$5,Base!$U$3:$U$5001,"&lt;&gt;")=0,"",SUMIFS(Base!$U$3:$U$5001,Base!$A$3:$A$5001,Y$3,Base!$B$3:$B$5001,$A$5)))</f>
        <v/>
      </c>
      <c r="Z11" s="65" t="str">
        <f>IF(Z$3="","",IF(COUNTIFS(Base!$A$3:$A$5001,Z$3,Base!$B$3:$B$5001,$A$5,Base!$U$3:$U$5001,"&lt;&gt;")=0,"",SUMIFS(Base!$U$3:$U$5001,Base!$A$3:$A$5001,Z$3,Base!$B$3:$B$5001,$A$5)))</f>
        <v/>
      </c>
      <c r="AA11" s="65" t="str">
        <f>IF(AA$3="","",IF(COUNTIFS(Base!$A$3:$A$5001,AA$3,Base!$B$3:$B$5001,$A$5,Base!$U$3:$U$5001,"&lt;&gt;")=0,"",SUMIFS(Base!$U$3:$U$5001,Base!$A$3:$A$5001,AA$3,Base!$B$3:$B$5001,$A$5)))</f>
        <v/>
      </c>
      <c r="AB11" s="65" t="str">
        <f>IF(AB$3="","",IF(COUNTIFS(Base!$A$3:$A$5001,AB$3,Base!$B$3:$B$5001,$A$5,Base!$U$3:$U$5001,"&lt;&gt;")=0,"",SUMIFS(Base!$U$3:$U$5001,Base!$A$3:$A$5001,AB$3,Base!$B$3:$B$5001,$A$5)))</f>
        <v/>
      </c>
      <c r="AC11" s="65" t="str">
        <f>IF(AC$3="","",IF(COUNTIFS(Base!$A$3:$A$5001,AC$3,Base!$B$3:$B$5001,$A$5,Base!$U$3:$U$5001,"&lt;&gt;")=0,"",SUMIFS(Base!$U$3:$U$5001,Base!$A$3:$A$5001,AC$3,Base!$B$3:$B$5001,$A$5)))</f>
        <v/>
      </c>
      <c r="AD11" s="65" t="str">
        <f>IF(AD$3="","",IF(COUNTIFS(Base!$A$3:$A$5001,AD$3,Base!$B$3:$B$5001,$A$5,Base!$U$3:$U$5001,"&lt;&gt;")=0,"",SUMIFS(Base!$U$3:$U$5001,Base!$A$3:$A$5001,AD$3,Base!$B$3:$B$5001,$A$5)))</f>
        <v/>
      </c>
      <c r="AE11" s="65" t="str">
        <f>IF(AE$3="","",IF(COUNTIFS(Base!$A$3:$A$5001,AE$3,Base!$B$3:$B$5001,$A$5,Base!$U$3:$U$5001,"&lt;&gt;")=0,"",SUMIFS(Base!$U$3:$U$5001,Base!$A$3:$A$5001,AE$3,Base!$B$3:$B$5001,$A$5)))</f>
        <v/>
      </c>
      <c r="AF11" s="65" t="str">
        <f>IF(AF$3="","",IF(COUNTIFS(Base!$A$3:$A$5001,AF$3,Base!$B$3:$B$5001,$A$5,Base!$U$3:$U$5001,"&lt;&gt;")=0,"",SUMIFS(Base!$U$3:$U$5001,Base!$A$3:$A$5001,AF$3,Base!$B$3:$B$5001,$A$5)))</f>
        <v/>
      </c>
      <c r="AG11" s="65" t="str">
        <f>IF(AG$3="","",IF(COUNTIFS(Base!$A$3:$A$5001,AG$3,Base!$B$3:$B$5001,$A$5,Base!$U$3:$U$5001,"&lt;&gt;")=0,"",SUMIFS(Base!$U$3:$U$5001,Base!$A$3:$A$5001,AG$3,Base!$B$3:$B$5001,$A$5)))</f>
        <v/>
      </c>
      <c r="AH11" s="65" t="str">
        <f>IF(AH$3="","",IF(COUNTIFS(Base!$A$3:$A$5001,AH$3,Base!$B$3:$B$5001,$A$5,Base!$U$3:$U$5001,"&lt;&gt;")=0,"",SUMIFS(Base!$U$3:$U$5001,Base!$A$3:$A$5001,AH$3,Base!$B$3:$B$5001,$A$5)))</f>
        <v/>
      </c>
      <c r="AI11" s="65" t="str">
        <f>IF(AI$3="","",IF(COUNTIFS(Base!$A$3:$A$5001,AI$3,Base!$B$3:$B$5001,$A$5,Base!$U$3:$U$5001,"&lt;&gt;")=0,"",SUMIFS(Base!$U$3:$U$5001,Base!$A$3:$A$5001,AI$3,Base!$B$3:$B$5001,$A$5)))</f>
        <v/>
      </c>
      <c r="AJ11" s="66" t="str">
        <f>IF(AJ$3="","",IF(COUNTIFS(Base!$A$3:$A$5001,AJ$3,Base!$B$3:$B$5001,$A$5,Base!$U$3:$U$5001,"&lt;&gt;")=0,"",SUMIFS(Base!$U$3:$U$5001,Base!$A$3:$A$5001,AJ$3,Base!$B$3:$B$5001,$A$5)))</f>
        <v/>
      </c>
      <c r="AK11" s="67" t="str">
        <f>IF(COUNT(F11:AJ11)=0,"",SUM(F11:AJ11))</f>
        <v/>
      </c>
    </row>
    <row r="12" ht="15.75" customHeight="1">
      <c r="A12" s="118"/>
      <c r="B12" s="112"/>
      <c r="C12" s="68" t="inlineStr">
        <is>
          <t xml:space="preserve">No show</t>
        </is>
      </c>
      <c r="D12" s="69" t="str">
        <f>IFERROR(1/(1/INDEX(calculos!$C$55:$K$83,MATCH("NC No show",calculos!$A$55:$A$83,0),MATCH($A$5,calculos!$C$54:$K$54,0))),"")</f>
        <v/>
      </c>
      <c r="E12" s="70"/>
      <c r="F12" s="71" t="str">
        <f>IF(F$3="","",IF(COUNTIFS(Base!$A$3:$A$5001,F$3,Base!$B$3:$B$5001,$A$5,Base!$V$3:$V$5001,"&lt;&gt;")=0,"",SUMIFS(Base!$V$3:$V$5001,Base!$A$3:$A$5001,F$3,Base!$B$3:$B$5001,$A$5)))</f>
        <v/>
      </c>
      <c r="G12" s="72" t="str">
        <f>IF(G$3="","",IF(COUNTIFS(Base!$A$3:$A$5001,G$3,Base!$B$3:$B$5001,$A$5,Base!$V$3:$V$5001,"&lt;&gt;")=0,"",SUMIFS(Base!$V$3:$V$5001,Base!$A$3:$A$5001,G$3,Base!$B$3:$B$5001,$A$5)))</f>
        <v/>
      </c>
      <c r="H12" s="72" t="str">
        <f>IF(H$3="","",IF(COUNTIFS(Base!$A$3:$A$5001,H$3,Base!$B$3:$B$5001,$A$5,Base!$V$3:$V$5001,"&lt;&gt;")=0,"",SUMIFS(Base!$V$3:$V$5001,Base!$A$3:$A$5001,H$3,Base!$B$3:$B$5001,$A$5)))</f>
        <v/>
      </c>
      <c r="I12" s="72" t="str">
        <f>IF(I$3="","",IF(COUNTIFS(Base!$A$3:$A$5001,I$3,Base!$B$3:$B$5001,$A$5,Base!$V$3:$V$5001,"&lt;&gt;")=0,"",SUMIFS(Base!$V$3:$V$5001,Base!$A$3:$A$5001,I$3,Base!$B$3:$B$5001,$A$5)))</f>
        <v/>
      </c>
      <c r="J12" s="72" t="str">
        <f>IF(J$3="","",IF(COUNTIFS(Base!$A$3:$A$5001,J$3,Base!$B$3:$B$5001,$A$5,Base!$V$3:$V$5001,"&lt;&gt;")=0,"",SUMIFS(Base!$V$3:$V$5001,Base!$A$3:$A$5001,J$3,Base!$B$3:$B$5001,$A$5)))</f>
        <v/>
      </c>
      <c r="K12" s="72" t="str">
        <f>IF(K$3="","",IF(COUNTIFS(Base!$A$3:$A$5001,K$3,Base!$B$3:$B$5001,$A$5,Base!$V$3:$V$5001,"&lt;&gt;")=0,"",SUMIFS(Base!$V$3:$V$5001,Base!$A$3:$A$5001,K$3,Base!$B$3:$B$5001,$A$5)))</f>
        <v/>
      </c>
      <c r="L12" s="72" t="str">
        <f>IF(L$3="","",IF(COUNTIFS(Base!$A$3:$A$5001,L$3,Base!$B$3:$B$5001,$A$5,Base!$V$3:$V$5001,"&lt;&gt;")=0,"",SUMIFS(Base!$V$3:$V$5001,Base!$A$3:$A$5001,L$3,Base!$B$3:$B$5001,$A$5)))</f>
        <v/>
      </c>
      <c r="M12" s="72" t="str">
        <f>IF(M$3="","",IF(COUNTIFS(Base!$A$3:$A$5001,M$3,Base!$B$3:$B$5001,$A$5,Base!$V$3:$V$5001,"&lt;&gt;")=0,"",SUMIFS(Base!$V$3:$V$5001,Base!$A$3:$A$5001,M$3,Base!$B$3:$B$5001,$A$5)))</f>
        <v/>
      </c>
      <c r="N12" s="72" t="str">
        <f>IF(N$3="","",IF(COUNTIFS(Base!$A$3:$A$5001,N$3,Base!$B$3:$B$5001,$A$5,Base!$V$3:$V$5001,"&lt;&gt;")=0,"",SUMIFS(Base!$V$3:$V$5001,Base!$A$3:$A$5001,N$3,Base!$B$3:$B$5001,$A$5)))</f>
        <v/>
      </c>
      <c r="O12" s="72" t="str">
        <f>IF(O$3="","",IF(COUNTIFS(Base!$A$3:$A$5001,O$3,Base!$B$3:$B$5001,$A$5,Base!$V$3:$V$5001,"&lt;&gt;")=0,"",SUMIFS(Base!$V$3:$V$5001,Base!$A$3:$A$5001,O$3,Base!$B$3:$B$5001,$A$5)))</f>
        <v/>
      </c>
      <c r="P12" s="72" t="str">
        <f>IF(P$3="","",IF(COUNTIFS(Base!$A$3:$A$5001,P$3,Base!$B$3:$B$5001,$A$5,Base!$V$3:$V$5001,"&lt;&gt;")=0,"",SUMIFS(Base!$V$3:$V$5001,Base!$A$3:$A$5001,P$3,Base!$B$3:$B$5001,$A$5)))</f>
        <v/>
      </c>
      <c r="Q12" s="72" t="str">
        <f>IF(Q$3="","",IF(COUNTIFS(Base!$A$3:$A$5001,Q$3,Base!$B$3:$B$5001,$A$5,Base!$V$3:$V$5001,"&lt;&gt;")=0,"",SUMIFS(Base!$V$3:$V$5001,Base!$A$3:$A$5001,Q$3,Base!$B$3:$B$5001,$A$5)))</f>
        <v/>
      </c>
      <c r="R12" s="72" t="str">
        <f>IF(R$3="","",IF(COUNTIFS(Base!$A$3:$A$5001,R$3,Base!$B$3:$B$5001,$A$5,Base!$V$3:$V$5001,"&lt;&gt;")=0,"",SUMIFS(Base!$V$3:$V$5001,Base!$A$3:$A$5001,R$3,Base!$B$3:$B$5001,$A$5)))</f>
        <v/>
      </c>
      <c r="S12" s="72" t="str">
        <f>IF(S$3="","",IF(COUNTIFS(Base!$A$3:$A$5001,S$3,Base!$B$3:$B$5001,$A$5,Base!$V$3:$V$5001,"&lt;&gt;")=0,"",SUMIFS(Base!$V$3:$V$5001,Base!$A$3:$A$5001,S$3,Base!$B$3:$B$5001,$A$5)))</f>
        <v/>
      </c>
      <c r="T12" s="72" t="str">
        <f>IF(T$3="","",IF(COUNTIFS(Base!$A$3:$A$5001,T$3,Base!$B$3:$B$5001,$A$5,Base!$V$3:$V$5001,"&lt;&gt;")=0,"",SUMIFS(Base!$V$3:$V$5001,Base!$A$3:$A$5001,T$3,Base!$B$3:$B$5001,$A$5)))</f>
        <v/>
      </c>
      <c r="U12" s="72" t="str">
        <f>IF(U$3="","",IF(COUNTIFS(Base!$A$3:$A$5001,U$3,Base!$B$3:$B$5001,$A$5,Base!$V$3:$V$5001,"&lt;&gt;")=0,"",SUMIFS(Base!$V$3:$V$5001,Base!$A$3:$A$5001,U$3,Base!$B$3:$B$5001,$A$5)))</f>
        <v/>
      </c>
      <c r="V12" s="72" t="str">
        <f>IF(V$3="","",IF(COUNTIFS(Base!$A$3:$A$5001,V$3,Base!$B$3:$B$5001,$A$5,Base!$V$3:$V$5001,"&lt;&gt;")=0,"",SUMIFS(Base!$V$3:$V$5001,Base!$A$3:$A$5001,V$3,Base!$B$3:$B$5001,$A$5)))</f>
        <v/>
      </c>
      <c r="W12" s="72" t="str">
        <f>IF(W$3="","",IF(COUNTIFS(Base!$A$3:$A$5001,W$3,Base!$B$3:$B$5001,$A$5,Base!$V$3:$V$5001,"&lt;&gt;")=0,"",SUMIFS(Base!$V$3:$V$5001,Base!$A$3:$A$5001,W$3,Base!$B$3:$B$5001,$A$5)))</f>
        <v/>
      </c>
      <c r="X12" s="72" t="str">
        <f>IF(X$3="","",IF(COUNTIFS(Base!$A$3:$A$5001,X$3,Base!$B$3:$B$5001,$A$5,Base!$V$3:$V$5001,"&lt;&gt;")=0,"",SUMIFS(Base!$V$3:$V$5001,Base!$A$3:$A$5001,X$3,Base!$B$3:$B$5001,$A$5)))</f>
        <v/>
      </c>
      <c r="Y12" s="72" t="str">
        <f>IF(Y$3="","",IF(COUNTIFS(Base!$A$3:$A$5001,Y$3,Base!$B$3:$B$5001,$A$5,Base!$V$3:$V$5001,"&lt;&gt;")=0,"",SUMIFS(Base!$V$3:$V$5001,Base!$A$3:$A$5001,Y$3,Base!$B$3:$B$5001,$A$5)))</f>
        <v/>
      </c>
      <c r="Z12" s="72" t="str">
        <f>IF(Z$3="","",IF(COUNTIFS(Base!$A$3:$A$5001,Z$3,Base!$B$3:$B$5001,$A$5,Base!$V$3:$V$5001,"&lt;&gt;")=0,"",SUMIFS(Base!$V$3:$V$5001,Base!$A$3:$A$5001,Z$3,Base!$B$3:$B$5001,$A$5)))</f>
        <v/>
      </c>
      <c r="AA12" s="72" t="str">
        <f>IF(AA$3="","",IF(COUNTIFS(Base!$A$3:$A$5001,AA$3,Base!$B$3:$B$5001,$A$5,Base!$V$3:$V$5001,"&lt;&gt;")=0,"",SUMIFS(Base!$V$3:$V$5001,Base!$A$3:$A$5001,AA$3,Base!$B$3:$B$5001,$A$5)))</f>
        <v/>
      </c>
      <c r="AB12" s="72" t="str">
        <f>IF(AB$3="","",IF(COUNTIFS(Base!$A$3:$A$5001,AB$3,Base!$B$3:$B$5001,$A$5,Base!$V$3:$V$5001,"&lt;&gt;")=0,"",SUMIFS(Base!$V$3:$V$5001,Base!$A$3:$A$5001,AB$3,Base!$B$3:$B$5001,$A$5)))</f>
        <v/>
      </c>
      <c r="AC12" s="72" t="str">
        <f>IF(AC$3="","",IF(COUNTIFS(Base!$A$3:$A$5001,AC$3,Base!$B$3:$B$5001,$A$5,Base!$V$3:$V$5001,"&lt;&gt;")=0,"",SUMIFS(Base!$V$3:$V$5001,Base!$A$3:$A$5001,AC$3,Base!$B$3:$B$5001,$A$5)))</f>
        <v/>
      </c>
      <c r="AD12" s="72" t="str">
        <f>IF(AD$3="","",IF(COUNTIFS(Base!$A$3:$A$5001,AD$3,Base!$B$3:$B$5001,$A$5,Base!$V$3:$V$5001,"&lt;&gt;")=0,"",SUMIFS(Base!$V$3:$V$5001,Base!$A$3:$A$5001,AD$3,Base!$B$3:$B$5001,$A$5)))</f>
        <v/>
      </c>
      <c r="AE12" s="72" t="str">
        <f>IF(AE$3="","",IF(COUNTIFS(Base!$A$3:$A$5001,AE$3,Base!$B$3:$B$5001,$A$5,Base!$V$3:$V$5001,"&lt;&gt;")=0,"",SUMIFS(Base!$V$3:$V$5001,Base!$A$3:$A$5001,AE$3,Base!$B$3:$B$5001,$A$5)))</f>
        <v/>
      </c>
      <c r="AF12" s="72" t="str">
        <f>IF(AF$3="","",IF(COUNTIFS(Base!$A$3:$A$5001,AF$3,Base!$B$3:$B$5001,$A$5,Base!$V$3:$V$5001,"&lt;&gt;")=0,"",SUMIFS(Base!$V$3:$V$5001,Base!$A$3:$A$5001,AF$3,Base!$B$3:$B$5001,$A$5)))</f>
        <v/>
      </c>
      <c r="AG12" s="72" t="str">
        <f>IF(AG$3="","",IF(COUNTIFS(Base!$A$3:$A$5001,AG$3,Base!$B$3:$B$5001,$A$5,Base!$V$3:$V$5001,"&lt;&gt;")=0,"",SUMIFS(Base!$V$3:$V$5001,Base!$A$3:$A$5001,AG$3,Base!$B$3:$B$5001,$A$5)))</f>
        <v/>
      </c>
      <c r="AH12" s="72" t="str">
        <f>IF(AH$3="","",IF(COUNTIFS(Base!$A$3:$A$5001,AH$3,Base!$B$3:$B$5001,$A$5,Base!$V$3:$V$5001,"&lt;&gt;")=0,"",SUMIFS(Base!$V$3:$V$5001,Base!$A$3:$A$5001,AH$3,Base!$B$3:$B$5001,$A$5)))</f>
        <v/>
      </c>
      <c r="AI12" s="72" t="str">
        <f>IF(AI$3="","",IF(COUNTIFS(Base!$A$3:$A$5001,AI$3,Base!$B$3:$B$5001,$A$5,Base!$V$3:$V$5001,"&lt;&gt;")=0,"",SUMIFS(Base!$V$3:$V$5001,Base!$A$3:$A$5001,AI$3,Base!$B$3:$B$5001,$A$5)))</f>
        <v/>
      </c>
      <c r="AJ12" s="73" t="str">
        <f>IF(AJ$3="","",IF(COUNTIFS(Base!$A$3:$A$5001,AJ$3,Base!$B$3:$B$5001,$A$5,Base!$V$3:$V$5001,"&lt;&gt;")=0,"",SUMIFS(Base!$V$3:$V$5001,Base!$A$3:$A$5001,AJ$3,Base!$B$3:$B$5001,$A$5)))</f>
        <v/>
      </c>
      <c r="AK12" s="74" t="str">
        <f>IF(COUNT(F12:AJ12)=0,"",SUM(F12:AJ12))</f>
        <v/>
      </c>
    </row>
    <row r="13" ht="15.75" customHeight="1">
      <c r="A13" s="118"/>
      <c r="B13" s="113"/>
      <c r="C13" s="75" t="inlineStr">
        <is>
          <t xml:space="preserve">Backlog</t>
        </is>
      </c>
      <c r="D13" s="76" t="str">
        <f>IFERROR(1/(1/INDEX(calculos!$C$55:$K$83,MATCH("NC Backlog",calculos!$A$55:$A$83,0),MATCH($A$5,calculos!$C$54:$K$54,0))),"")</f>
        <v/>
      </c>
      <c r="E13" s="77"/>
      <c r="F13" s="78" t="str">
        <f>IF(F$3="","",IF(COUNTIFS(Base!$A$3:$A$5001,F$3,Base!$B$3:$B$5001,$A$5,Base!$W$3:$W$5001,"&lt;&gt;")=0,"",SUMIFS(Base!$W$3:$W$5001,Base!$A$3:$A$5001,F$3,Base!$B$3:$B$5001,$A$5)))</f>
        <v/>
      </c>
      <c r="G13" s="79" t="str">
        <f>IF(G$3="","",IF(COUNTIFS(Base!$A$3:$A$5001,G$3,Base!$B$3:$B$5001,$A$5,Base!$W$3:$W$5001,"&lt;&gt;")=0,"",SUMIFS(Base!$W$3:$W$5001,Base!$A$3:$A$5001,G$3,Base!$B$3:$B$5001,$A$5)))</f>
        <v/>
      </c>
      <c r="H13" s="79" t="str">
        <f>IF(H$3="","",IF(COUNTIFS(Base!$A$3:$A$5001,H$3,Base!$B$3:$B$5001,$A$5,Base!$W$3:$W$5001,"&lt;&gt;")=0,"",SUMIFS(Base!$W$3:$W$5001,Base!$A$3:$A$5001,H$3,Base!$B$3:$B$5001,$A$5)))</f>
        <v/>
      </c>
      <c r="I13" s="79" t="str">
        <f>IF(I$3="","",IF(COUNTIFS(Base!$A$3:$A$5001,I$3,Base!$B$3:$B$5001,$A$5,Base!$W$3:$W$5001,"&lt;&gt;")=0,"",SUMIFS(Base!$W$3:$W$5001,Base!$A$3:$A$5001,I$3,Base!$B$3:$B$5001,$A$5)))</f>
        <v/>
      </c>
      <c r="J13" s="79" t="str">
        <f>IF(J$3="","",IF(COUNTIFS(Base!$A$3:$A$5001,J$3,Base!$B$3:$B$5001,$A$5,Base!$W$3:$W$5001,"&lt;&gt;")=0,"",SUMIFS(Base!$W$3:$W$5001,Base!$A$3:$A$5001,J$3,Base!$B$3:$B$5001,$A$5)))</f>
        <v/>
      </c>
      <c r="K13" s="79" t="str">
        <f>IF(K$3="","",IF(COUNTIFS(Base!$A$3:$A$5001,K$3,Base!$B$3:$B$5001,$A$5,Base!$W$3:$W$5001,"&lt;&gt;")=0,"",SUMIFS(Base!$W$3:$W$5001,Base!$A$3:$A$5001,K$3,Base!$B$3:$B$5001,$A$5)))</f>
        <v/>
      </c>
      <c r="L13" s="79" t="str">
        <f>IF(L$3="","",IF(COUNTIFS(Base!$A$3:$A$5001,L$3,Base!$B$3:$B$5001,$A$5,Base!$W$3:$W$5001,"&lt;&gt;")=0,"",SUMIFS(Base!$W$3:$W$5001,Base!$A$3:$A$5001,L$3,Base!$B$3:$B$5001,$A$5)))</f>
        <v/>
      </c>
      <c r="M13" s="79" t="str">
        <f>IF(M$3="","",IF(COUNTIFS(Base!$A$3:$A$5001,M$3,Base!$B$3:$B$5001,$A$5,Base!$W$3:$W$5001,"&lt;&gt;")=0,"",SUMIFS(Base!$W$3:$W$5001,Base!$A$3:$A$5001,M$3,Base!$B$3:$B$5001,$A$5)))</f>
        <v/>
      </c>
      <c r="N13" s="79" t="str">
        <f>IF(N$3="","",IF(COUNTIFS(Base!$A$3:$A$5001,N$3,Base!$B$3:$B$5001,$A$5,Base!$W$3:$W$5001,"&lt;&gt;")=0,"",SUMIFS(Base!$W$3:$W$5001,Base!$A$3:$A$5001,N$3,Base!$B$3:$B$5001,$A$5)))</f>
        <v/>
      </c>
      <c r="O13" s="79" t="str">
        <f>IF(O$3="","",IF(COUNTIFS(Base!$A$3:$A$5001,O$3,Base!$B$3:$B$5001,$A$5,Base!$W$3:$W$5001,"&lt;&gt;")=0,"",SUMIFS(Base!$W$3:$W$5001,Base!$A$3:$A$5001,O$3,Base!$B$3:$B$5001,$A$5)))</f>
        <v/>
      </c>
      <c r="P13" s="79" t="str">
        <f>IF(P$3="","",IF(COUNTIFS(Base!$A$3:$A$5001,P$3,Base!$B$3:$B$5001,$A$5,Base!$W$3:$W$5001,"&lt;&gt;")=0,"",SUMIFS(Base!$W$3:$W$5001,Base!$A$3:$A$5001,P$3,Base!$B$3:$B$5001,$A$5)))</f>
        <v/>
      </c>
      <c r="Q13" s="79" t="str">
        <f>IF(Q$3="","",IF(COUNTIFS(Base!$A$3:$A$5001,Q$3,Base!$B$3:$B$5001,$A$5,Base!$W$3:$W$5001,"&lt;&gt;")=0,"",SUMIFS(Base!$W$3:$W$5001,Base!$A$3:$A$5001,Q$3,Base!$B$3:$B$5001,$A$5)))</f>
        <v/>
      </c>
      <c r="R13" s="79" t="str">
        <f>IF(R$3="","",IF(COUNTIFS(Base!$A$3:$A$5001,R$3,Base!$B$3:$B$5001,$A$5,Base!$W$3:$W$5001,"&lt;&gt;")=0,"",SUMIFS(Base!$W$3:$W$5001,Base!$A$3:$A$5001,R$3,Base!$B$3:$B$5001,$A$5)))</f>
        <v/>
      </c>
      <c r="S13" s="79" t="str">
        <f>IF(S$3="","",IF(COUNTIFS(Base!$A$3:$A$5001,S$3,Base!$B$3:$B$5001,$A$5,Base!$W$3:$W$5001,"&lt;&gt;")=0,"",SUMIFS(Base!$W$3:$W$5001,Base!$A$3:$A$5001,S$3,Base!$B$3:$B$5001,$A$5)))</f>
        <v/>
      </c>
      <c r="T13" s="79" t="str">
        <f>IF(T$3="","",IF(COUNTIFS(Base!$A$3:$A$5001,T$3,Base!$B$3:$B$5001,$A$5,Base!$W$3:$W$5001,"&lt;&gt;")=0,"",SUMIFS(Base!$W$3:$W$5001,Base!$A$3:$A$5001,T$3,Base!$B$3:$B$5001,$A$5)))</f>
        <v/>
      </c>
      <c r="U13" s="79" t="str">
        <f>IF(U$3="","",IF(COUNTIFS(Base!$A$3:$A$5001,U$3,Base!$B$3:$B$5001,$A$5,Base!$W$3:$W$5001,"&lt;&gt;")=0,"",SUMIFS(Base!$W$3:$W$5001,Base!$A$3:$A$5001,U$3,Base!$B$3:$B$5001,$A$5)))</f>
        <v/>
      </c>
      <c r="V13" s="79" t="str">
        <f>IF(V$3="","",IF(COUNTIFS(Base!$A$3:$A$5001,V$3,Base!$B$3:$B$5001,$A$5,Base!$W$3:$W$5001,"&lt;&gt;")=0,"",SUMIFS(Base!$W$3:$W$5001,Base!$A$3:$A$5001,V$3,Base!$B$3:$B$5001,$A$5)))</f>
        <v/>
      </c>
      <c r="W13" s="79" t="str">
        <f>IF(W$3="","",IF(COUNTIFS(Base!$A$3:$A$5001,W$3,Base!$B$3:$B$5001,$A$5,Base!$W$3:$W$5001,"&lt;&gt;")=0,"",SUMIFS(Base!$W$3:$W$5001,Base!$A$3:$A$5001,W$3,Base!$B$3:$B$5001,$A$5)))</f>
        <v/>
      </c>
      <c r="X13" s="79" t="str">
        <f>IF(X$3="","",IF(COUNTIFS(Base!$A$3:$A$5001,X$3,Base!$B$3:$B$5001,$A$5,Base!$W$3:$W$5001,"&lt;&gt;")=0,"",SUMIFS(Base!$W$3:$W$5001,Base!$A$3:$A$5001,X$3,Base!$B$3:$B$5001,$A$5)))</f>
        <v/>
      </c>
      <c r="Y13" s="79" t="str">
        <f>IF(Y$3="","",IF(COUNTIFS(Base!$A$3:$A$5001,Y$3,Base!$B$3:$B$5001,$A$5,Base!$W$3:$W$5001,"&lt;&gt;")=0,"",SUMIFS(Base!$W$3:$W$5001,Base!$A$3:$A$5001,Y$3,Base!$B$3:$B$5001,$A$5)))</f>
        <v/>
      </c>
      <c r="Z13" s="79" t="str">
        <f>IF(Z$3="","",IF(COUNTIFS(Base!$A$3:$A$5001,Z$3,Base!$B$3:$B$5001,$A$5,Base!$W$3:$W$5001,"&lt;&gt;")=0,"",SUMIFS(Base!$W$3:$W$5001,Base!$A$3:$A$5001,Z$3,Base!$B$3:$B$5001,$A$5)))</f>
        <v/>
      </c>
      <c r="AA13" s="79" t="str">
        <f>IF(AA$3="","",IF(COUNTIFS(Base!$A$3:$A$5001,AA$3,Base!$B$3:$B$5001,$A$5,Base!$W$3:$W$5001,"&lt;&gt;")=0,"",SUMIFS(Base!$W$3:$W$5001,Base!$A$3:$A$5001,AA$3,Base!$B$3:$B$5001,$A$5)))</f>
        <v/>
      </c>
      <c r="AB13" s="79" t="str">
        <f>IF(AB$3="","",IF(COUNTIFS(Base!$A$3:$A$5001,AB$3,Base!$B$3:$B$5001,$A$5,Base!$W$3:$W$5001,"&lt;&gt;")=0,"",SUMIFS(Base!$W$3:$W$5001,Base!$A$3:$A$5001,AB$3,Base!$B$3:$B$5001,$A$5)))</f>
        <v/>
      </c>
      <c r="AC13" s="79" t="str">
        <f>IF(AC$3="","",IF(COUNTIFS(Base!$A$3:$A$5001,AC$3,Base!$B$3:$B$5001,$A$5,Base!$W$3:$W$5001,"&lt;&gt;")=0,"",SUMIFS(Base!$W$3:$W$5001,Base!$A$3:$A$5001,AC$3,Base!$B$3:$B$5001,$A$5)))</f>
        <v/>
      </c>
      <c r="AD13" s="79" t="str">
        <f>IF(AD$3="","",IF(COUNTIFS(Base!$A$3:$A$5001,AD$3,Base!$B$3:$B$5001,$A$5,Base!$W$3:$W$5001,"&lt;&gt;")=0,"",SUMIFS(Base!$W$3:$W$5001,Base!$A$3:$A$5001,AD$3,Base!$B$3:$B$5001,$A$5)))</f>
        <v/>
      </c>
      <c r="AE13" s="79" t="str">
        <f>IF(AE$3="","",IF(COUNTIFS(Base!$A$3:$A$5001,AE$3,Base!$B$3:$B$5001,$A$5,Base!$W$3:$W$5001,"&lt;&gt;")=0,"",SUMIFS(Base!$W$3:$W$5001,Base!$A$3:$A$5001,AE$3,Base!$B$3:$B$5001,$A$5)))</f>
        <v/>
      </c>
      <c r="AF13" s="79" t="str">
        <f>IF(AF$3="","",IF(COUNTIFS(Base!$A$3:$A$5001,AF$3,Base!$B$3:$B$5001,$A$5,Base!$W$3:$W$5001,"&lt;&gt;")=0,"",SUMIFS(Base!$W$3:$W$5001,Base!$A$3:$A$5001,AF$3,Base!$B$3:$B$5001,$A$5)))</f>
        <v/>
      </c>
      <c r="AG13" s="79" t="str">
        <f>IF(AG$3="","",IF(COUNTIFS(Base!$A$3:$A$5001,AG$3,Base!$B$3:$B$5001,$A$5,Base!$W$3:$W$5001,"&lt;&gt;")=0,"",SUMIFS(Base!$W$3:$W$5001,Base!$A$3:$A$5001,AG$3,Base!$B$3:$B$5001,$A$5)))</f>
        <v/>
      </c>
      <c r="AH13" s="79" t="str">
        <f>IF(AH$3="","",IF(COUNTIFS(Base!$A$3:$A$5001,AH$3,Base!$B$3:$B$5001,$A$5,Base!$W$3:$W$5001,"&lt;&gt;")=0,"",SUMIFS(Base!$W$3:$W$5001,Base!$A$3:$A$5001,AH$3,Base!$B$3:$B$5001,$A$5)))</f>
        <v/>
      </c>
      <c r="AI13" s="79" t="str">
        <f>IF(AI$3="","",IF(COUNTIFS(Base!$A$3:$A$5001,AI$3,Base!$B$3:$B$5001,$A$5,Base!$W$3:$W$5001,"&lt;&gt;")=0,"",SUMIFS(Base!$W$3:$W$5001,Base!$A$3:$A$5001,AI$3,Base!$B$3:$B$5001,$A$5)))</f>
        <v/>
      </c>
      <c r="AJ13" s="80" t="str">
        <f>IF(AJ$3="","",IF(COUNTIFS(Base!$A$3:$A$5001,AJ$3,Base!$B$3:$B$5001,$A$5,Base!$W$3:$W$5001,"&lt;&gt;")=0,"",SUMIFS(Base!$W$3:$W$5001,Base!$A$3:$A$5001,AJ$3,Base!$B$3:$B$5001,$A$5)))</f>
        <v/>
      </c>
      <c r="AK13" s="76" t="str">
        <f>IFERROR(LOOKUP(9.99E+307,F13:AJ13),"")</f>
        <v/>
      </c>
    </row>
    <row r="14" ht="15.75" customHeight="1">
      <c r="A14" s="118"/>
      <c r="B14" s="105" t="inlineStr">
        <is>
          <t xml:space="preserve">OCUPAÇÃO (P.P)</t>
        </is>
      </c>
      <c r="C14" s="21" t="inlineStr">
        <is>
          <t xml:space="preserve">Posições Disponíveis</t>
        </is>
      </c>
      <c r="D14" s="22" t="str">
        <f>IFERROR(1/(1/INDEX(calculos!$C$55:$K$83,MATCH("Posições Disponíveis",calculos!$A$55:$A$83,0),MATCH($A$5,calculos!$C$54:$K$54,0))),"")</f>
        <v/>
      </c>
      <c r="E14" s="23"/>
      <c r="F14" s="24" t="str">
        <f>IF(F$3="","",IF(COUNTIFS(Base!$A$3:$A$5001,F$3,Base!$B$3:$B$5001,$A$5,Base!$X$3:$X$5001,"&lt;&gt;")=0,"",SUMIFS(Base!$X$3:$X$5001,Base!$A$3:$A$5001,F$3,Base!$B$3:$B$5001,$A$5)))</f>
        <v/>
      </c>
      <c r="G14" s="25" t="str">
        <f>IF(G$3="","",IF(COUNTIFS(Base!$A$3:$A$5001,G$3,Base!$B$3:$B$5001,$A$5,Base!$X$3:$X$5001,"&lt;&gt;")=0,"",SUMIFS(Base!$X$3:$X$5001,Base!$A$3:$A$5001,G$3,Base!$B$3:$B$5001,$A$5)))</f>
        <v/>
      </c>
      <c r="H14" s="25" t="str">
        <f>IF(H$3="","",IF(COUNTIFS(Base!$A$3:$A$5001,H$3,Base!$B$3:$B$5001,$A$5,Base!$X$3:$X$5001,"&lt;&gt;")=0,"",SUMIFS(Base!$X$3:$X$5001,Base!$A$3:$A$5001,H$3,Base!$B$3:$B$5001,$A$5)))</f>
        <v/>
      </c>
      <c r="I14" s="25" t="str">
        <f>IF(I$3="","",IF(COUNTIFS(Base!$A$3:$A$5001,I$3,Base!$B$3:$B$5001,$A$5,Base!$X$3:$X$5001,"&lt;&gt;")=0,"",SUMIFS(Base!$X$3:$X$5001,Base!$A$3:$A$5001,I$3,Base!$B$3:$B$5001,$A$5)))</f>
        <v/>
      </c>
      <c r="J14" s="25" t="str">
        <f>IF(J$3="","",IF(COUNTIFS(Base!$A$3:$A$5001,J$3,Base!$B$3:$B$5001,$A$5,Base!$X$3:$X$5001,"&lt;&gt;")=0,"",SUMIFS(Base!$X$3:$X$5001,Base!$A$3:$A$5001,J$3,Base!$B$3:$B$5001,$A$5)))</f>
        <v/>
      </c>
      <c r="K14" s="25" t="str">
        <f>IF(K$3="","",IF(COUNTIFS(Base!$A$3:$A$5001,K$3,Base!$B$3:$B$5001,$A$5,Base!$X$3:$X$5001,"&lt;&gt;")=0,"",SUMIFS(Base!$X$3:$X$5001,Base!$A$3:$A$5001,K$3,Base!$B$3:$B$5001,$A$5)))</f>
        <v/>
      </c>
      <c r="L14" s="25" t="str">
        <f>IF(L$3="","",IF(COUNTIFS(Base!$A$3:$A$5001,L$3,Base!$B$3:$B$5001,$A$5,Base!$X$3:$X$5001,"&lt;&gt;")=0,"",SUMIFS(Base!$X$3:$X$5001,Base!$A$3:$A$5001,L$3,Base!$B$3:$B$5001,$A$5)))</f>
        <v/>
      </c>
      <c r="M14" s="25" t="str">
        <f>IF(M$3="","",IF(COUNTIFS(Base!$A$3:$A$5001,M$3,Base!$B$3:$B$5001,$A$5,Base!$X$3:$X$5001,"&lt;&gt;")=0,"",SUMIFS(Base!$X$3:$X$5001,Base!$A$3:$A$5001,M$3,Base!$B$3:$B$5001,$A$5)))</f>
        <v/>
      </c>
      <c r="N14" s="25" t="str">
        <f>IF(N$3="","",IF(COUNTIFS(Base!$A$3:$A$5001,N$3,Base!$B$3:$B$5001,$A$5,Base!$X$3:$X$5001,"&lt;&gt;")=0,"",SUMIFS(Base!$X$3:$X$5001,Base!$A$3:$A$5001,N$3,Base!$B$3:$B$5001,$A$5)))</f>
        <v/>
      </c>
      <c r="O14" s="25" t="str">
        <f>IF(O$3="","",IF(COUNTIFS(Base!$A$3:$A$5001,O$3,Base!$B$3:$B$5001,$A$5,Base!$X$3:$X$5001,"&lt;&gt;")=0,"",SUMIFS(Base!$X$3:$X$5001,Base!$A$3:$A$5001,O$3,Base!$B$3:$B$5001,$A$5)))</f>
        <v/>
      </c>
      <c r="P14" s="25" t="str">
        <f>IF(P$3="","",IF(COUNTIFS(Base!$A$3:$A$5001,P$3,Base!$B$3:$B$5001,$A$5,Base!$X$3:$X$5001,"&lt;&gt;")=0,"",SUMIFS(Base!$X$3:$X$5001,Base!$A$3:$A$5001,P$3,Base!$B$3:$B$5001,$A$5)))</f>
        <v/>
      </c>
      <c r="Q14" s="25" t="str">
        <f>IF(Q$3="","",IF(COUNTIFS(Base!$A$3:$A$5001,Q$3,Base!$B$3:$B$5001,$A$5,Base!$X$3:$X$5001,"&lt;&gt;")=0,"",SUMIFS(Base!$X$3:$X$5001,Base!$A$3:$A$5001,Q$3,Base!$B$3:$B$5001,$A$5)))</f>
        <v/>
      </c>
      <c r="R14" s="25" t="str">
        <f>IF(R$3="","",IF(COUNTIFS(Base!$A$3:$A$5001,R$3,Base!$B$3:$B$5001,$A$5,Base!$X$3:$X$5001,"&lt;&gt;")=0,"",SUMIFS(Base!$X$3:$X$5001,Base!$A$3:$A$5001,R$3,Base!$B$3:$B$5001,$A$5)))</f>
        <v/>
      </c>
      <c r="S14" s="25" t="str">
        <f>IF(S$3="","",IF(COUNTIFS(Base!$A$3:$A$5001,S$3,Base!$B$3:$B$5001,$A$5,Base!$X$3:$X$5001,"&lt;&gt;")=0,"",SUMIFS(Base!$X$3:$X$5001,Base!$A$3:$A$5001,S$3,Base!$B$3:$B$5001,$A$5)))</f>
        <v/>
      </c>
      <c r="T14" s="25" t="str">
        <f>IF(T$3="","",IF(COUNTIFS(Base!$A$3:$A$5001,T$3,Base!$B$3:$B$5001,$A$5,Base!$X$3:$X$5001,"&lt;&gt;")=0,"",SUMIFS(Base!$X$3:$X$5001,Base!$A$3:$A$5001,T$3,Base!$B$3:$B$5001,$A$5)))</f>
        <v/>
      </c>
      <c r="U14" s="25" t="str">
        <f>IF(U$3="","",IF(COUNTIFS(Base!$A$3:$A$5001,U$3,Base!$B$3:$B$5001,$A$5,Base!$X$3:$X$5001,"&lt;&gt;")=0,"",SUMIFS(Base!$X$3:$X$5001,Base!$A$3:$A$5001,U$3,Base!$B$3:$B$5001,$A$5)))</f>
        <v/>
      </c>
      <c r="V14" s="25" t="str">
        <f>IF(V$3="","",IF(COUNTIFS(Base!$A$3:$A$5001,V$3,Base!$B$3:$B$5001,$A$5,Base!$X$3:$X$5001,"&lt;&gt;")=0,"",SUMIFS(Base!$X$3:$X$5001,Base!$A$3:$A$5001,V$3,Base!$B$3:$B$5001,$A$5)))</f>
        <v/>
      </c>
      <c r="W14" s="25" t="str">
        <f>IF(W$3="","",IF(COUNTIFS(Base!$A$3:$A$5001,W$3,Base!$B$3:$B$5001,$A$5,Base!$X$3:$X$5001,"&lt;&gt;")=0,"",SUMIFS(Base!$X$3:$X$5001,Base!$A$3:$A$5001,W$3,Base!$B$3:$B$5001,$A$5)))</f>
        <v/>
      </c>
      <c r="X14" s="25" t="str">
        <f>IF(X$3="","",IF(COUNTIFS(Base!$A$3:$A$5001,X$3,Base!$B$3:$B$5001,$A$5,Base!$X$3:$X$5001,"&lt;&gt;")=0,"",SUMIFS(Base!$X$3:$X$5001,Base!$A$3:$A$5001,X$3,Base!$B$3:$B$5001,$A$5)))</f>
        <v/>
      </c>
      <c r="Y14" s="25" t="str">
        <f>IF(Y$3="","",IF(COUNTIFS(Base!$A$3:$A$5001,Y$3,Base!$B$3:$B$5001,$A$5,Base!$X$3:$X$5001,"&lt;&gt;")=0,"",SUMIFS(Base!$X$3:$X$5001,Base!$A$3:$A$5001,Y$3,Base!$B$3:$B$5001,$A$5)))</f>
        <v/>
      </c>
      <c r="Z14" s="25" t="str">
        <f>IF(Z$3="","",IF(COUNTIFS(Base!$A$3:$A$5001,Z$3,Base!$B$3:$B$5001,$A$5,Base!$X$3:$X$5001,"&lt;&gt;")=0,"",SUMIFS(Base!$X$3:$X$5001,Base!$A$3:$A$5001,Z$3,Base!$B$3:$B$5001,$A$5)))</f>
        <v/>
      </c>
      <c r="AA14" s="25" t="str">
        <f>IF(AA$3="","",IF(COUNTIFS(Base!$A$3:$A$5001,AA$3,Base!$B$3:$B$5001,$A$5,Base!$X$3:$X$5001,"&lt;&gt;")=0,"",SUMIFS(Base!$X$3:$X$5001,Base!$A$3:$A$5001,AA$3,Base!$B$3:$B$5001,$A$5)))</f>
        <v/>
      </c>
      <c r="AB14" s="25" t="str">
        <f>IF(AB$3="","",IF(COUNTIFS(Base!$A$3:$A$5001,AB$3,Base!$B$3:$B$5001,$A$5,Base!$X$3:$X$5001,"&lt;&gt;")=0,"",SUMIFS(Base!$X$3:$X$5001,Base!$A$3:$A$5001,AB$3,Base!$B$3:$B$5001,$A$5)))</f>
        <v/>
      </c>
      <c r="AC14" s="25" t="str">
        <f>IF(AC$3="","",IF(COUNTIFS(Base!$A$3:$A$5001,AC$3,Base!$B$3:$B$5001,$A$5,Base!$X$3:$X$5001,"&lt;&gt;")=0,"",SUMIFS(Base!$X$3:$X$5001,Base!$A$3:$A$5001,AC$3,Base!$B$3:$B$5001,$A$5)))</f>
        <v/>
      </c>
      <c r="AD14" s="25" t="str">
        <f>IF(AD$3="","",IF(COUNTIFS(Base!$A$3:$A$5001,AD$3,Base!$B$3:$B$5001,$A$5,Base!$X$3:$X$5001,"&lt;&gt;")=0,"",SUMIFS(Base!$X$3:$X$5001,Base!$A$3:$A$5001,AD$3,Base!$B$3:$B$5001,$A$5)))</f>
        <v/>
      </c>
      <c r="AE14" s="25" t="str">
        <f>IF(AE$3="","",IF(COUNTIFS(Base!$A$3:$A$5001,AE$3,Base!$B$3:$B$5001,$A$5,Base!$X$3:$X$5001,"&lt;&gt;")=0,"",SUMIFS(Base!$X$3:$X$5001,Base!$A$3:$A$5001,AE$3,Base!$B$3:$B$5001,$A$5)))</f>
        <v/>
      </c>
      <c r="AF14" s="25" t="str">
        <f>IF(AF$3="","",IF(COUNTIFS(Base!$A$3:$A$5001,AF$3,Base!$B$3:$B$5001,$A$5,Base!$X$3:$X$5001,"&lt;&gt;")=0,"",SUMIFS(Base!$X$3:$X$5001,Base!$A$3:$A$5001,AF$3,Base!$B$3:$B$5001,$A$5)))</f>
        <v/>
      </c>
      <c r="AG14" s="25" t="str">
        <f>IF(AG$3="","",IF(COUNTIFS(Base!$A$3:$A$5001,AG$3,Base!$B$3:$B$5001,$A$5,Base!$X$3:$X$5001,"&lt;&gt;")=0,"",SUMIFS(Base!$X$3:$X$5001,Base!$A$3:$A$5001,AG$3,Base!$B$3:$B$5001,$A$5)))</f>
        <v/>
      </c>
      <c r="AH14" s="25" t="str">
        <f>IF(AH$3="","",IF(COUNTIFS(Base!$A$3:$A$5001,AH$3,Base!$B$3:$B$5001,$A$5,Base!$X$3:$X$5001,"&lt;&gt;")=0,"",SUMIFS(Base!$X$3:$X$5001,Base!$A$3:$A$5001,AH$3,Base!$B$3:$B$5001,$A$5)))</f>
        <v/>
      </c>
      <c r="AI14" s="25" t="str">
        <f>IF(AI$3="","",IF(COUNTIFS(Base!$A$3:$A$5001,AI$3,Base!$B$3:$B$5001,$A$5,Base!$X$3:$X$5001,"&lt;&gt;")=0,"",SUMIFS(Base!$X$3:$X$5001,Base!$A$3:$A$5001,AI$3,Base!$B$3:$B$5001,$A$5)))</f>
        <v/>
      </c>
      <c r="AJ14" s="26" t="str">
        <f>IF(AJ$3="","",IF(COUNTIFS(Base!$A$3:$A$5001,AJ$3,Base!$B$3:$B$5001,$A$5,Base!$X$3:$X$5001,"&lt;&gt;")=0,"",SUMIFS(Base!$X$3:$X$5001,Base!$A$3:$A$5001,AJ$3,Base!$B$3:$B$5001,$A$5)))</f>
        <v/>
      </c>
      <c r="AK14" s="27" t="str">
        <f>IFERROR(LOOKUP(9.99E+307,F14:AJ14),"")</f>
        <v/>
      </c>
    </row>
    <row r="15" ht="15.75" customHeight="1">
      <c r="A15" s="118"/>
      <c r="B15" s="106"/>
      <c r="C15" s="28" t="inlineStr">
        <is>
          <t xml:space="preserve">Posições Ocupadas</t>
        </is>
      </c>
      <c r="D15" s="29" t="str">
        <f>IFERROR(1/(1/INDEX(calculos!$C$55:$K$83,MATCH("Posições Ocupadas",calculos!$A$55:$A$83,0),MATCH($A$5,calculos!$C$54:$K$54,0))),"")</f>
        <v/>
      </c>
      <c r="E15" s="30"/>
      <c r="F15" s="31" t="str">
        <f>IF(F$3="","",IF(COUNTIFS(Base!$A$3:$A$5001,F$3,Base!$B$3:$B$5001,$A$5,Base!$Y$3:$Y$5001,"&lt;&gt;")=0,"",SUMIFS(Base!$Y$3:$Y$5001,Base!$A$3:$A$5001,F$3,Base!$B$3:$B$5001,$A$5)))</f>
        <v/>
      </c>
      <c r="G15" s="32" t="str">
        <f>IF(G$3="","",IF(COUNTIFS(Base!$A$3:$A$5001,G$3,Base!$B$3:$B$5001,$A$5,Base!$Y$3:$Y$5001,"&lt;&gt;")=0,"",SUMIFS(Base!$Y$3:$Y$5001,Base!$A$3:$A$5001,G$3,Base!$B$3:$B$5001,$A$5)))</f>
        <v/>
      </c>
      <c r="H15" s="32" t="str">
        <f>IF(H$3="","",IF(COUNTIFS(Base!$A$3:$A$5001,H$3,Base!$B$3:$B$5001,$A$5,Base!$Y$3:$Y$5001,"&lt;&gt;")=0,"",SUMIFS(Base!$Y$3:$Y$5001,Base!$A$3:$A$5001,H$3,Base!$B$3:$B$5001,$A$5)))</f>
        <v/>
      </c>
      <c r="I15" s="32" t="str">
        <f>IF(I$3="","",IF(COUNTIFS(Base!$A$3:$A$5001,I$3,Base!$B$3:$B$5001,$A$5,Base!$Y$3:$Y$5001,"&lt;&gt;")=0,"",SUMIFS(Base!$Y$3:$Y$5001,Base!$A$3:$A$5001,I$3,Base!$B$3:$B$5001,$A$5)))</f>
        <v/>
      </c>
      <c r="J15" s="32" t="str">
        <f>IF(J$3="","",IF(COUNTIFS(Base!$A$3:$A$5001,J$3,Base!$B$3:$B$5001,$A$5,Base!$Y$3:$Y$5001,"&lt;&gt;")=0,"",SUMIFS(Base!$Y$3:$Y$5001,Base!$A$3:$A$5001,J$3,Base!$B$3:$B$5001,$A$5)))</f>
        <v/>
      </c>
      <c r="K15" s="32" t="str">
        <f>IF(K$3="","",IF(COUNTIFS(Base!$A$3:$A$5001,K$3,Base!$B$3:$B$5001,$A$5,Base!$Y$3:$Y$5001,"&lt;&gt;")=0,"",SUMIFS(Base!$Y$3:$Y$5001,Base!$A$3:$A$5001,K$3,Base!$B$3:$B$5001,$A$5)))</f>
        <v/>
      </c>
      <c r="L15" s="32" t="str">
        <f>IF(L$3="","",IF(COUNTIFS(Base!$A$3:$A$5001,L$3,Base!$B$3:$B$5001,$A$5,Base!$Y$3:$Y$5001,"&lt;&gt;")=0,"",SUMIFS(Base!$Y$3:$Y$5001,Base!$A$3:$A$5001,L$3,Base!$B$3:$B$5001,$A$5)))</f>
        <v/>
      </c>
      <c r="M15" s="32" t="str">
        <f>IF(M$3="","",IF(COUNTIFS(Base!$A$3:$A$5001,M$3,Base!$B$3:$B$5001,$A$5,Base!$Y$3:$Y$5001,"&lt;&gt;")=0,"",SUMIFS(Base!$Y$3:$Y$5001,Base!$A$3:$A$5001,M$3,Base!$B$3:$B$5001,$A$5)))</f>
        <v/>
      </c>
      <c r="N15" s="32" t="str">
        <f>IF(N$3="","",IF(COUNTIFS(Base!$A$3:$A$5001,N$3,Base!$B$3:$B$5001,$A$5,Base!$Y$3:$Y$5001,"&lt;&gt;")=0,"",SUMIFS(Base!$Y$3:$Y$5001,Base!$A$3:$A$5001,N$3,Base!$B$3:$B$5001,$A$5)))</f>
        <v/>
      </c>
      <c r="O15" s="32" t="str">
        <f>IF(O$3="","",IF(COUNTIFS(Base!$A$3:$A$5001,O$3,Base!$B$3:$B$5001,$A$5,Base!$Y$3:$Y$5001,"&lt;&gt;")=0,"",SUMIFS(Base!$Y$3:$Y$5001,Base!$A$3:$A$5001,O$3,Base!$B$3:$B$5001,$A$5)))</f>
        <v/>
      </c>
      <c r="P15" s="32" t="str">
        <f>IF(P$3="","",IF(COUNTIFS(Base!$A$3:$A$5001,P$3,Base!$B$3:$B$5001,$A$5,Base!$Y$3:$Y$5001,"&lt;&gt;")=0,"",SUMIFS(Base!$Y$3:$Y$5001,Base!$A$3:$A$5001,P$3,Base!$B$3:$B$5001,$A$5)))</f>
        <v/>
      </c>
      <c r="Q15" s="32" t="str">
        <f>IF(Q$3="","",IF(COUNTIFS(Base!$A$3:$A$5001,Q$3,Base!$B$3:$B$5001,$A$5,Base!$Y$3:$Y$5001,"&lt;&gt;")=0,"",SUMIFS(Base!$Y$3:$Y$5001,Base!$A$3:$A$5001,Q$3,Base!$B$3:$B$5001,$A$5)))</f>
        <v/>
      </c>
      <c r="R15" s="32" t="str">
        <f>IF(R$3="","",IF(COUNTIFS(Base!$A$3:$A$5001,R$3,Base!$B$3:$B$5001,$A$5,Base!$Y$3:$Y$5001,"&lt;&gt;")=0,"",SUMIFS(Base!$Y$3:$Y$5001,Base!$A$3:$A$5001,R$3,Base!$B$3:$B$5001,$A$5)))</f>
        <v/>
      </c>
      <c r="S15" s="32" t="str">
        <f>IF(S$3="","",IF(COUNTIFS(Base!$A$3:$A$5001,S$3,Base!$B$3:$B$5001,$A$5,Base!$Y$3:$Y$5001,"&lt;&gt;")=0,"",SUMIFS(Base!$Y$3:$Y$5001,Base!$A$3:$A$5001,S$3,Base!$B$3:$B$5001,$A$5)))</f>
        <v/>
      </c>
      <c r="T15" s="32" t="str">
        <f>IF(T$3="","",IF(COUNTIFS(Base!$A$3:$A$5001,T$3,Base!$B$3:$B$5001,$A$5,Base!$Y$3:$Y$5001,"&lt;&gt;")=0,"",SUMIFS(Base!$Y$3:$Y$5001,Base!$A$3:$A$5001,T$3,Base!$B$3:$B$5001,$A$5)))</f>
        <v/>
      </c>
      <c r="U15" s="32" t="str">
        <f>IF(U$3="","",IF(COUNTIFS(Base!$A$3:$A$5001,U$3,Base!$B$3:$B$5001,$A$5,Base!$Y$3:$Y$5001,"&lt;&gt;")=0,"",SUMIFS(Base!$Y$3:$Y$5001,Base!$A$3:$A$5001,U$3,Base!$B$3:$B$5001,$A$5)))</f>
        <v/>
      </c>
      <c r="V15" s="32" t="str">
        <f>IF(V$3="","",IF(COUNTIFS(Base!$A$3:$A$5001,V$3,Base!$B$3:$B$5001,$A$5,Base!$Y$3:$Y$5001,"&lt;&gt;")=0,"",SUMIFS(Base!$Y$3:$Y$5001,Base!$A$3:$A$5001,V$3,Base!$B$3:$B$5001,$A$5)))</f>
        <v/>
      </c>
      <c r="W15" s="32" t="str">
        <f>IF(W$3="","",IF(COUNTIFS(Base!$A$3:$A$5001,W$3,Base!$B$3:$B$5001,$A$5,Base!$Y$3:$Y$5001,"&lt;&gt;")=0,"",SUMIFS(Base!$Y$3:$Y$5001,Base!$A$3:$A$5001,W$3,Base!$B$3:$B$5001,$A$5)))</f>
        <v/>
      </c>
      <c r="X15" s="32" t="str">
        <f>IF(X$3="","",IF(COUNTIFS(Base!$A$3:$A$5001,X$3,Base!$B$3:$B$5001,$A$5,Base!$Y$3:$Y$5001,"&lt;&gt;")=0,"",SUMIFS(Base!$Y$3:$Y$5001,Base!$A$3:$A$5001,X$3,Base!$B$3:$B$5001,$A$5)))</f>
        <v/>
      </c>
      <c r="Y15" s="32" t="str">
        <f>IF(Y$3="","",IF(COUNTIFS(Base!$A$3:$A$5001,Y$3,Base!$B$3:$B$5001,$A$5,Base!$Y$3:$Y$5001,"&lt;&gt;")=0,"",SUMIFS(Base!$Y$3:$Y$5001,Base!$A$3:$A$5001,Y$3,Base!$B$3:$B$5001,$A$5)))</f>
        <v/>
      </c>
      <c r="Z15" s="32" t="str">
        <f>IF(Z$3="","",IF(COUNTIFS(Base!$A$3:$A$5001,Z$3,Base!$B$3:$B$5001,$A$5,Base!$Y$3:$Y$5001,"&lt;&gt;")=0,"",SUMIFS(Base!$Y$3:$Y$5001,Base!$A$3:$A$5001,Z$3,Base!$B$3:$B$5001,$A$5)))</f>
        <v/>
      </c>
      <c r="AA15" s="32" t="str">
        <f>IF(AA$3="","",IF(COUNTIFS(Base!$A$3:$A$5001,AA$3,Base!$B$3:$B$5001,$A$5,Base!$Y$3:$Y$5001,"&lt;&gt;")=0,"",SUMIFS(Base!$Y$3:$Y$5001,Base!$A$3:$A$5001,AA$3,Base!$B$3:$B$5001,$A$5)))</f>
        <v/>
      </c>
      <c r="AB15" s="32" t="str">
        <f>IF(AB$3="","",IF(COUNTIFS(Base!$A$3:$A$5001,AB$3,Base!$B$3:$B$5001,$A$5,Base!$Y$3:$Y$5001,"&lt;&gt;")=0,"",SUMIFS(Base!$Y$3:$Y$5001,Base!$A$3:$A$5001,AB$3,Base!$B$3:$B$5001,$A$5)))</f>
        <v/>
      </c>
      <c r="AC15" s="32" t="str">
        <f>IF(AC$3="","",IF(COUNTIFS(Base!$A$3:$A$5001,AC$3,Base!$B$3:$B$5001,$A$5,Base!$Y$3:$Y$5001,"&lt;&gt;")=0,"",SUMIFS(Base!$Y$3:$Y$5001,Base!$A$3:$A$5001,AC$3,Base!$B$3:$B$5001,$A$5)))</f>
        <v/>
      </c>
      <c r="AD15" s="32" t="str">
        <f>IF(AD$3="","",IF(COUNTIFS(Base!$A$3:$A$5001,AD$3,Base!$B$3:$B$5001,$A$5,Base!$Y$3:$Y$5001,"&lt;&gt;")=0,"",SUMIFS(Base!$Y$3:$Y$5001,Base!$A$3:$A$5001,AD$3,Base!$B$3:$B$5001,$A$5)))</f>
        <v/>
      </c>
      <c r="AE15" s="32" t="str">
        <f>IF(AE$3="","",IF(COUNTIFS(Base!$A$3:$A$5001,AE$3,Base!$B$3:$B$5001,$A$5,Base!$Y$3:$Y$5001,"&lt;&gt;")=0,"",SUMIFS(Base!$Y$3:$Y$5001,Base!$A$3:$A$5001,AE$3,Base!$B$3:$B$5001,$A$5)))</f>
        <v/>
      </c>
      <c r="AF15" s="32" t="str">
        <f>IF(AF$3="","",IF(COUNTIFS(Base!$A$3:$A$5001,AF$3,Base!$B$3:$B$5001,$A$5,Base!$Y$3:$Y$5001,"&lt;&gt;")=0,"",SUMIFS(Base!$Y$3:$Y$5001,Base!$A$3:$A$5001,AF$3,Base!$B$3:$B$5001,$A$5)))</f>
        <v/>
      </c>
      <c r="AG15" s="32" t="str">
        <f>IF(AG$3="","",IF(COUNTIFS(Base!$A$3:$A$5001,AG$3,Base!$B$3:$B$5001,$A$5,Base!$Y$3:$Y$5001,"&lt;&gt;")=0,"",SUMIFS(Base!$Y$3:$Y$5001,Base!$A$3:$A$5001,AG$3,Base!$B$3:$B$5001,$A$5)))</f>
        <v/>
      </c>
      <c r="AH15" s="32" t="str">
        <f>IF(AH$3="","",IF(COUNTIFS(Base!$A$3:$A$5001,AH$3,Base!$B$3:$B$5001,$A$5,Base!$Y$3:$Y$5001,"&lt;&gt;")=0,"",SUMIFS(Base!$Y$3:$Y$5001,Base!$A$3:$A$5001,AH$3,Base!$B$3:$B$5001,$A$5)))</f>
        <v/>
      </c>
      <c r="AI15" s="32" t="str">
        <f>IF(AI$3="","",IF(COUNTIFS(Base!$A$3:$A$5001,AI$3,Base!$B$3:$B$5001,$A$5,Base!$Y$3:$Y$5001,"&lt;&gt;")=0,"",SUMIFS(Base!$Y$3:$Y$5001,Base!$A$3:$A$5001,AI$3,Base!$B$3:$B$5001,$A$5)))</f>
        <v/>
      </c>
      <c r="AJ15" s="33" t="str">
        <f>IF(AJ$3="","",IF(COUNTIFS(Base!$A$3:$A$5001,AJ$3,Base!$B$3:$B$5001,$A$5,Base!$Y$3:$Y$5001,"&lt;&gt;")=0,"",SUMIFS(Base!$Y$3:$Y$5001,Base!$A$3:$A$5001,AJ$3,Base!$B$3:$B$5001,$A$5)))</f>
        <v/>
      </c>
      <c r="AK15" s="34" t="str">
        <f>IFERROR(LOOKUP(9.99E+307,F15:AJ15),"")</f>
        <v/>
      </c>
    </row>
    <row r="16" ht="15.75" customHeight="1">
      <c r="A16" s="118"/>
      <c r="B16" s="107"/>
      <c r="C16" s="35" t="inlineStr">
        <is>
          <t xml:space="preserve">Taxa de Ocupação</t>
        </is>
      </c>
      <c r="D16" s="81" t="str">
        <f>IFERROR(1/(1/INDEX(calculos!$C$55:$K$83,MATCH("Taxa de Ocupação",calculos!$A$55:$A$83,0),MATCH($A$5,calculos!$C$54:$K$54,0))),"")</f>
        <v/>
      </c>
      <c r="E16" s="37"/>
      <c r="F16" s="82" t="str">
        <f>IF(AND(ISNUMBER(F14),ISNUMBER(F15)),IF(F14&gt;0,F15/F14,""),"")</f>
        <v/>
      </c>
      <c r="G16" s="83" t="str">
        <f>IF(AND(ISNUMBER(G14),ISNUMBER(G15)),IF(G14&gt;0,G15/G14,""),"")</f>
        <v/>
      </c>
      <c r="H16" s="83" t="str">
        <f>IF(AND(ISNUMBER(H14),ISNUMBER(H15)),IF(H14&gt;0,H15/H14,""),"")</f>
        <v/>
      </c>
      <c r="I16" s="83" t="str">
        <f>IF(AND(ISNUMBER(I14),ISNUMBER(I15)),IF(I14&gt;0,I15/I14,""),"")</f>
        <v/>
      </c>
      <c r="J16" s="83" t="str">
        <f>IF(AND(ISNUMBER(J14),ISNUMBER(J15)),IF(J14&gt;0,J15/J14,""),"")</f>
        <v/>
      </c>
      <c r="K16" s="83" t="str">
        <f>IF(AND(ISNUMBER(K14),ISNUMBER(K15)),IF(K14&gt;0,K15/K14,""),"")</f>
        <v/>
      </c>
      <c r="L16" s="83" t="str">
        <f>IF(AND(ISNUMBER(L14),ISNUMBER(L15)),IF(L14&gt;0,L15/L14,""),"")</f>
        <v/>
      </c>
      <c r="M16" s="83" t="str">
        <f>IF(AND(ISNUMBER(M14),ISNUMBER(M15)),IF(M14&gt;0,M15/M14,""),"")</f>
        <v/>
      </c>
      <c r="N16" s="83" t="str">
        <f>IF(AND(ISNUMBER(N14),ISNUMBER(N15)),IF(N14&gt;0,N15/N14,""),"")</f>
        <v/>
      </c>
      <c r="O16" s="83" t="str">
        <f>IF(AND(ISNUMBER(O14),ISNUMBER(O15)),IF(O14&gt;0,O15/O14,""),"")</f>
        <v/>
      </c>
      <c r="P16" s="83" t="str">
        <f>IF(AND(ISNUMBER(P14),ISNUMBER(P15)),IF(P14&gt;0,P15/P14,""),"")</f>
        <v/>
      </c>
      <c r="Q16" s="83" t="str">
        <f>IF(AND(ISNUMBER(Q14),ISNUMBER(Q15)),IF(Q14&gt;0,Q15/Q14,""),"")</f>
        <v/>
      </c>
      <c r="R16" s="83" t="str">
        <f>IF(AND(ISNUMBER(R14),ISNUMBER(R15)),IF(R14&gt;0,R15/R14,""),"")</f>
        <v/>
      </c>
      <c r="S16" s="83" t="str">
        <f>IF(AND(ISNUMBER(S14),ISNUMBER(S15)),IF(S14&gt;0,S15/S14,""),"")</f>
        <v/>
      </c>
      <c r="T16" s="83" t="str">
        <f>IF(AND(ISNUMBER(T14),ISNUMBER(T15)),IF(T14&gt;0,T15/T14,""),"")</f>
        <v/>
      </c>
      <c r="U16" s="83" t="str">
        <f>IF(AND(ISNUMBER(U14),ISNUMBER(U15)),IF(U14&gt;0,U15/U14,""),"")</f>
        <v/>
      </c>
      <c r="V16" s="83" t="str">
        <f>IF(AND(ISNUMBER(V14),ISNUMBER(V15)),IF(V14&gt;0,V15/V14,""),"")</f>
        <v/>
      </c>
      <c r="W16" s="83" t="str">
        <f>IF(AND(ISNUMBER(W14),ISNUMBER(W15)),IF(W14&gt;0,W15/W14,""),"")</f>
        <v/>
      </c>
      <c r="X16" s="83" t="str">
        <f>IF(AND(ISNUMBER(X14),ISNUMBER(X15)),IF(X14&gt;0,X15/X14,""),"")</f>
        <v/>
      </c>
      <c r="Y16" s="83" t="str">
        <f>IF(AND(ISNUMBER(Y14),ISNUMBER(Y15)),IF(Y14&gt;0,Y15/Y14,""),"")</f>
        <v/>
      </c>
      <c r="Z16" s="83" t="str">
        <f>IF(AND(ISNUMBER(Z14),ISNUMBER(Z15)),IF(Z14&gt;0,Z15/Z14,""),"")</f>
        <v/>
      </c>
      <c r="AA16" s="83" t="str">
        <f>IF(AND(ISNUMBER(AA14),ISNUMBER(AA15)),IF(AA14&gt;0,AA15/AA14,""),"")</f>
        <v/>
      </c>
      <c r="AB16" s="83" t="str">
        <f>IF(AND(ISNUMBER(AB14),ISNUMBER(AB15)),IF(AB14&gt;0,AB15/AB14,""),"")</f>
        <v/>
      </c>
      <c r="AC16" s="83" t="str">
        <f>IF(AND(ISNUMBER(AC14),ISNUMBER(AC15)),IF(AC14&gt;0,AC15/AC14,""),"")</f>
        <v/>
      </c>
      <c r="AD16" s="83" t="str">
        <f>IF(AND(ISNUMBER(AD14),ISNUMBER(AD15)),IF(AD14&gt;0,AD15/AD14,""),"")</f>
        <v/>
      </c>
      <c r="AE16" s="83" t="str">
        <f>IF(AND(ISNUMBER(AE14),ISNUMBER(AE15)),IF(AE14&gt;0,AE15/AE14,""),"")</f>
        <v/>
      </c>
      <c r="AF16" s="83" t="str">
        <f>IF(AND(ISNUMBER(AF14),ISNUMBER(AF15)),IF(AF14&gt;0,AF15/AF14,""),"")</f>
        <v/>
      </c>
      <c r="AG16" s="83" t="str">
        <f>IF(AND(ISNUMBER(AG14),ISNUMBER(AG15)),IF(AG14&gt;0,AG15/AG14,""),"")</f>
        <v/>
      </c>
      <c r="AH16" s="83" t="str">
        <f>IF(AND(ISNUMBER(AH14),ISNUMBER(AH15)),IF(AH14&gt;0,AH15/AH14,""),"")</f>
        <v/>
      </c>
      <c r="AI16" s="83" t="str">
        <f>IF(AND(ISNUMBER(AI14),ISNUMBER(AI15)),IF(AI14&gt;0,AI15/AI14,""),"")</f>
        <v/>
      </c>
      <c r="AJ16" s="84" t="str">
        <f>IF(AND(ISNUMBER(AJ14),ISNUMBER(AJ15)),IF(AJ14&gt;0,AJ15/AJ14,""),"")</f>
        <v/>
      </c>
      <c r="AK16" s="81" t="str">
        <f>IF(AND(ISNUMBER(AK14),ISNUMBER(AK15)),IF(AK14&gt;0,AK15/AK14,""),"")</f>
        <v/>
      </c>
    </row>
    <row r="17" ht="15.75" customHeight="1">
      <c r="A17" s="118"/>
      <c r="B17" s="114" t="inlineStr">
        <is>
          <t xml:space="preserve">GENTE</t>
        </is>
      </c>
      <c r="C17" s="85" t="inlineStr">
        <is>
          <t xml:space="preserve">Efetivo</t>
        </is>
      </c>
      <c r="D17" s="86" t="str">
        <f>IFERROR(1/(1/INDEX(calculos!$C$55:$K$83,MATCH("Efetivo",calculos!$A$55:$A$83,0),MATCH($A$5,calculos!$C$54:$K$54,0))),"")</f>
        <v/>
      </c>
      <c r="E17" s="87"/>
      <c r="F17" s="88" t="str">
        <f>IF(F$3="","",IF(COUNTIFS(Base!$A$3:$A$5001,F$3,Base!$B$3:$B$5001,$A$5,Base!$Z$3:$Z$5001,"&lt;&gt;")=0,"",SUMIFS(Base!$Z$3:$Z$5001,Base!$A$3:$A$5001,F$3,Base!$B$3:$B$5001,$A$5)))</f>
        <v/>
      </c>
      <c r="G17" s="89" t="str">
        <f>IF(G$3="","",IF(COUNTIFS(Base!$A$3:$A$5001,G$3,Base!$B$3:$B$5001,$A$5,Base!$Z$3:$Z$5001,"&lt;&gt;")=0,"",SUMIFS(Base!$Z$3:$Z$5001,Base!$A$3:$A$5001,G$3,Base!$B$3:$B$5001,$A$5)))</f>
        <v/>
      </c>
      <c r="H17" s="89" t="str">
        <f>IF(H$3="","",IF(COUNTIFS(Base!$A$3:$A$5001,H$3,Base!$B$3:$B$5001,$A$5,Base!$Z$3:$Z$5001,"&lt;&gt;")=0,"",SUMIFS(Base!$Z$3:$Z$5001,Base!$A$3:$A$5001,H$3,Base!$B$3:$B$5001,$A$5)))</f>
        <v/>
      </c>
      <c r="I17" s="89" t="str">
        <f>IF(I$3="","",IF(COUNTIFS(Base!$A$3:$A$5001,I$3,Base!$B$3:$B$5001,$A$5,Base!$Z$3:$Z$5001,"&lt;&gt;")=0,"",SUMIFS(Base!$Z$3:$Z$5001,Base!$A$3:$A$5001,I$3,Base!$B$3:$B$5001,$A$5)))</f>
        <v/>
      </c>
      <c r="J17" s="89" t="str">
        <f>IF(J$3="","",IF(COUNTIFS(Base!$A$3:$A$5001,J$3,Base!$B$3:$B$5001,$A$5,Base!$Z$3:$Z$5001,"&lt;&gt;")=0,"",SUMIFS(Base!$Z$3:$Z$5001,Base!$A$3:$A$5001,J$3,Base!$B$3:$B$5001,$A$5)))</f>
        <v/>
      </c>
      <c r="K17" s="89" t="str">
        <f>IF(K$3="","",IF(COUNTIFS(Base!$A$3:$A$5001,K$3,Base!$B$3:$B$5001,$A$5,Base!$Z$3:$Z$5001,"&lt;&gt;")=0,"",SUMIFS(Base!$Z$3:$Z$5001,Base!$A$3:$A$5001,K$3,Base!$B$3:$B$5001,$A$5)))</f>
        <v/>
      </c>
      <c r="L17" s="89" t="str">
        <f>IF(L$3="","",IF(COUNTIFS(Base!$A$3:$A$5001,L$3,Base!$B$3:$B$5001,$A$5,Base!$Z$3:$Z$5001,"&lt;&gt;")=0,"",SUMIFS(Base!$Z$3:$Z$5001,Base!$A$3:$A$5001,L$3,Base!$B$3:$B$5001,$A$5)))</f>
        <v/>
      </c>
      <c r="M17" s="89" t="str">
        <f>IF(M$3="","",IF(COUNTIFS(Base!$A$3:$A$5001,M$3,Base!$B$3:$B$5001,$A$5,Base!$Z$3:$Z$5001,"&lt;&gt;")=0,"",SUMIFS(Base!$Z$3:$Z$5001,Base!$A$3:$A$5001,M$3,Base!$B$3:$B$5001,$A$5)))</f>
        <v/>
      </c>
      <c r="N17" s="89" t="str">
        <f>IF(N$3="","",IF(COUNTIFS(Base!$A$3:$A$5001,N$3,Base!$B$3:$B$5001,$A$5,Base!$Z$3:$Z$5001,"&lt;&gt;")=0,"",SUMIFS(Base!$Z$3:$Z$5001,Base!$A$3:$A$5001,N$3,Base!$B$3:$B$5001,$A$5)))</f>
        <v/>
      </c>
      <c r="O17" s="89" t="str">
        <f>IF(O$3="","",IF(COUNTIFS(Base!$A$3:$A$5001,O$3,Base!$B$3:$B$5001,$A$5,Base!$Z$3:$Z$5001,"&lt;&gt;")=0,"",SUMIFS(Base!$Z$3:$Z$5001,Base!$A$3:$A$5001,O$3,Base!$B$3:$B$5001,$A$5)))</f>
        <v/>
      </c>
      <c r="P17" s="89" t="str">
        <f>IF(P$3="","",IF(COUNTIFS(Base!$A$3:$A$5001,P$3,Base!$B$3:$B$5001,$A$5,Base!$Z$3:$Z$5001,"&lt;&gt;")=0,"",SUMIFS(Base!$Z$3:$Z$5001,Base!$A$3:$A$5001,P$3,Base!$B$3:$B$5001,$A$5)))</f>
        <v/>
      </c>
      <c r="Q17" s="89" t="str">
        <f>IF(Q$3="","",IF(COUNTIFS(Base!$A$3:$A$5001,Q$3,Base!$B$3:$B$5001,$A$5,Base!$Z$3:$Z$5001,"&lt;&gt;")=0,"",SUMIFS(Base!$Z$3:$Z$5001,Base!$A$3:$A$5001,Q$3,Base!$B$3:$B$5001,$A$5)))</f>
        <v/>
      </c>
      <c r="R17" s="89" t="str">
        <f>IF(R$3="","",IF(COUNTIFS(Base!$A$3:$A$5001,R$3,Base!$B$3:$B$5001,$A$5,Base!$Z$3:$Z$5001,"&lt;&gt;")=0,"",SUMIFS(Base!$Z$3:$Z$5001,Base!$A$3:$A$5001,R$3,Base!$B$3:$B$5001,$A$5)))</f>
        <v/>
      </c>
      <c r="S17" s="89" t="str">
        <f>IF(S$3="","",IF(COUNTIFS(Base!$A$3:$A$5001,S$3,Base!$B$3:$B$5001,$A$5,Base!$Z$3:$Z$5001,"&lt;&gt;")=0,"",SUMIFS(Base!$Z$3:$Z$5001,Base!$A$3:$A$5001,S$3,Base!$B$3:$B$5001,$A$5)))</f>
        <v/>
      </c>
      <c r="T17" s="89" t="str">
        <f>IF(T$3="","",IF(COUNTIFS(Base!$A$3:$A$5001,T$3,Base!$B$3:$B$5001,$A$5,Base!$Z$3:$Z$5001,"&lt;&gt;")=0,"",SUMIFS(Base!$Z$3:$Z$5001,Base!$A$3:$A$5001,T$3,Base!$B$3:$B$5001,$A$5)))</f>
        <v/>
      </c>
      <c r="U17" s="89" t="str">
        <f>IF(U$3="","",IF(COUNTIFS(Base!$A$3:$A$5001,U$3,Base!$B$3:$B$5001,$A$5,Base!$Z$3:$Z$5001,"&lt;&gt;")=0,"",SUMIFS(Base!$Z$3:$Z$5001,Base!$A$3:$A$5001,U$3,Base!$B$3:$B$5001,$A$5)))</f>
        <v/>
      </c>
      <c r="V17" s="89" t="str">
        <f>IF(V$3="","",IF(COUNTIFS(Base!$A$3:$A$5001,V$3,Base!$B$3:$B$5001,$A$5,Base!$Z$3:$Z$5001,"&lt;&gt;")=0,"",SUMIFS(Base!$Z$3:$Z$5001,Base!$A$3:$A$5001,V$3,Base!$B$3:$B$5001,$A$5)))</f>
        <v/>
      </c>
      <c r="W17" s="89" t="str">
        <f>IF(W$3="","",IF(COUNTIFS(Base!$A$3:$A$5001,W$3,Base!$B$3:$B$5001,$A$5,Base!$Z$3:$Z$5001,"&lt;&gt;")=0,"",SUMIFS(Base!$Z$3:$Z$5001,Base!$A$3:$A$5001,W$3,Base!$B$3:$B$5001,$A$5)))</f>
        <v/>
      </c>
      <c r="X17" s="89" t="str">
        <f>IF(X$3="","",IF(COUNTIFS(Base!$A$3:$A$5001,X$3,Base!$B$3:$B$5001,$A$5,Base!$Z$3:$Z$5001,"&lt;&gt;")=0,"",SUMIFS(Base!$Z$3:$Z$5001,Base!$A$3:$A$5001,X$3,Base!$B$3:$B$5001,$A$5)))</f>
        <v/>
      </c>
      <c r="Y17" s="89" t="str">
        <f>IF(Y$3="","",IF(COUNTIFS(Base!$A$3:$A$5001,Y$3,Base!$B$3:$B$5001,$A$5,Base!$Z$3:$Z$5001,"&lt;&gt;")=0,"",SUMIFS(Base!$Z$3:$Z$5001,Base!$A$3:$A$5001,Y$3,Base!$B$3:$B$5001,$A$5)))</f>
        <v/>
      </c>
      <c r="Z17" s="89" t="str">
        <f>IF(Z$3="","",IF(COUNTIFS(Base!$A$3:$A$5001,Z$3,Base!$B$3:$B$5001,$A$5,Base!$Z$3:$Z$5001,"&lt;&gt;")=0,"",SUMIFS(Base!$Z$3:$Z$5001,Base!$A$3:$A$5001,Z$3,Base!$B$3:$B$5001,$A$5)))</f>
        <v/>
      </c>
      <c r="AA17" s="89" t="str">
        <f>IF(AA$3="","",IF(COUNTIFS(Base!$A$3:$A$5001,AA$3,Base!$B$3:$B$5001,$A$5,Base!$Z$3:$Z$5001,"&lt;&gt;")=0,"",SUMIFS(Base!$Z$3:$Z$5001,Base!$A$3:$A$5001,AA$3,Base!$B$3:$B$5001,$A$5)))</f>
        <v/>
      </c>
      <c r="AB17" s="89" t="str">
        <f>IF(AB$3="","",IF(COUNTIFS(Base!$A$3:$A$5001,AB$3,Base!$B$3:$B$5001,$A$5,Base!$Z$3:$Z$5001,"&lt;&gt;")=0,"",SUMIFS(Base!$Z$3:$Z$5001,Base!$A$3:$A$5001,AB$3,Base!$B$3:$B$5001,$A$5)))</f>
        <v/>
      </c>
      <c r="AC17" s="89" t="str">
        <f>IF(AC$3="","",IF(COUNTIFS(Base!$A$3:$A$5001,AC$3,Base!$B$3:$B$5001,$A$5,Base!$Z$3:$Z$5001,"&lt;&gt;")=0,"",SUMIFS(Base!$Z$3:$Z$5001,Base!$A$3:$A$5001,AC$3,Base!$B$3:$B$5001,$A$5)))</f>
        <v/>
      </c>
      <c r="AD17" s="89" t="str">
        <f>IF(AD$3="","",IF(COUNTIFS(Base!$A$3:$A$5001,AD$3,Base!$B$3:$B$5001,$A$5,Base!$Z$3:$Z$5001,"&lt;&gt;")=0,"",SUMIFS(Base!$Z$3:$Z$5001,Base!$A$3:$A$5001,AD$3,Base!$B$3:$B$5001,$A$5)))</f>
        <v/>
      </c>
      <c r="AE17" s="89" t="str">
        <f>IF(AE$3="","",IF(COUNTIFS(Base!$A$3:$A$5001,AE$3,Base!$B$3:$B$5001,$A$5,Base!$Z$3:$Z$5001,"&lt;&gt;")=0,"",SUMIFS(Base!$Z$3:$Z$5001,Base!$A$3:$A$5001,AE$3,Base!$B$3:$B$5001,$A$5)))</f>
        <v/>
      </c>
      <c r="AF17" s="89" t="str">
        <f>IF(AF$3="","",IF(COUNTIFS(Base!$A$3:$A$5001,AF$3,Base!$B$3:$B$5001,$A$5,Base!$Z$3:$Z$5001,"&lt;&gt;")=0,"",SUMIFS(Base!$Z$3:$Z$5001,Base!$A$3:$A$5001,AF$3,Base!$B$3:$B$5001,$A$5)))</f>
        <v/>
      </c>
      <c r="AG17" s="89" t="str">
        <f>IF(AG$3="","",IF(COUNTIFS(Base!$A$3:$A$5001,AG$3,Base!$B$3:$B$5001,$A$5,Base!$Z$3:$Z$5001,"&lt;&gt;")=0,"",SUMIFS(Base!$Z$3:$Z$5001,Base!$A$3:$A$5001,AG$3,Base!$B$3:$B$5001,$A$5)))</f>
        <v/>
      </c>
      <c r="AH17" s="89" t="str">
        <f>IF(AH$3="","",IF(COUNTIFS(Base!$A$3:$A$5001,AH$3,Base!$B$3:$B$5001,$A$5,Base!$Z$3:$Z$5001,"&lt;&gt;")=0,"",SUMIFS(Base!$Z$3:$Z$5001,Base!$A$3:$A$5001,AH$3,Base!$B$3:$B$5001,$A$5)))</f>
        <v/>
      </c>
      <c r="AI17" s="89" t="str">
        <f>IF(AI$3="","",IF(COUNTIFS(Base!$A$3:$A$5001,AI$3,Base!$B$3:$B$5001,$A$5,Base!$Z$3:$Z$5001,"&lt;&gt;")=0,"",SUMIFS(Base!$Z$3:$Z$5001,Base!$A$3:$A$5001,AI$3,Base!$B$3:$B$5001,$A$5)))</f>
        <v/>
      </c>
      <c r="AJ17" s="90" t="str">
        <f>IF(AJ$3="","",IF(COUNTIFS(Base!$A$3:$A$5001,AJ$3,Base!$B$3:$B$5001,$A$5,Base!$Z$3:$Z$5001,"&lt;&gt;")=0,"",SUMIFS(Base!$Z$3:$Z$5001,Base!$A$3:$A$5001,AJ$3,Base!$B$3:$B$5001,$A$5)))</f>
        <v/>
      </c>
      <c r="AK17" s="91" t="str">
        <f>IFERROR(LOOKUP(9.99E+307,F17:AJ17),"")</f>
        <v/>
      </c>
    </row>
    <row r="18" ht="15.75" customHeight="1">
      <c r="A18" s="118"/>
      <c r="B18" s="115"/>
      <c r="C18" s="92" t="inlineStr">
        <is>
          <t xml:space="preserve">Falta</t>
        </is>
      </c>
      <c r="D18" s="93" t="str">
        <f>IFERROR(1/(1/INDEX(calculos!$C$55:$K$83,MATCH("Falta",calculos!$A$55:$A$83,0),MATCH($A$5,calculos!$C$54:$K$54,0))),"")</f>
        <v/>
      </c>
      <c r="E18" s="94"/>
      <c r="F18" s="95" t="str">
        <f>IF(F$3="","",IF(COUNTIFS(Base!$A$3:$A$5001,F$3,Base!$B$3:$B$5001,$A$5,Base!$AA$3:$AA$5001,"&lt;&gt;")=0,"",SUMIFS(Base!$AA$3:$AA$5001,Base!$A$3:$A$5001,F$3,Base!$B$3:$B$5001,$A$5)))</f>
        <v/>
      </c>
      <c r="G18" s="96" t="str">
        <f>IF(G$3="","",IF(COUNTIFS(Base!$A$3:$A$5001,G$3,Base!$B$3:$B$5001,$A$5,Base!$AA$3:$AA$5001,"&lt;&gt;")=0,"",SUMIFS(Base!$AA$3:$AA$5001,Base!$A$3:$A$5001,G$3,Base!$B$3:$B$5001,$A$5)))</f>
        <v/>
      </c>
      <c r="H18" s="96" t="str">
        <f>IF(H$3="","",IF(COUNTIFS(Base!$A$3:$A$5001,H$3,Base!$B$3:$B$5001,$A$5,Base!$AA$3:$AA$5001,"&lt;&gt;")=0,"",SUMIFS(Base!$AA$3:$AA$5001,Base!$A$3:$A$5001,H$3,Base!$B$3:$B$5001,$A$5)))</f>
        <v/>
      </c>
      <c r="I18" s="96" t="str">
        <f>IF(I$3="","",IF(COUNTIFS(Base!$A$3:$A$5001,I$3,Base!$B$3:$B$5001,$A$5,Base!$AA$3:$AA$5001,"&lt;&gt;")=0,"",SUMIFS(Base!$AA$3:$AA$5001,Base!$A$3:$A$5001,I$3,Base!$B$3:$B$5001,$A$5)))</f>
        <v/>
      </c>
      <c r="J18" s="96" t="str">
        <f>IF(J$3="","",IF(COUNTIFS(Base!$A$3:$A$5001,J$3,Base!$B$3:$B$5001,$A$5,Base!$AA$3:$AA$5001,"&lt;&gt;")=0,"",SUMIFS(Base!$AA$3:$AA$5001,Base!$A$3:$A$5001,J$3,Base!$B$3:$B$5001,$A$5)))</f>
        <v/>
      </c>
      <c r="K18" s="96" t="str">
        <f>IF(K$3="","",IF(COUNTIFS(Base!$A$3:$A$5001,K$3,Base!$B$3:$B$5001,$A$5,Base!$AA$3:$AA$5001,"&lt;&gt;")=0,"",SUMIFS(Base!$AA$3:$AA$5001,Base!$A$3:$A$5001,K$3,Base!$B$3:$B$5001,$A$5)))</f>
        <v/>
      </c>
      <c r="L18" s="96" t="str">
        <f>IF(L$3="","",IF(COUNTIFS(Base!$A$3:$A$5001,L$3,Base!$B$3:$B$5001,$A$5,Base!$AA$3:$AA$5001,"&lt;&gt;")=0,"",SUMIFS(Base!$AA$3:$AA$5001,Base!$A$3:$A$5001,L$3,Base!$B$3:$B$5001,$A$5)))</f>
        <v/>
      </c>
      <c r="M18" s="96" t="str">
        <f>IF(M$3="","",IF(COUNTIFS(Base!$A$3:$A$5001,M$3,Base!$B$3:$B$5001,$A$5,Base!$AA$3:$AA$5001,"&lt;&gt;")=0,"",SUMIFS(Base!$AA$3:$AA$5001,Base!$A$3:$A$5001,M$3,Base!$B$3:$B$5001,$A$5)))</f>
        <v/>
      </c>
      <c r="N18" s="96" t="str">
        <f>IF(N$3="","",IF(COUNTIFS(Base!$A$3:$A$5001,N$3,Base!$B$3:$B$5001,$A$5,Base!$AA$3:$AA$5001,"&lt;&gt;")=0,"",SUMIFS(Base!$AA$3:$AA$5001,Base!$A$3:$A$5001,N$3,Base!$B$3:$B$5001,$A$5)))</f>
        <v/>
      </c>
      <c r="O18" s="96" t="str">
        <f>IF(O$3="","",IF(COUNTIFS(Base!$A$3:$A$5001,O$3,Base!$B$3:$B$5001,$A$5,Base!$AA$3:$AA$5001,"&lt;&gt;")=0,"",SUMIFS(Base!$AA$3:$AA$5001,Base!$A$3:$A$5001,O$3,Base!$B$3:$B$5001,$A$5)))</f>
        <v/>
      </c>
      <c r="P18" s="96" t="str">
        <f>IF(P$3="","",IF(COUNTIFS(Base!$A$3:$A$5001,P$3,Base!$B$3:$B$5001,$A$5,Base!$AA$3:$AA$5001,"&lt;&gt;")=0,"",SUMIFS(Base!$AA$3:$AA$5001,Base!$A$3:$A$5001,P$3,Base!$B$3:$B$5001,$A$5)))</f>
        <v/>
      </c>
      <c r="Q18" s="96" t="str">
        <f>IF(Q$3="","",IF(COUNTIFS(Base!$A$3:$A$5001,Q$3,Base!$B$3:$B$5001,$A$5,Base!$AA$3:$AA$5001,"&lt;&gt;")=0,"",SUMIFS(Base!$AA$3:$AA$5001,Base!$A$3:$A$5001,Q$3,Base!$B$3:$B$5001,$A$5)))</f>
        <v/>
      </c>
      <c r="R18" s="96" t="str">
        <f>IF(R$3="","",IF(COUNTIFS(Base!$A$3:$A$5001,R$3,Base!$B$3:$B$5001,$A$5,Base!$AA$3:$AA$5001,"&lt;&gt;")=0,"",SUMIFS(Base!$AA$3:$AA$5001,Base!$A$3:$A$5001,R$3,Base!$B$3:$B$5001,$A$5)))</f>
        <v/>
      </c>
      <c r="S18" s="96" t="str">
        <f>IF(S$3="","",IF(COUNTIFS(Base!$A$3:$A$5001,S$3,Base!$B$3:$B$5001,$A$5,Base!$AA$3:$AA$5001,"&lt;&gt;")=0,"",SUMIFS(Base!$AA$3:$AA$5001,Base!$A$3:$A$5001,S$3,Base!$B$3:$B$5001,$A$5)))</f>
        <v/>
      </c>
      <c r="T18" s="96" t="str">
        <f>IF(T$3="","",IF(COUNTIFS(Base!$A$3:$A$5001,T$3,Base!$B$3:$B$5001,$A$5,Base!$AA$3:$AA$5001,"&lt;&gt;")=0,"",SUMIFS(Base!$AA$3:$AA$5001,Base!$A$3:$A$5001,T$3,Base!$B$3:$B$5001,$A$5)))</f>
        <v/>
      </c>
      <c r="U18" s="96" t="str">
        <f>IF(U$3="","",IF(COUNTIFS(Base!$A$3:$A$5001,U$3,Base!$B$3:$B$5001,$A$5,Base!$AA$3:$AA$5001,"&lt;&gt;")=0,"",SUMIFS(Base!$AA$3:$AA$5001,Base!$A$3:$A$5001,U$3,Base!$B$3:$B$5001,$A$5)))</f>
        <v/>
      </c>
      <c r="V18" s="96" t="str">
        <f>IF(V$3="","",IF(COUNTIFS(Base!$A$3:$A$5001,V$3,Base!$B$3:$B$5001,$A$5,Base!$AA$3:$AA$5001,"&lt;&gt;")=0,"",SUMIFS(Base!$AA$3:$AA$5001,Base!$A$3:$A$5001,V$3,Base!$B$3:$B$5001,$A$5)))</f>
        <v/>
      </c>
      <c r="W18" s="96" t="str">
        <f>IF(W$3="","",IF(COUNTIFS(Base!$A$3:$A$5001,W$3,Base!$B$3:$B$5001,$A$5,Base!$AA$3:$AA$5001,"&lt;&gt;")=0,"",SUMIFS(Base!$AA$3:$AA$5001,Base!$A$3:$A$5001,W$3,Base!$B$3:$B$5001,$A$5)))</f>
        <v/>
      </c>
      <c r="X18" s="96" t="str">
        <f>IF(X$3="","",IF(COUNTIFS(Base!$A$3:$A$5001,X$3,Base!$B$3:$B$5001,$A$5,Base!$AA$3:$AA$5001,"&lt;&gt;")=0,"",SUMIFS(Base!$AA$3:$AA$5001,Base!$A$3:$A$5001,X$3,Base!$B$3:$B$5001,$A$5)))</f>
        <v/>
      </c>
      <c r="Y18" s="96" t="str">
        <f>IF(Y$3="","",IF(COUNTIFS(Base!$A$3:$A$5001,Y$3,Base!$B$3:$B$5001,$A$5,Base!$AA$3:$AA$5001,"&lt;&gt;")=0,"",SUMIFS(Base!$AA$3:$AA$5001,Base!$A$3:$A$5001,Y$3,Base!$B$3:$B$5001,$A$5)))</f>
        <v/>
      </c>
      <c r="Z18" s="96" t="str">
        <f>IF(Z$3="","",IF(COUNTIFS(Base!$A$3:$A$5001,Z$3,Base!$B$3:$B$5001,$A$5,Base!$AA$3:$AA$5001,"&lt;&gt;")=0,"",SUMIFS(Base!$AA$3:$AA$5001,Base!$A$3:$A$5001,Z$3,Base!$B$3:$B$5001,$A$5)))</f>
        <v/>
      </c>
      <c r="AA18" s="96" t="str">
        <f>IF(AA$3="","",IF(COUNTIFS(Base!$A$3:$A$5001,AA$3,Base!$B$3:$B$5001,$A$5,Base!$AA$3:$AA$5001,"&lt;&gt;")=0,"",SUMIFS(Base!$AA$3:$AA$5001,Base!$A$3:$A$5001,AA$3,Base!$B$3:$B$5001,$A$5)))</f>
        <v/>
      </c>
      <c r="AB18" s="96" t="str">
        <f>IF(AB$3="","",IF(COUNTIFS(Base!$A$3:$A$5001,AB$3,Base!$B$3:$B$5001,$A$5,Base!$AA$3:$AA$5001,"&lt;&gt;")=0,"",SUMIFS(Base!$AA$3:$AA$5001,Base!$A$3:$A$5001,AB$3,Base!$B$3:$B$5001,$A$5)))</f>
        <v/>
      </c>
      <c r="AC18" s="96" t="str">
        <f>IF(AC$3="","",IF(COUNTIFS(Base!$A$3:$A$5001,AC$3,Base!$B$3:$B$5001,$A$5,Base!$AA$3:$AA$5001,"&lt;&gt;")=0,"",SUMIFS(Base!$AA$3:$AA$5001,Base!$A$3:$A$5001,AC$3,Base!$B$3:$B$5001,$A$5)))</f>
        <v/>
      </c>
      <c r="AD18" s="96" t="str">
        <f>IF(AD$3="","",IF(COUNTIFS(Base!$A$3:$A$5001,AD$3,Base!$B$3:$B$5001,$A$5,Base!$AA$3:$AA$5001,"&lt;&gt;")=0,"",SUMIFS(Base!$AA$3:$AA$5001,Base!$A$3:$A$5001,AD$3,Base!$B$3:$B$5001,$A$5)))</f>
        <v/>
      </c>
      <c r="AE18" s="96" t="str">
        <f>IF(AE$3="","",IF(COUNTIFS(Base!$A$3:$A$5001,AE$3,Base!$B$3:$B$5001,$A$5,Base!$AA$3:$AA$5001,"&lt;&gt;")=0,"",SUMIFS(Base!$AA$3:$AA$5001,Base!$A$3:$A$5001,AE$3,Base!$B$3:$B$5001,$A$5)))</f>
        <v/>
      </c>
      <c r="AF18" s="96" t="str">
        <f>IF(AF$3="","",IF(COUNTIFS(Base!$A$3:$A$5001,AF$3,Base!$B$3:$B$5001,$A$5,Base!$AA$3:$AA$5001,"&lt;&gt;")=0,"",SUMIFS(Base!$AA$3:$AA$5001,Base!$A$3:$A$5001,AF$3,Base!$B$3:$B$5001,$A$5)))</f>
        <v/>
      </c>
      <c r="AG18" s="96" t="str">
        <f>IF(AG$3="","",IF(COUNTIFS(Base!$A$3:$A$5001,AG$3,Base!$B$3:$B$5001,$A$5,Base!$AA$3:$AA$5001,"&lt;&gt;")=0,"",SUMIFS(Base!$AA$3:$AA$5001,Base!$A$3:$A$5001,AG$3,Base!$B$3:$B$5001,$A$5)))</f>
        <v/>
      </c>
      <c r="AH18" s="96" t="str">
        <f>IF(AH$3="","",IF(COUNTIFS(Base!$A$3:$A$5001,AH$3,Base!$B$3:$B$5001,$A$5,Base!$AA$3:$AA$5001,"&lt;&gt;")=0,"",SUMIFS(Base!$AA$3:$AA$5001,Base!$A$3:$A$5001,AH$3,Base!$B$3:$B$5001,$A$5)))</f>
        <v/>
      </c>
      <c r="AI18" s="96" t="str">
        <f>IF(AI$3="","",IF(COUNTIFS(Base!$A$3:$A$5001,AI$3,Base!$B$3:$B$5001,$A$5,Base!$AA$3:$AA$5001,"&lt;&gt;")=0,"",SUMIFS(Base!$AA$3:$AA$5001,Base!$A$3:$A$5001,AI$3,Base!$B$3:$B$5001,$A$5)))</f>
        <v/>
      </c>
      <c r="AJ18" s="97" t="str">
        <f>IF(AJ$3="","",IF(COUNTIFS(Base!$A$3:$A$5001,AJ$3,Base!$B$3:$B$5001,$A$5,Base!$AA$3:$AA$5001,"&lt;&gt;")=0,"",SUMIFS(Base!$AA$3:$AA$5001,Base!$A$3:$A$5001,AJ$3,Base!$B$3:$B$5001,$A$5)))</f>
        <v/>
      </c>
      <c r="AK18" s="98" t="str">
        <f>IF(COUNT(F18:AJ18)=0,"",SUM(F18:AJ18))</f>
        <v/>
      </c>
    </row>
    <row r="19" ht="15.75" customHeight="1">
      <c r="A19" s="118"/>
      <c r="B19" s="115"/>
      <c r="C19" s="92" t="inlineStr">
        <is>
          <t xml:space="preserve">Folga</t>
        </is>
      </c>
      <c r="D19" s="93" t="str">
        <f>IFERROR(1/(1/INDEX(calculos!$C$55:$K$83,MATCH("Folga",calculos!$A$55:$A$83,0),MATCH($A$5,calculos!$C$54:$K$54,0))),"")</f>
        <v/>
      </c>
      <c r="E19" s="94"/>
      <c r="F19" s="95" t="str">
        <f>IF(F$3="","",IF(COUNTIFS(Base!$A$3:$A$5001,F$3,Base!$B$3:$B$5001,$A$5,Base!$AB$3:$AB$5001,"&lt;&gt;")=0,"",SUMIFS(Base!$AB$3:$AB$5001,Base!$A$3:$A$5001,F$3,Base!$B$3:$B$5001,$A$5)))</f>
        <v/>
      </c>
      <c r="G19" s="96" t="str">
        <f>IF(G$3="","",IF(COUNTIFS(Base!$A$3:$A$5001,G$3,Base!$B$3:$B$5001,$A$5,Base!$AB$3:$AB$5001,"&lt;&gt;")=0,"",SUMIFS(Base!$AB$3:$AB$5001,Base!$A$3:$A$5001,G$3,Base!$B$3:$B$5001,$A$5)))</f>
        <v/>
      </c>
      <c r="H19" s="96" t="str">
        <f>IF(H$3="","",IF(COUNTIFS(Base!$A$3:$A$5001,H$3,Base!$B$3:$B$5001,$A$5,Base!$AB$3:$AB$5001,"&lt;&gt;")=0,"",SUMIFS(Base!$AB$3:$AB$5001,Base!$A$3:$A$5001,H$3,Base!$B$3:$B$5001,$A$5)))</f>
        <v/>
      </c>
      <c r="I19" s="96" t="str">
        <f>IF(I$3="","",IF(COUNTIFS(Base!$A$3:$A$5001,I$3,Base!$B$3:$B$5001,$A$5,Base!$AB$3:$AB$5001,"&lt;&gt;")=0,"",SUMIFS(Base!$AB$3:$AB$5001,Base!$A$3:$A$5001,I$3,Base!$B$3:$B$5001,$A$5)))</f>
        <v/>
      </c>
      <c r="J19" s="96" t="str">
        <f>IF(J$3="","",IF(COUNTIFS(Base!$A$3:$A$5001,J$3,Base!$B$3:$B$5001,$A$5,Base!$AB$3:$AB$5001,"&lt;&gt;")=0,"",SUMIFS(Base!$AB$3:$AB$5001,Base!$A$3:$A$5001,J$3,Base!$B$3:$B$5001,$A$5)))</f>
        <v/>
      </c>
      <c r="K19" s="96" t="str">
        <f>IF(K$3="","",IF(COUNTIFS(Base!$A$3:$A$5001,K$3,Base!$B$3:$B$5001,$A$5,Base!$AB$3:$AB$5001,"&lt;&gt;")=0,"",SUMIFS(Base!$AB$3:$AB$5001,Base!$A$3:$A$5001,K$3,Base!$B$3:$B$5001,$A$5)))</f>
        <v/>
      </c>
      <c r="L19" s="96" t="str">
        <f>IF(L$3="","",IF(COUNTIFS(Base!$A$3:$A$5001,L$3,Base!$B$3:$B$5001,$A$5,Base!$AB$3:$AB$5001,"&lt;&gt;")=0,"",SUMIFS(Base!$AB$3:$AB$5001,Base!$A$3:$A$5001,L$3,Base!$B$3:$B$5001,$A$5)))</f>
        <v/>
      </c>
      <c r="M19" s="96" t="str">
        <f>IF(M$3="","",IF(COUNTIFS(Base!$A$3:$A$5001,M$3,Base!$B$3:$B$5001,$A$5,Base!$AB$3:$AB$5001,"&lt;&gt;")=0,"",SUMIFS(Base!$AB$3:$AB$5001,Base!$A$3:$A$5001,M$3,Base!$B$3:$B$5001,$A$5)))</f>
        <v/>
      </c>
      <c r="N19" s="96" t="str">
        <f>IF(N$3="","",IF(COUNTIFS(Base!$A$3:$A$5001,N$3,Base!$B$3:$B$5001,$A$5,Base!$AB$3:$AB$5001,"&lt;&gt;")=0,"",SUMIFS(Base!$AB$3:$AB$5001,Base!$A$3:$A$5001,N$3,Base!$B$3:$B$5001,$A$5)))</f>
        <v/>
      </c>
      <c r="O19" s="96" t="str">
        <f>IF(O$3="","",IF(COUNTIFS(Base!$A$3:$A$5001,O$3,Base!$B$3:$B$5001,$A$5,Base!$AB$3:$AB$5001,"&lt;&gt;")=0,"",SUMIFS(Base!$AB$3:$AB$5001,Base!$A$3:$A$5001,O$3,Base!$B$3:$B$5001,$A$5)))</f>
        <v/>
      </c>
      <c r="P19" s="96" t="str">
        <f>IF(P$3="","",IF(COUNTIFS(Base!$A$3:$A$5001,P$3,Base!$B$3:$B$5001,$A$5,Base!$AB$3:$AB$5001,"&lt;&gt;")=0,"",SUMIFS(Base!$AB$3:$AB$5001,Base!$A$3:$A$5001,P$3,Base!$B$3:$B$5001,$A$5)))</f>
        <v/>
      </c>
      <c r="Q19" s="96" t="str">
        <f>IF(Q$3="","",IF(COUNTIFS(Base!$A$3:$A$5001,Q$3,Base!$B$3:$B$5001,$A$5,Base!$AB$3:$AB$5001,"&lt;&gt;")=0,"",SUMIFS(Base!$AB$3:$AB$5001,Base!$A$3:$A$5001,Q$3,Base!$B$3:$B$5001,$A$5)))</f>
        <v/>
      </c>
      <c r="R19" s="96" t="str">
        <f>IF(R$3="","",IF(COUNTIFS(Base!$A$3:$A$5001,R$3,Base!$B$3:$B$5001,$A$5,Base!$AB$3:$AB$5001,"&lt;&gt;")=0,"",SUMIFS(Base!$AB$3:$AB$5001,Base!$A$3:$A$5001,R$3,Base!$B$3:$B$5001,$A$5)))</f>
        <v/>
      </c>
      <c r="S19" s="96" t="str">
        <f>IF(S$3="","",IF(COUNTIFS(Base!$A$3:$A$5001,S$3,Base!$B$3:$B$5001,$A$5,Base!$AB$3:$AB$5001,"&lt;&gt;")=0,"",SUMIFS(Base!$AB$3:$AB$5001,Base!$A$3:$A$5001,S$3,Base!$B$3:$B$5001,$A$5)))</f>
        <v/>
      </c>
      <c r="T19" s="96" t="str">
        <f>IF(T$3="","",IF(COUNTIFS(Base!$A$3:$A$5001,T$3,Base!$B$3:$B$5001,$A$5,Base!$AB$3:$AB$5001,"&lt;&gt;")=0,"",SUMIFS(Base!$AB$3:$AB$5001,Base!$A$3:$A$5001,T$3,Base!$B$3:$B$5001,$A$5)))</f>
        <v/>
      </c>
      <c r="U19" s="96" t="str">
        <f>IF(U$3="","",IF(COUNTIFS(Base!$A$3:$A$5001,U$3,Base!$B$3:$B$5001,$A$5,Base!$AB$3:$AB$5001,"&lt;&gt;")=0,"",SUMIFS(Base!$AB$3:$AB$5001,Base!$A$3:$A$5001,U$3,Base!$B$3:$B$5001,$A$5)))</f>
        <v/>
      </c>
      <c r="V19" s="96" t="str">
        <f>IF(V$3="","",IF(COUNTIFS(Base!$A$3:$A$5001,V$3,Base!$B$3:$B$5001,$A$5,Base!$AB$3:$AB$5001,"&lt;&gt;")=0,"",SUMIFS(Base!$AB$3:$AB$5001,Base!$A$3:$A$5001,V$3,Base!$B$3:$B$5001,$A$5)))</f>
        <v/>
      </c>
      <c r="W19" s="96" t="str">
        <f>IF(W$3="","",IF(COUNTIFS(Base!$A$3:$A$5001,W$3,Base!$B$3:$B$5001,$A$5,Base!$AB$3:$AB$5001,"&lt;&gt;")=0,"",SUMIFS(Base!$AB$3:$AB$5001,Base!$A$3:$A$5001,W$3,Base!$B$3:$B$5001,$A$5)))</f>
        <v/>
      </c>
      <c r="X19" s="96" t="str">
        <f>IF(X$3="","",IF(COUNTIFS(Base!$A$3:$A$5001,X$3,Base!$B$3:$B$5001,$A$5,Base!$AB$3:$AB$5001,"&lt;&gt;")=0,"",SUMIFS(Base!$AB$3:$AB$5001,Base!$A$3:$A$5001,X$3,Base!$B$3:$B$5001,$A$5)))</f>
        <v/>
      </c>
      <c r="Y19" s="96" t="str">
        <f>IF(Y$3="","",IF(COUNTIFS(Base!$A$3:$A$5001,Y$3,Base!$B$3:$B$5001,$A$5,Base!$AB$3:$AB$5001,"&lt;&gt;")=0,"",SUMIFS(Base!$AB$3:$AB$5001,Base!$A$3:$A$5001,Y$3,Base!$B$3:$B$5001,$A$5)))</f>
        <v/>
      </c>
      <c r="Z19" s="96" t="str">
        <f>IF(Z$3="","",IF(COUNTIFS(Base!$A$3:$A$5001,Z$3,Base!$B$3:$B$5001,$A$5,Base!$AB$3:$AB$5001,"&lt;&gt;")=0,"",SUMIFS(Base!$AB$3:$AB$5001,Base!$A$3:$A$5001,Z$3,Base!$B$3:$B$5001,$A$5)))</f>
        <v/>
      </c>
      <c r="AA19" s="96" t="str">
        <f>IF(AA$3="","",IF(COUNTIFS(Base!$A$3:$A$5001,AA$3,Base!$B$3:$B$5001,$A$5,Base!$AB$3:$AB$5001,"&lt;&gt;")=0,"",SUMIFS(Base!$AB$3:$AB$5001,Base!$A$3:$A$5001,AA$3,Base!$B$3:$B$5001,$A$5)))</f>
        <v/>
      </c>
      <c r="AB19" s="96" t="str">
        <f>IF(AB$3="","",IF(COUNTIFS(Base!$A$3:$A$5001,AB$3,Base!$B$3:$B$5001,$A$5,Base!$AB$3:$AB$5001,"&lt;&gt;")=0,"",SUMIFS(Base!$AB$3:$AB$5001,Base!$A$3:$A$5001,AB$3,Base!$B$3:$B$5001,$A$5)))</f>
        <v/>
      </c>
      <c r="AC19" s="96" t="str">
        <f>IF(AC$3="","",IF(COUNTIFS(Base!$A$3:$A$5001,AC$3,Base!$B$3:$B$5001,$A$5,Base!$AB$3:$AB$5001,"&lt;&gt;")=0,"",SUMIFS(Base!$AB$3:$AB$5001,Base!$A$3:$A$5001,AC$3,Base!$B$3:$B$5001,$A$5)))</f>
        <v/>
      </c>
      <c r="AD19" s="96" t="str">
        <f>IF(AD$3="","",IF(COUNTIFS(Base!$A$3:$A$5001,AD$3,Base!$B$3:$B$5001,$A$5,Base!$AB$3:$AB$5001,"&lt;&gt;")=0,"",SUMIFS(Base!$AB$3:$AB$5001,Base!$A$3:$A$5001,AD$3,Base!$B$3:$B$5001,$A$5)))</f>
        <v/>
      </c>
      <c r="AE19" s="96" t="str">
        <f>IF(AE$3="","",IF(COUNTIFS(Base!$A$3:$A$5001,AE$3,Base!$B$3:$B$5001,$A$5,Base!$AB$3:$AB$5001,"&lt;&gt;")=0,"",SUMIFS(Base!$AB$3:$AB$5001,Base!$A$3:$A$5001,AE$3,Base!$B$3:$B$5001,$A$5)))</f>
        <v/>
      </c>
      <c r="AF19" s="96" t="str">
        <f>IF(AF$3="","",IF(COUNTIFS(Base!$A$3:$A$5001,AF$3,Base!$B$3:$B$5001,$A$5,Base!$AB$3:$AB$5001,"&lt;&gt;")=0,"",SUMIFS(Base!$AB$3:$AB$5001,Base!$A$3:$A$5001,AF$3,Base!$B$3:$B$5001,$A$5)))</f>
        <v/>
      </c>
      <c r="AG19" s="96" t="str">
        <f>IF(AG$3="","",IF(COUNTIFS(Base!$A$3:$A$5001,AG$3,Base!$B$3:$B$5001,$A$5,Base!$AB$3:$AB$5001,"&lt;&gt;")=0,"",SUMIFS(Base!$AB$3:$AB$5001,Base!$A$3:$A$5001,AG$3,Base!$B$3:$B$5001,$A$5)))</f>
        <v/>
      </c>
      <c r="AH19" s="96" t="str">
        <f>IF(AH$3="","",IF(COUNTIFS(Base!$A$3:$A$5001,AH$3,Base!$B$3:$B$5001,$A$5,Base!$AB$3:$AB$5001,"&lt;&gt;")=0,"",SUMIFS(Base!$AB$3:$AB$5001,Base!$A$3:$A$5001,AH$3,Base!$B$3:$B$5001,$A$5)))</f>
        <v/>
      </c>
      <c r="AI19" s="96" t="str">
        <f>IF(AI$3="","",IF(COUNTIFS(Base!$A$3:$A$5001,AI$3,Base!$B$3:$B$5001,$A$5,Base!$AB$3:$AB$5001,"&lt;&gt;")=0,"",SUMIFS(Base!$AB$3:$AB$5001,Base!$A$3:$A$5001,AI$3,Base!$B$3:$B$5001,$A$5)))</f>
        <v/>
      </c>
      <c r="AJ19" s="97" t="str">
        <f>IF(AJ$3="","",IF(COUNTIFS(Base!$A$3:$A$5001,AJ$3,Base!$B$3:$B$5001,$A$5,Base!$AB$3:$AB$5001,"&lt;&gt;")=0,"",SUMIFS(Base!$AB$3:$AB$5001,Base!$A$3:$A$5001,AJ$3,Base!$B$3:$B$5001,$A$5)))</f>
        <v/>
      </c>
      <c r="AK19" s="98" t="str">
        <f>IF(COUNT(F19:AJ19)=0,"",SUM(F19:AJ19))</f>
        <v/>
      </c>
    </row>
    <row r="20" ht="15.75" customHeight="1">
      <c r="A20" s="118"/>
      <c r="B20" s="115"/>
      <c r="C20" s="92" t="inlineStr">
        <is>
          <t xml:space="preserve">Férias</t>
        </is>
      </c>
      <c r="D20" s="93" t="str">
        <f>IFERROR(1/(1/INDEX(calculos!$C$55:$K$83,MATCH("Férias",calculos!$A$55:$A$83,0),MATCH($A$5,calculos!$C$54:$K$54,0))),"")</f>
        <v/>
      </c>
      <c r="E20" s="94"/>
      <c r="F20" s="95" t="str">
        <f>IF(F$3="","",IF(COUNTIFS(Base!$A$3:$A$5001,F$3,Base!$B$3:$B$5001,$A$5,Base!$AC$3:$AC$5001,"&lt;&gt;")=0,"",SUMIFS(Base!$AC$3:$AC$5001,Base!$A$3:$A$5001,F$3,Base!$B$3:$B$5001,$A$5)))</f>
        <v/>
      </c>
      <c r="G20" s="96" t="str">
        <f>IF(G$3="","",IF(COUNTIFS(Base!$A$3:$A$5001,G$3,Base!$B$3:$B$5001,$A$5,Base!$AC$3:$AC$5001,"&lt;&gt;")=0,"",SUMIFS(Base!$AC$3:$AC$5001,Base!$A$3:$A$5001,G$3,Base!$B$3:$B$5001,$A$5)))</f>
        <v/>
      </c>
      <c r="H20" s="96" t="str">
        <f>IF(H$3="","",IF(COUNTIFS(Base!$A$3:$A$5001,H$3,Base!$B$3:$B$5001,$A$5,Base!$AC$3:$AC$5001,"&lt;&gt;")=0,"",SUMIFS(Base!$AC$3:$AC$5001,Base!$A$3:$A$5001,H$3,Base!$B$3:$B$5001,$A$5)))</f>
        <v/>
      </c>
      <c r="I20" s="96" t="str">
        <f>IF(I$3="","",IF(COUNTIFS(Base!$A$3:$A$5001,I$3,Base!$B$3:$B$5001,$A$5,Base!$AC$3:$AC$5001,"&lt;&gt;")=0,"",SUMIFS(Base!$AC$3:$AC$5001,Base!$A$3:$A$5001,I$3,Base!$B$3:$B$5001,$A$5)))</f>
        <v/>
      </c>
      <c r="J20" s="96" t="str">
        <f>IF(J$3="","",IF(COUNTIFS(Base!$A$3:$A$5001,J$3,Base!$B$3:$B$5001,$A$5,Base!$AC$3:$AC$5001,"&lt;&gt;")=0,"",SUMIFS(Base!$AC$3:$AC$5001,Base!$A$3:$A$5001,J$3,Base!$B$3:$B$5001,$A$5)))</f>
        <v/>
      </c>
      <c r="K20" s="96" t="str">
        <f>IF(K$3="","",IF(COUNTIFS(Base!$A$3:$A$5001,K$3,Base!$B$3:$B$5001,$A$5,Base!$AC$3:$AC$5001,"&lt;&gt;")=0,"",SUMIFS(Base!$AC$3:$AC$5001,Base!$A$3:$A$5001,K$3,Base!$B$3:$B$5001,$A$5)))</f>
        <v/>
      </c>
      <c r="L20" s="96" t="str">
        <f>IF(L$3="","",IF(COUNTIFS(Base!$A$3:$A$5001,L$3,Base!$B$3:$B$5001,$A$5,Base!$AC$3:$AC$5001,"&lt;&gt;")=0,"",SUMIFS(Base!$AC$3:$AC$5001,Base!$A$3:$A$5001,L$3,Base!$B$3:$B$5001,$A$5)))</f>
        <v/>
      </c>
      <c r="M20" s="96" t="str">
        <f>IF(M$3="","",IF(COUNTIFS(Base!$A$3:$A$5001,M$3,Base!$B$3:$B$5001,$A$5,Base!$AC$3:$AC$5001,"&lt;&gt;")=0,"",SUMIFS(Base!$AC$3:$AC$5001,Base!$A$3:$A$5001,M$3,Base!$B$3:$B$5001,$A$5)))</f>
        <v/>
      </c>
      <c r="N20" s="96" t="str">
        <f>IF(N$3="","",IF(COUNTIFS(Base!$A$3:$A$5001,N$3,Base!$B$3:$B$5001,$A$5,Base!$AC$3:$AC$5001,"&lt;&gt;")=0,"",SUMIFS(Base!$AC$3:$AC$5001,Base!$A$3:$A$5001,N$3,Base!$B$3:$B$5001,$A$5)))</f>
        <v/>
      </c>
      <c r="O20" s="96" t="str">
        <f>IF(O$3="","",IF(COUNTIFS(Base!$A$3:$A$5001,O$3,Base!$B$3:$B$5001,$A$5,Base!$AC$3:$AC$5001,"&lt;&gt;")=0,"",SUMIFS(Base!$AC$3:$AC$5001,Base!$A$3:$A$5001,O$3,Base!$B$3:$B$5001,$A$5)))</f>
        <v/>
      </c>
      <c r="P20" s="96" t="str">
        <f>IF(P$3="","",IF(COUNTIFS(Base!$A$3:$A$5001,P$3,Base!$B$3:$B$5001,$A$5,Base!$AC$3:$AC$5001,"&lt;&gt;")=0,"",SUMIFS(Base!$AC$3:$AC$5001,Base!$A$3:$A$5001,P$3,Base!$B$3:$B$5001,$A$5)))</f>
        <v/>
      </c>
      <c r="Q20" s="96" t="str">
        <f>IF(Q$3="","",IF(COUNTIFS(Base!$A$3:$A$5001,Q$3,Base!$B$3:$B$5001,$A$5,Base!$AC$3:$AC$5001,"&lt;&gt;")=0,"",SUMIFS(Base!$AC$3:$AC$5001,Base!$A$3:$A$5001,Q$3,Base!$B$3:$B$5001,$A$5)))</f>
        <v/>
      </c>
      <c r="R20" s="96" t="str">
        <f>IF(R$3="","",IF(COUNTIFS(Base!$A$3:$A$5001,R$3,Base!$B$3:$B$5001,$A$5,Base!$AC$3:$AC$5001,"&lt;&gt;")=0,"",SUMIFS(Base!$AC$3:$AC$5001,Base!$A$3:$A$5001,R$3,Base!$B$3:$B$5001,$A$5)))</f>
        <v/>
      </c>
      <c r="S20" s="96" t="str">
        <f>IF(S$3="","",IF(COUNTIFS(Base!$A$3:$A$5001,S$3,Base!$B$3:$B$5001,$A$5,Base!$AC$3:$AC$5001,"&lt;&gt;")=0,"",SUMIFS(Base!$AC$3:$AC$5001,Base!$A$3:$A$5001,S$3,Base!$B$3:$B$5001,$A$5)))</f>
        <v/>
      </c>
      <c r="T20" s="96" t="str">
        <f>IF(T$3="","",IF(COUNTIFS(Base!$A$3:$A$5001,T$3,Base!$B$3:$B$5001,$A$5,Base!$AC$3:$AC$5001,"&lt;&gt;")=0,"",SUMIFS(Base!$AC$3:$AC$5001,Base!$A$3:$A$5001,T$3,Base!$B$3:$B$5001,$A$5)))</f>
        <v/>
      </c>
      <c r="U20" s="96" t="str">
        <f>IF(U$3="","",IF(COUNTIFS(Base!$A$3:$A$5001,U$3,Base!$B$3:$B$5001,$A$5,Base!$AC$3:$AC$5001,"&lt;&gt;")=0,"",SUMIFS(Base!$AC$3:$AC$5001,Base!$A$3:$A$5001,U$3,Base!$B$3:$B$5001,$A$5)))</f>
        <v/>
      </c>
      <c r="V20" s="96" t="str">
        <f>IF(V$3="","",IF(COUNTIFS(Base!$A$3:$A$5001,V$3,Base!$B$3:$B$5001,$A$5,Base!$AC$3:$AC$5001,"&lt;&gt;")=0,"",SUMIFS(Base!$AC$3:$AC$5001,Base!$A$3:$A$5001,V$3,Base!$B$3:$B$5001,$A$5)))</f>
        <v/>
      </c>
      <c r="W20" s="96" t="str">
        <f>IF(W$3="","",IF(COUNTIFS(Base!$A$3:$A$5001,W$3,Base!$B$3:$B$5001,$A$5,Base!$AC$3:$AC$5001,"&lt;&gt;")=0,"",SUMIFS(Base!$AC$3:$AC$5001,Base!$A$3:$A$5001,W$3,Base!$B$3:$B$5001,$A$5)))</f>
        <v/>
      </c>
      <c r="X20" s="96" t="str">
        <f>IF(X$3="","",IF(COUNTIFS(Base!$A$3:$A$5001,X$3,Base!$B$3:$B$5001,$A$5,Base!$AC$3:$AC$5001,"&lt;&gt;")=0,"",SUMIFS(Base!$AC$3:$AC$5001,Base!$A$3:$A$5001,X$3,Base!$B$3:$B$5001,$A$5)))</f>
        <v/>
      </c>
      <c r="Y20" s="96" t="str">
        <f>IF(Y$3="","",IF(COUNTIFS(Base!$A$3:$A$5001,Y$3,Base!$B$3:$B$5001,$A$5,Base!$AC$3:$AC$5001,"&lt;&gt;")=0,"",SUMIFS(Base!$AC$3:$AC$5001,Base!$A$3:$A$5001,Y$3,Base!$B$3:$B$5001,$A$5)))</f>
        <v/>
      </c>
      <c r="Z20" s="96" t="str">
        <f>IF(Z$3="","",IF(COUNTIFS(Base!$A$3:$A$5001,Z$3,Base!$B$3:$B$5001,$A$5,Base!$AC$3:$AC$5001,"&lt;&gt;")=0,"",SUMIFS(Base!$AC$3:$AC$5001,Base!$A$3:$A$5001,Z$3,Base!$B$3:$B$5001,$A$5)))</f>
        <v/>
      </c>
      <c r="AA20" s="96" t="str">
        <f>IF(AA$3="","",IF(COUNTIFS(Base!$A$3:$A$5001,AA$3,Base!$B$3:$B$5001,$A$5,Base!$AC$3:$AC$5001,"&lt;&gt;")=0,"",SUMIFS(Base!$AC$3:$AC$5001,Base!$A$3:$A$5001,AA$3,Base!$B$3:$B$5001,$A$5)))</f>
        <v/>
      </c>
      <c r="AB20" s="96" t="str">
        <f>IF(AB$3="","",IF(COUNTIFS(Base!$A$3:$A$5001,AB$3,Base!$B$3:$B$5001,$A$5,Base!$AC$3:$AC$5001,"&lt;&gt;")=0,"",SUMIFS(Base!$AC$3:$AC$5001,Base!$A$3:$A$5001,AB$3,Base!$B$3:$B$5001,$A$5)))</f>
        <v/>
      </c>
      <c r="AC20" s="96" t="str">
        <f>IF(AC$3="","",IF(COUNTIFS(Base!$A$3:$A$5001,AC$3,Base!$B$3:$B$5001,$A$5,Base!$AC$3:$AC$5001,"&lt;&gt;")=0,"",SUMIFS(Base!$AC$3:$AC$5001,Base!$A$3:$A$5001,AC$3,Base!$B$3:$B$5001,$A$5)))</f>
        <v/>
      </c>
      <c r="AD20" s="96" t="str">
        <f>IF(AD$3="","",IF(COUNTIFS(Base!$A$3:$A$5001,AD$3,Base!$B$3:$B$5001,$A$5,Base!$AC$3:$AC$5001,"&lt;&gt;")=0,"",SUMIFS(Base!$AC$3:$AC$5001,Base!$A$3:$A$5001,AD$3,Base!$B$3:$B$5001,$A$5)))</f>
        <v/>
      </c>
      <c r="AE20" s="96" t="str">
        <f>IF(AE$3="","",IF(COUNTIFS(Base!$A$3:$A$5001,AE$3,Base!$B$3:$B$5001,$A$5,Base!$AC$3:$AC$5001,"&lt;&gt;")=0,"",SUMIFS(Base!$AC$3:$AC$5001,Base!$A$3:$A$5001,AE$3,Base!$B$3:$B$5001,$A$5)))</f>
        <v/>
      </c>
      <c r="AF20" s="96" t="str">
        <f>IF(AF$3="","",IF(COUNTIFS(Base!$A$3:$A$5001,AF$3,Base!$B$3:$B$5001,$A$5,Base!$AC$3:$AC$5001,"&lt;&gt;")=0,"",SUMIFS(Base!$AC$3:$AC$5001,Base!$A$3:$A$5001,AF$3,Base!$B$3:$B$5001,$A$5)))</f>
        <v/>
      </c>
      <c r="AG20" s="96" t="str">
        <f>IF(AG$3="","",IF(COUNTIFS(Base!$A$3:$A$5001,AG$3,Base!$B$3:$B$5001,$A$5,Base!$AC$3:$AC$5001,"&lt;&gt;")=0,"",SUMIFS(Base!$AC$3:$AC$5001,Base!$A$3:$A$5001,AG$3,Base!$B$3:$B$5001,$A$5)))</f>
        <v/>
      </c>
      <c r="AH20" s="96" t="str">
        <f>IF(AH$3="","",IF(COUNTIFS(Base!$A$3:$A$5001,AH$3,Base!$B$3:$B$5001,$A$5,Base!$AC$3:$AC$5001,"&lt;&gt;")=0,"",SUMIFS(Base!$AC$3:$AC$5001,Base!$A$3:$A$5001,AH$3,Base!$B$3:$B$5001,$A$5)))</f>
        <v/>
      </c>
      <c r="AI20" s="96" t="str">
        <f>IF(AI$3="","",IF(COUNTIFS(Base!$A$3:$A$5001,AI$3,Base!$B$3:$B$5001,$A$5,Base!$AC$3:$AC$5001,"&lt;&gt;")=0,"",SUMIFS(Base!$AC$3:$AC$5001,Base!$A$3:$A$5001,AI$3,Base!$B$3:$B$5001,$A$5)))</f>
        <v/>
      </c>
      <c r="AJ20" s="97" t="str">
        <f>IF(AJ$3="","",IF(COUNTIFS(Base!$A$3:$A$5001,AJ$3,Base!$B$3:$B$5001,$A$5,Base!$AC$3:$AC$5001,"&lt;&gt;")=0,"",SUMIFS(Base!$AC$3:$AC$5001,Base!$A$3:$A$5001,AJ$3,Base!$B$3:$B$5001,$A$5)))</f>
        <v/>
      </c>
      <c r="AK20" s="98" t="str">
        <f>IF(COUNT(F20:AJ20)=0,"",SUM(F20:AJ20))</f>
        <v/>
      </c>
    </row>
    <row r="21" ht="15.75" customHeight="1">
      <c r="A21" s="119"/>
      <c r="B21" s="116"/>
      <c r="C21" s="99" t="inlineStr">
        <is>
          <t xml:space="preserve">Desligamentos</t>
        </is>
      </c>
      <c r="D21" s="100" t="str">
        <f>IFERROR(1/(1/INDEX(calculos!$C$55:$K$83,MATCH("Desligamentos",calculos!$A$55:$A$83,0),MATCH($A$5,calculos!$C$54:$K$54,0))),"")</f>
        <v/>
      </c>
      <c r="E21" s="101"/>
      <c r="F21" s="102" t="str">
        <f>IF(F$3="","",IF(COUNTIFS(Base!$A$3:$A$5001,F$3,Base!$B$3:$B$5001,$A$5,Base!$AD$3:$AD$5001,"&lt;&gt;")=0,"",SUMIFS(Base!$AD$3:$AD$5001,Base!$A$3:$A$5001,F$3,Base!$B$3:$B$5001,$A$5)))</f>
        <v/>
      </c>
      <c r="G21" s="103" t="str">
        <f>IF(G$3="","",IF(COUNTIFS(Base!$A$3:$A$5001,G$3,Base!$B$3:$B$5001,$A$5,Base!$AD$3:$AD$5001,"&lt;&gt;")=0,"",SUMIFS(Base!$AD$3:$AD$5001,Base!$A$3:$A$5001,G$3,Base!$B$3:$B$5001,$A$5)))</f>
        <v/>
      </c>
      <c r="H21" s="103" t="str">
        <f>IF(H$3="","",IF(COUNTIFS(Base!$A$3:$A$5001,H$3,Base!$B$3:$B$5001,$A$5,Base!$AD$3:$AD$5001,"&lt;&gt;")=0,"",SUMIFS(Base!$AD$3:$AD$5001,Base!$A$3:$A$5001,H$3,Base!$B$3:$B$5001,$A$5)))</f>
        <v/>
      </c>
      <c r="I21" s="103" t="str">
        <f>IF(I$3="","",IF(COUNTIFS(Base!$A$3:$A$5001,I$3,Base!$B$3:$B$5001,$A$5,Base!$AD$3:$AD$5001,"&lt;&gt;")=0,"",SUMIFS(Base!$AD$3:$AD$5001,Base!$A$3:$A$5001,I$3,Base!$B$3:$B$5001,$A$5)))</f>
        <v/>
      </c>
      <c r="J21" s="103" t="str">
        <f>IF(J$3="","",IF(COUNTIFS(Base!$A$3:$A$5001,J$3,Base!$B$3:$B$5001,$A$5,Base!$AD$3:$AD$5001,"&lt;&gt;")=0,"",SUMIFS(Base!$AD$3:$AD$5001,Base!$A$3:$A$5001,J$3,Base!$B$3:$B$5001,$A$5)))</f>
        <v/>
      </c>
      <c r="K21" s="103" t="str">
        <f>IF(K$3="","",IF(COUNTIFS(Base!$A$3:$A$5001,K$3,Base!$B$3:$B$5001,$A$5,Base!$AD$3:$AD$5001,"&lt;&gt;")=0,"",SUMIFS(Base!$AD$3:$AD$5001,Base!$A$3:$A$5001,K$3,Base!$B$3:$B$5001,$A$5)))</f>
        <v/>
      </c>
      <c r="L21" s="103" t="str">
        <f>IF(L$3="","",IF(COUNTIFS(Base!$A$3:$A$5001,L$3,Base!$B$3:$B$5001,$A$5,Base!$AD$3:$AD$5001,"&lt;&gt;")=0,"",SUMIFS(Base!$AD$3:$AD$5001,Base!$A$3:$A$5001,L$3,Base!$B$3:$B$5001,$A$5)))</f>
        <v/>
      </c>
      <c r="M21" s="103" t="str">
        <f>IF(M$3="","",IF(COUNTIFS(Base!$A$3:$A$5001,M$3,Base!$B$3:$B$5001,$A$5,Base!$AD$3:$AD$5001,"&lt;&gt;")=0,"",SUMIFS(Base!$AD$3:$AD$5001,Base!$A$3:$A$5001,M$3,Base!$B$3:$B$5001,$A$5)))</f>
        <v/>
      </c>
      <c r="N21" s="103" t="str">
        <f>IF(N$3="","",IF(COUNTIFS(Base!$A$3:$A$5001,N$3,Base!$B$3:$B$5001,$A$5,Base!$AD$3:$AD$5001,"&lt;&gt;")=0,"",SUMIFS(Base!$AD$3:$AD$5001,Base!$A$3:$A$5001,N$3,Base!$B$3:$B$5001,$A$5)))</f>
        <v/>
      </c>
      <c r="O21" s="103" t="str">
        <f>IF(O$3="","",IF(COUNTIFS(Base!$A$3:$A$5001,O$3,Base!$B$3:$B$5001,$A$5,Base!$AD$3:$AD$5001,"&lt;&gt;")=0,"",SUMIFS(Base!$AD$3:$AD$5001,Base!$A$3:$A$5001,O$3,Base!$B$3:$B$5001,$A$5)))</f>
        <v/>
      </c>
      <c r="P21" s="103" t="str">
        <f>IF(P$3="","",IF(COUNTIFS(Base!$A$3:$A$5001,P$3,Base!$B$3:$B$5001,$A$5,Base!$AD$3:$AD$5001,"&lt;&gt;")=0,"",SUMIFS(Base!$AD$3:$AD$5001,Base!$A$3:$A$5001,P$3,Base!$B$3:$B$5001,$A$5)))</f>
        <v/>
      </c>
      <c r="Q21" s="103" t="str">
        <f>IF(Q$3="","",IF(COUNTIFS(Base!$A$3:$A$5001,Q$3,Base!$B$3:$B$5001,$A$5,Base!$AD$3:$AD$5001,"&lt;&gt;")=0,"",SUMIFS(Base!$AD$3:$AD$5001,Base!$A$3:$A$5001,Q$3,Base!$B$3:$B$5001,$A$5)))</f>
        <v/>
      </c>
      <c r="R21" s="103" t="str">
        <f>IF(R$3="","",IF(COUNTIFS(Base!$A$3:$A$5001,R$3,Base!$B$3:$B$5001,$A$5,Base!$AD$3:$AD$5001,"&lt;&gt;")=0,"",SUMIFS(Base!$AD$3:$AD$5001,Base!$A$3:$A$5001,R$3,Base!$B$3:$B$5001,$A$5)))</f>
        <v/>
      </c>
      <c r="S21" s="103" t="str">
        <f>IF(S$3="","",IF(COUNTIFS(Base!$A$3:$A$5001,S$3,Base!$B$3:$B$5001,$A$5,Base!$AD$3:$AD$5001,"&lt;&gt;")=0,"",SUMIFS(Base!$AD$3:$AD$5001,Base!$A$3:$A$5001,S$3,Base!$B$3:$B$5001,$A$5)))</f>
        <v/>
      </c>
      <c r="T21" s="103" t="str">
        <f>IF(T$3="","",IF(COUNTIFS(Base!$A$3:$A$5001,T$3,Base!$B$3:$B$5001,$A$5,Base!$AD$3:$AD$5001,"&lt;&gt;")=0,"",SUMIFS(Base!$AD$3:$AD$5001,Base!$A$3:$A$5001,T$3,Base!$B$3:$B$5001,$A$5)))</f>
        <v/>
      </c>
      <c r="U21" s="103" t="str">
        <f>IF(U$3="","",IF(COUNTIFS(Base!$A$3:$A$5001,U$3,Base!$B$3:$B$5001,$A$5,Base!$AD$3:$AD$5001,"&lt;&gt;")=0,"",SUMIFS(Base!$AD$3:$AD$5001,Base!$A$3:$A$5001,U$3,Base!$B$3:$B$5001,$A$5)))</f>
        <v/>
      </c>
      <c r="V21" s="103" t="str">
        <f>IF(V$3="","",IF(COUNTIFS(Base!$A$3:$A$5001,V$3,Base!$B$3:$B$5001,$A$5,Base!$AD$3:$AD$5001,"&lt;&gt;")=0,"",SUMIFS(Base!$AD$3:$AD$5001,Base!$A$3:$A$5001,V$3,Base!$B$3:$B$5001,$A$5)))</f>
        <v/>
      </c>
      <c r="W21" s="103" t="str">
        <f>IF(W$3="","",IF(COUNTIFS(Base!$A$3:$A$5001,W$3,Base!$B$3:$B$5001,$A$5,Base!$AD$3:$AD$5001,"&lt;&gt;")=0,"",SUMIFS(Base!$AD$3:$AD$5001,Base!$A$3:$A$5001,W$3,Base!$B$3:$B$5001,$A$5)))</f>
        <v/>
      </c>
      <c r="X21" s="103" t="str">
        <f>IF(X$3="","",IF(COUNTIFS(Base!$A$3:$A$5001,X$3,Base!$B$3:$B$5001,$A$5,Base!$AD$3:$AD$5001,"&lt;&gt;")=0,"",SUMIFS(Base!$AD$3:$AD$5001,Base!$A$3:$A$5001,X$3,Base!$B$3:$B$5001,$A$5)))</f>
        <v/>
      </c>
      <c r="Y21" s="103" t="str">
        <f>IF(Y$3="","",IF(COUNTIFS(Base!$A$3:$A$5001,Y$3,Base!$B$3:$B$5001,$A$5,Base!$AD$3:$AD$5001,"&lt;&gt;")=0,"",SUMIFS(Base!$AD$3:$AD$5001,Base!$A$3:$A$5001,Y$3,Base!$B$3:$B$5001,$A$5)))</f>
        <v/>
      </c>
      <c r="Z21" s="103" t="str">
        <f>IF(Z$3="","",IF(COUNTIFS(Base!$A$3:$A$5001,Z$3,Base!$B$3:$B$5001,$A$5,Base!$AD$3:$AD$5001,"&lt;&gt;")=0,"",SUMIFS(Base!$AD$3:$AD$5001,Base!$A$3:$A$5001,Z$3,Base!$B$3:$B$5001,$A$5)))</f>
        <v/>
      </c>
      <c r="AA21" s="103" t="str">
        <f>IF(AA$3="","",IF(COUNTIFS(Base!$A$3:$A$5001,AA$3,Base!$B$3:$B$5001,$A$5,Base!$AD$3:$AD$5001,"&lt;&gt;")=0,"",SUMIFS(Base!$AD$3:$AD$5001,Base!$A$3:$A$5001,AA$3,Base!$B$3:$B$5001,$A$5)))</f>
        <v/>
      </c>
      <c r="AB21" s="103" t="str">
        <f>IF(AB$3="","",IF(COUNTIFS(Base!$A$3:$A$5001,AB$3,Base!$B$3:$B$5001,$A$5,Base!$AD$3:$AD$5001,"&lt;&gt;")=0,"",SUMIFS(Base!$AD$3:$AD$5001,Base!$A$3:$A$5001,AB$3,Base!$B$3:$B$5001,$A$5)))</f>
        <v/>
      </c>
      <c r="AC21" s="103" t="str">
        <f>IF(AC$3="","",IF(COUNTIFS(Base!$A$3:$A$5001,AC$3,Base!$B$3:$B$5001,$A$5,Base!$AD$3:$AD$5001,"&lt;&gt;")=0,"",SUMIFS(Base!$AD$3:$AD$5001,Base!$A$3:$A$5001,AC$3,Base!$B$3:$B$5001,$A$5)))</f>
        <v/>
      </c>
      <c r="AD21" s="103" t="str">
        <f>IF(AD$3="","",IF(COUNTIFS(Base!$A$3:$A$5001,AD$3,Base!$B$3:$B$5001,$A$5,Base!$AD$3:$AD$5001,"&lt;&gt;")=0,"",SUMIFS(Base!$AD$3:$AD$5001,Base!$A$3:$A$5001,AD$3,Base!$B$3:$B$5001,$A$5)))</f>
        <v/>
      </c>
      <c r="AE21" s="103" t="str">
        <f>IF(AE$3="","",IF(COUNTIFS(Base!$A$3:$A$5001,AE$3,Base!$B$3:$B$5001,$A$5,Base!$AD$3:$AD$5001,"&lt;&gt;")=0,"",SUMIFS(Base!$AD$3:$AD$5001,Base!$A$3:$A$5001,AE$3,Base!$B$3:$B$5001,$A$5)))</f>
        <v/>
      </c>
      <c r="AF21" s="103" t="str">
        <f>IF(AF$3="","",IF(COUNTIFS(Base!$A$3:$A$5001,AF$3,Base!$B$3:$B$5001,$A$5,Base!$AD$3:$AD$5001,"&lt;&gt;")=0,"",SUMIFS(Base!$AD$3:$AD$5001,Base!$A$3:$A$5001,AF$3,Base!$B$3:$B$5001,$A$5)))</f>
        <v/>
      </c>
      <c r="AG21" s="103" t="str">
        <f>IF(AG$3="","",IF(COUNTIFS(Base!$A$3:$A$5001,AG$3,Base!$B$3:$B$5001,$A$5,Base!$AD$3:$AD$5001,"&lt;&gt;")=0,"",SUMIFS(Base!$AD$3:$AD$5001,Base!$A$3:$A$5001,AG$3,Base!$B$3:$B$5001,$A$5)))</f>
        <v/>
      </c>
      <c r="AH21" s="103" t="str">
        <f>IF(AH$3="","",IF(COUNTIFS(Base!$A$3:$A$5001,AH$3,Base!$B$3:$B$5001,$A$5,Base!$AD$3:$AD$5001,"&lt;&gt;")=0,"",SUMIFS(Base!$AD$3:$AD$5001,Base!$A$3:$A$5001,AH$3,Base!$B$3:$B$5001,$A$5)))</f>
        <v/>
      </c>
      <c r="AI21" s="103" t="str">
        <f>IF(AI$3="","",IF(COUNTIFS(Base!$A$3:$A$5001,AI$3,Base!$B$3:$B$5001,$A$5,Base!$AD$3:$AD$5001,"&lt;&gt;")=0,"",SUMIFS(Base!$AD$3:$AD$5001,Base!$A$3:$A$5001,AI$3,Base!$B$3:$B$5001,$A$5)))</f>
        <v/>
      </c>
      <c r="AJ21" s="104" t="str">
        <f>IF(AJ$3="","",IF(COUNTIFS(Base!$A$3:$A$5001,AJ$3,Base!$B$3:$B$5001,$A$5,Base!$AD$3:$AD$5001,"&lt;&gt;")=0,"",SUMIFS(Base!$AD$3:$AD$5001,Base!$A$3:$A$5001,AJ$3,Base!$B$3:$B$5001,$A$5)))</f>
        <v/>
      </c>
      <c r="AK21" s="100" t="str">
        <f>IF(COUNT(F21:AJ21)=0,"",SUM(F21:AJ21))</f>
        <v/>
      </c>
    </row>
    <row r="23" ht="15.75" customHeight="1">
      <c r="A23" s="117" t="inlineStr">
        <is>
          <t xml:space="preserve">BEAUTYBIZ</t>
        </is>
      </c>
      <c r="B23" s="105" t="inlineStr">
        <is>
          <t xml:space="preserve">IN</t>
        </is>
      </c>
      <c r="C23" s="21" t="inlineStr">
        <is>
          <t xml:space="preserve">Veículos Recebidos</t>
        </is>
      </c>
      <c r="D23" s="22" t="str">
        <f>IFERROR(1/(1/INDEX(calculos!$C$55:$K$83,MATCH("IN Veículos Recebidos",calculos!$A$55:$A$83,0),MATCH($A$23,calculos!$C$54:$K$54,0))),"")</f>
        <v/>
      </c>
      <c r="E23" s="23"/>
      <c r="F23" s="24" t="str">
        <f>IF(F$3="","",IF(COUNTIFS(Base!$A$3:$A$5001,F$3,Base!$B$3:$B$5001,$A$23,Base!$C$3:$C$5001,"&lt;&gt;")=0,"",SUMIFS(Base!$C$3:$C$5001,Base!$A$3:$A$5001,F$3,Base!$B$3:$B$5001,$A$23)))</f>
        <v/>
      </c>
      <c r="G23" s="25" t="str">
        <f>IF(G$3="","",IF(COUNTIFS(Base!$A$3:$A$5001,G$3,Base!$B$3:$B$5001,$A$23,Base!$C$3:$C$5001,"&lt;&gt;")=0,"",SUMIFS(Base!$C$3:$C$5001,Base!$A$3:$A$5001,G$3,Base!$B$3:$B$5001,$A$23)))</f>
        <v/>
      </c>
      <c r="H23" s="25" t="str">
        <f>IF(H$3="","",IF(COUNTIFS(Base!$A$3:$A$5001,H$3,Base!$B$3:$B$5001,$A$23,Base!$C$3:$C$5001,"&lt;&gt;")=0,"",SUMIFS(Base!$C$3:$C$5001,Base!$A$3:$A$5001,H$3,Base!$B$3:$B$5001,$A$23)))</f>
        <v/>
      </c>
      <c r="I23" s="25" t="str">
        <f>IF(I$3="","",IF(COUNTIFS(Base!$A$3:$A$5001,I$3,Base!$B$3:$B$5001,$A$23,Base!$C$3:$C$5001,"&lt;&gt;")=0,"",SUMIFS(Base!$C$3:$C$5001,Base!$A$3:$A$5001,I$3,Base!$B$3:$B$5001,$A$23)))</f>
        <v/>
      </c>
      <c r="J23" s="25" t="str">
        <f>IF(J$3="","",IF(COUNTIFS(Base!$A$3:$A$5001,J$3,Base!$B$3:$B$5001,$A$23,Base!$C$3:$C$5001,"&lt;&gt;")=0,"",SUMIFS(Base!$C$3:$C$5001,Base!$A$3:$A$5001,J$3,Base!$B$3:$B$5001,$A$23)))</f>
        <v/>
      </c>
      <c r="K23" s="25" t="str">
        <f>IF(K$3="","",IF(COUNTIFS(Base!$A$3:$A$5001,K$3,Base!$B$3:$B$5001,$A$23,Base!$C$3:$C$5001,"&lt;&gt;")=0,"",SUMIFS(Base!$C$3:$C$5001,Base!$A$3:$A$5001,K$3,Base!$B$3:$B$5001,$A$23)))</f>
        <v/>
      </c>
      <c r="L23" s="25" t="str">
        <f>IF(L$3="","",IF(COUNTIFS(Base!$A$3:$A$5001,L$3,Base!$B$3:$B$5001,$A$23,Base!$C$3:$C$5001,"&lt;&gt;")=0,"",SUMIFS(Base!$C$3:$C$5001,Base!$A$3:$A$5001,L$3,Base!$B$3:$B$5001,$A$23)))</f>
        <v/>
      </c>
      <c r="M23" s="25" t="str">
        <f>IF(M$3="","",IF(COUNTIFS(Base!$A$3:$A$5001,M$3,Base!$B$3:$B$5001,$A$23,Base!$C$3:$C$5001,"&lt;&gt;")=0,"",SUMIFS(Base!$C$3:$C$5001,Base!$A$3:$A$5001,M$3,Base!$B$3:$B$5001,$A$23)))</f>
        <v/>
      </c>
      <c r="N23" s="25" t="str">
        <f>IF(N$3="","",IF(COUNTIFS(Base!$A$3:$A$5001,N$3,Base!$B$3:$B$5001,$A$23,Base!$C$3:$C$5001,"&lt;&gt;")=0,"",SUMIFS(Base!$C$3:$C$5001,Base!$A$3:$A$5001,N$3,Base!$B$3:$B$5001,$A$23)))</f>
        <v/>
      </c>
      <c r="O23" s="25" t="str">
        <f>IF(O$3="","",IF(COUNTIFS(Base!$A$3:$A$5001,O$3,Base!$B$3:$B$5001,$A$23,Base!$C$3:$C$5001,"&lt;&gt;")=0,"",SUMIFS(Base!$C$3:$C$5001,Base!$A$3:$A$5001,O$3,Base!$B$3:$B$5001,$A$23)))</f>
        <v/>
      </c>
      <c r="P23" s="25" t="str">
        <f>IF(P$3="","",IF(COUNTIFS(Base!$A$3:$A$5001,P$3,Base!$B$3:$B$5001,$A$23,Base!$C$3:$C$5001,"&lt;&gt;")=0,"",SUMIFS(Base!$C$3:$C$5001,Base!$A$3:$A$5001,P$3,Base!$B$3:$B$5001,$A$23)))</f>
        <v/>
      </c>
      <c r="Q23" s="25" t="str">
        <f>IF(Q$3="","",IF(COUNTIFS(Base!$A$3:$A$5001,Q$3,Base!$B$3:$B$5001,$A$23,Base!$C$3:$C$5001,"&lt;&gt;")=0,"",SUMIFS(Base!$C$3:$C$5001,Base!$A$3:$A$5001,Q$3,Base!$B$3:$B$5001,$A$23)))</f>
        <v/>
      </c>
      <c r="R23" s="25" t="str">
        <f>IF(R$3="","",IF(COUNTIFS(Base!$A$3:$A$5001,R$3,Base!$B$3:$B$5001,$A$23,Base!$C$3:$C$5001,"&lt;&gt;")=0,"",SUMIFS(Base!$C$3:$C$5001,Base!$A$3:$A$5001,R$3,Base!$B$3:$B$5001,$A$23)))</f>
        <v/>
      </c>
      <c r="S23" s="25" t="str">
        <f>IF(S$3="","",IF(COUNTIFS(Base!$A$3:$A$5001,S$3,Base!$B$3:$B$5001,$A$23,Base!$C$3:$C$5001,"&lt;&gt;")=0,"",SUMIFS(Base!$C$3:$C$5001,Base!$A$3:$A$5001,S$3,Base!$B$3:$B$5001,$A$23)))</f>
        <v/>
      </c>
      <c r="T23" s="25" t="str">
        <f>IF(T$3="","",IF(COUNTIFS(Base!$A$3:$A$5001,T$3,Base!$B$3:$B$5001,$A$23,Base!$C$3:$C$5001,"&lt;&gt;")=0,"",SUMIFS(Base!$C$3:$C$5001,Base!$A$3:$A$5001,T$3,Base!$B$3:$B$5001,$A$23)))</f>
        <v/>
      </c>
      <c r="U23" s="25" t="str">
        <f>IF(U$3="","",IF(COUNTIFS(Base!$A$3:$A$5001,U$3,Base!$B$3:$B$5001,$A$23,Base!$C$3:$C$5001,"&lt;&gt;")=0,"",SUMIFS(Base!$C$3:$C$5001,Base!$A$3:$A$5001,U$3,Base!$B$3:$B$5001,$A$23)))</f>
        <v/>
      </c>
      <c r="V23" s="25" t="str">
        <f>IF(V$3="","",IF(COUNTIFS(Base!$A$3:$A$5001,V$3,Base!$B$3:$B$5001,$A$23,Base!$C$3:$C$5001,"&lt;&gt;")=0,"",SUMIFS(Base!$C$3:$C$5001,Base!$A$3:$A$5001,V$3,Base!$B$3:$B$5001,$A$23)))</f>
        <v/>
      </c>
      <c r="W23" s="25" t="str">
        <f>IF(W$3="","",IF(COUNTIFS(Base!$A$3:$A$5001,W$3,Base!$B$3:$B$5001,$A$23,Base!$C$3:$C$5001,"&lt;&gt;")=0,"",SUMIFS(Base!$C$3:$C$5001,Base!$A$3:$A$5001,W$3,Base!$B$3:$B$5001,$A$23)))</f>
        <v/>
      </c>
      <c r="X23" s="25" t="str">
        <f>IF(X$3="","",IF(COUNTIFS(Base!$A$3:$A$5001,X$3,Base!$B$3:$B$5001,$A$23,Base!$C$3:$C$5001,"&lt;&gt;")=0,"",SUMIFS(Base!$C$3:$C$5001,Base!$A$3:$A$5001,X$3,Base!$B$3:$B$5001,$A$23)))</f>
        <v/>
      </c>
      <c r="Y23" s="25" t="str">
        <f>IF(Y$3="","",IF(COUNTIFS(Base!$A$3:$A$5001,Y$3,Base!$B$3:$B$5001,$A$23,Base!$C$3:$C$5001,"&lt;&gt;")=0,"",SUMIFS(Base!$C$3:$C$5001,Base!$A$3:$A$5001,Y$3,Base!$B$3:$B$5001,$A$23)))</f>
        <v/>
      </c>
      <c r="Z23" s="25" t="str">
        <f>IF(Z$3="","",IF(COUNTIFS(Base!$A$3:$A$5001,Z$3,Base!$B$3:$B$5001,$A$23,Base!$C$3:$C$5001,"&lt;&gt;")=0,"",SUMIFS(Base!$C$3:$C$5001,Base!$A$3:$A$5001,Z$3,Base!$B$3:$B$5001,$A$23)))</f>
        <v/>
      </c>
      <c r="AA23" s="25" t="str">
        <f>IF(AA$3="","",IF(COUNTIFS(Base!$A$3:$A$5001,AA$3,Base!$B$3:$B$5001,$A$23,Base!$C$3:$C$5001,"&lt;&gt;")=0,"",SUMIFS(Base!$C$3:$C$5001,Base!$A$3:$A$5001,AA$3,Base!$B$3:$B$5001,$A$23)))</f>
        <v/>
      </c>
      <c r="AB23" s="25" t="str">
        <f>IF(AB$3="","",IF(COUNTIFS(Base!$A$3:$A$5001,AB$3,Base!$B$3:$B$5001,$A$23,Base!$C$3:$C$5001,"&lt;&gt;")=0,"",SUMIFS(Base!$C$3:$C$5001,Base!$A$3:$A$5001,AB$3,Base!$B$3:$B$5001,$A$23)))</f>
        <v/>
      </c>
      <c r="AC23" s="25" t="str">
        <f>IF(AC$3="","",IF(COUNTIFS(Base!$A$3:$A$5001,AC$3,Base!$B$3:$B$5001,$A$23,Base!$C$3:$C$5001,"&lt;&gt;")=0,"",SUMIFS(Base!$C$3:$C$5001,Base!$A$3:$A$5001,AC$3,Base!$B$3:$B$5001,$A$23)))</f>
        <v/>
      </c>
      <c r="AD23" s="25" t="str">
        <f>IF(AD$3="","",IF(COUNTIFS(Base!$A$3:$A$5001,AD$3,Base!$B$3:$B$5001,$A$23,Base!$C$3:$C$5001,"&lt;&gt;")=0,"",SUMIFS(Base!$C$3:$C$5001,Base!$A$3:$A$5001,AD$3,Base!$B$3:$B$5001,$A$23)))</f>
        <v/>
      </c>
      <c r="AE23" s="25" t="str">
        <f>IF(AE$3="","",IF(COUNTIFS(Base!$A$3:$A$5001,AE$3,Base!$B$3:$B$5001,$A$23,Base!$C$3:$C$5001,"&lt;&gt;")=0,"",SUMIFS(Base!$C$3:$C$5001,Base!$A$3:$A$5001,AE$3,Base!$B$3:$B$5001,$A$23)))</f>
        <v/>
      </c>
      <c r="AF23" s="25" t="str">
        <f>IF(AF$3="","",IF(COUNTIFS(Base!$A$3:$A$5001,AF$3,Base!$B$3:$B$5001,$A$23,Base!$C$3:$C$5001,"&lt;&gt;")=0,"",SUMIFS(Base!$C$3:$C$5001,Base!$A$3:$A$5001,AF$3,Base!$B$3:$B$5001,$A$23)))</f>
        <v/>
      </c>
      <c r="AG23" s="25" t="str">
        <f>IF(AG$3="","",IF(COUNTIFS(Base!$A$3:$A$5001,AG$3,Base!$B$3:$B$5001,$A$23,Base!$C$3:$C$5001,"&lt;&gt;")=0,"",SUMIFS(Base!$C$3:$C$5001,Base!$A$3:$A$5001,AG$3,Base!$B$3:$B$5001,$A$23)))</f>
        <v/>
      </c>
      <c r="AH23" s="25" t="str">
        <f>IF(AH$3="","",IF(COUNTIFS(Base!$A$3:$A$5001,AH$3,Base!$B$3:$B$5001,$A$23,Base!$C$3:$C$5001,"&lt;&gt;")=0,"",SUMIFS(Base!$C$3:$C$5001,Base!$A$3:$A$5001,AH$3,Base!$B$3:$B$5001,$A$23)))</f>
        <v/>
      </c>
      <c r="AI23" s="25" t="str">
        <f>IF(AI$3="","",IF(COUNTIFS(Base!$A$3:$A$5001,AI$3,Base!$B$3:$B$5001,$A$23,Base!$C$3:$C$5001,"&lt;&gt;")=0,"",SUMIFS(Base!$C$3:$C$5001,Base!$A$3:$A$5001,AI$3,Base!$B$3:$B$5001,$A$23)))</f>
        <v/>
      </c>
      <c r="AJ23" s="26" t="str">
        <f>IF(AJ$3="","",IF(COUNTIFS(Base!$A$3:$A$5001,AJ$3,Base!$B$3:$B$5001,$A$23,Base!$C$3:$C$5001,"&lt;&gt;")=0,"",SUMIFS(Base!$C$3:$C$5001,Base!$A$3:$A$5001,AJ$3,Base!$B$3:$B$5001,$A$23)))</f>
        <v/>
      </c>
      <c r="AK23" s="27" t="str">
        <f>IF(COUNT(F23:AJ23)=0,"",SUM(F23:AJ23))</f>
        <v/>
      </c>
    </row>
    <row r="24" ht="15.75" customHeight="1">
      <c r="A24" s="118"/>
      <c r="B24" s="106"/>
      <c r="C24" s="28" t="inlineStr">
        <is>
          <t xml:space="preserve">Pallets Movimentados</t>
        </is>
      </c>
      <c r="D24" s="29" t="str">
        <f>IFERROR(1/(1/INDEX(calculos!$C$55:$K$83,MATCH("IN Pallets Movimentados",calculos!$A$55:$A$83,0),MATCH($A$23,calculos!$C$54:$K$54,0))),"")</f>
        <v/>
      </c>
      <c r="E24" s="30"/>
      <c r="F24" s="31" t="str">
        <f>IF(F$3="","",IF(COUNTIFS(Base!$A$3:$A$5001,F$3,Base!$B$3:$B$5001,$A$23,Base!$D$3:$D$5001,"&lt;&gt;")=0,"",SUMIFS(Base!$D$3:$D$5001,Base!$A$3:$A$5001,F$3,Base!$B$3:$B$5001,$A$23)))</f>
        <v/>
      </c>
      <c r="G24" s="32" t="str">
        <f>IF(G$3="","",IF(COUNTIFS(Base!$A$3:$A$5001,G$3,Base!$B$3:$B$5001,$A$23,Base!$D$3:$D$5001,"&lt;&gt;")=0,"",SUMIFS(Base!$D$3:$D$5001,Base!$A$3:$A$5001,G$3,Base!$B$3:$B$5001,$A$23)))</f>
        <v/>
      </c>
      <c r="H24" s="32" t="str">
        <f>IF(H$3="","",IF(COUNTIFS(Base!$A$3:$A$5001,H$3,Base!$B$3:$B$5001,$A$23,Base!$D$3:$D$5001,"&lt;&gt;")=0,"",SUMIFS(Base!$D$3:$D$5001,Base!$A$3:$A$5001,H$3,Base!$B$3:$B$5001,$A$23)))</f>
        <v/>
      </c>
      <c r="I24" s="32" t="str">
        <f>IF(I$3="","",IF(COUNTIFS(Base!$A$3:$A$5001,I$3,Base!$B$3:$B$5001,$A$23,Base!$D$3:$D$5001,"&lt;&gt;")=0,"",SUMIFS(Base!$D$3:$D$5001,Base!$A$3:$A$5001,I$3,Base!$B$3:$B$5001,$A$23)))</f>
        <v/>
      </c>
      <c r="J24" s="32" t="str">
        <f>IF(J$3="","",IF(COUNTIFS(Base!$A$3:$A$5001,J$3,Base!$B$3:$B$5001,$A$23,Base!$D$3:$D$5001,"&lt;&gt;")=0,"",SUMIFS(Base!$D$3:$D$5001,Base!$A$3:$A$5001,J$3,Base!$B$3:$B$5001,$A$23)))</f>
        <v/>
      </c>
      <c r="K24" s="32" t="str">
        <f>IF(K$3="","",IF(COUNTIFS(Base!$A$3:$A$5001,K$3,Base!$B$3:$B$5001,$A$23,Base!$D$3:$D$5001,"&lt;&gt;")=0,"",SUMIFS(Base!$D$3:$D$5001,Base!$A$3:$A$5001,K$3,Base!$B$3:$B$5001,$A$23)))</f>
        <v/>
      </c>
      <c r="L24" s="32" t="str">
        <f>IF(L$3="","",IF(COUNTIFS(Base!$A$3:$A$5001,L$3,Base!$B$3:$B$5001,$A$23,Base!$D$3:$D$5001,"&lt;&gt;")=0,"",SUMIFS(Base!$D$3:$D$5001,Base!$A$3:$A$5001,L$3,Base!$B$3:$B$5001,$A$23)))</f>
        <v/>
      </c>
      <c r="M24" s="32" t="str">
        <f>IF(M$3="","",IF(COUNTIFS(Base!$A$3:$A$5001,M$3,Base!$B$3:$B$5001,$A$23,Base!$D$3:$D$5001,"&lt;&gt;")=0,"",SUMIFS(Base!$D$3:$D$5001,Base!$A$3:$A$5001,M$3,Base!$B$3:$B$5001,$A$23)))</f>
        <v/>
      </c>
      <c r="N24" s="32" t="str">
        <f>IF(N$3="","",IF(COUNTIFS(Base!$A$3:$A$5001,N$3,Base!$B$3:$B$5001,$A$23,Base!$D$3:$D$5001,"&lt;&gt;")=0,"",SUMIFS(Base!$D$3:$D$5001,Base!$A$3:$A$5001,N$3,Base!$B$3:$B$5001,$A$23)))</f>
        <v/>
      </c>
      <c r="O24" s="32" t="str">
        <f>IF(O$3="","",IF(COUNTIFS(Base!$A$3:$A$5001,O$3,Base!$B$3:$B$5001,$A$23,Base!$D$3:$D$5001,"&lt;&gt;")=0,"",SUMIFS(Base!$D$3:$D$5001,Base!$A$3:$A$5001,O$3,Base!$B$3:$B$5001,$A$23)))</f>
        <v/>
      </c>
      <c r="P24" s="32" t="str">
        <f>IF(P$3="","",IF(COUNTIFS(Base!$A$3:$A$5001,P$3,Base!$B$3:$B$5001,$A$23,Base!$D$3:$D$5001,"&lt;&gt;")=0,"",SUMIFS(Base!$D$3:$D$5001,Base!$A$3:$A$5001,P$3,Base!$B$3:$B$5001,$A$23)))</f>
        <v/>
      </c>
      <c r="Q24" s="32" t="str">
        <f>IF(Q$3="","",IF(COUNTIFS(Base!$A$3:$A$5001,Q$3,Base!$B$3:$B$5001,$A$23,Base!$D$3:$D$5001,"&lt;&gt;")=0,"",SUMIFS(Base!$D$3:$D$5001,Base!$A$3:$A$5001,Q$3,Base!$B$3:$B$5001,$A$23)))</f>
        <v/>
      </c>
      <c r="R24" s="32" t="str">
        <f>IF(R$3="","",IF(COUNTIFS(Base!$A$3:$A$5001,R$3,Base!$B$3:$B$5001,$A$23,Base!$D$3:$D$5001,"&lt;&gt;")=0,"",SUMIFS(Base!$D$3:$D$5001,Base!$A$3:$A$5001,R$3,Base!$B$3:$B$5001,$A$23)))</f>
        <v/>
      </c>
      <c r="S24" s="32" t="str">
        <f>IF(S$3="","",IF(COUNTIFS(Base!$A$3:$A$5001,S$3,Base!$B$3:$B$5001,$A$23,Base!$D$3:$D$5001,"&lt;&gt;")=0,"",SUMIFS(Base!$D$3:$D$5001,Base!$A$3:$A$5001,S$3,Base!$B$3:$B$5001,$A$23)))</f>
        <v/>
      </c>
      <c r="T24" s="32" t="str">
        <f>IF(T$3="","",IF(COUNTIFS(Base!$A$3:$A$5001,T$3,Base!$B$3:$B$5001,$A$23,Base!$D$3:$D$5001,"&lt;&gt;")=0,"",SUMIFS(Base!$D$3:$D$5001,Base!$A$3:$A$5001,T$3,Base!$B$3:$B$5001,$A$23)))</f>
        <v/>
      </c>
      <c r="U24" s="32" t="str">
        <f>IF(U$3="","",IF(COUNTIFS(Base!$A$3:$A$5001,U$3,Base!$B$3:$B$5001,$A$23,Base!$D$3:$D$5001,"&lt;&gt;")=0,"",SUMIFS(Base!$D$3:$D$5001,Base!$A$3:$A$5001,U$3,Base!$B$3:$B$5001,$A$23)))</f>
        <v/>
      </c>
      <c r="V24" s="32" t="str">
        <f>IF(V$3="","",IF(COUNTIFS(Base!$A$3:$A$5001,V$3,Base!$B$3:$B$5001,$A$23,Base!$D$3:$D$5001,"&lt;&gt;")=0,"",SUMIFS(Base!$D$3:$D$5001,Base!$A$3:$A$5001,V$3,Base!$B$3:$B$5001,$A$23)))</f>
        <v/>
      </c>
      <c r="W24" s="32" t="str">
        <f>IF(W$3="","",IF(COUNTIFS(Base!$A$3:$A$5001,W$3,Base!$B$3:$B$5001,$A$23,Base!$D$3:$D$5001,"&lt;&gt;")=0,"",SUMIFS(Base!$D$3:$D$5001,Base!$A$3:$A$5001,W$3,Base!$B$3:$B$5001,$A$23)))</f>
        <v/>
      </c>
      <c r="X24" s="32" t="str">
        <f>IF(X$3="","",IF(COUNTIFS(Base!$A$3:$A$5001,X$3,Base!$B$3:$B$5001,$A$23,Base!$D$3:$D$5001,"&lt;&gt;")=0,"",SUMIFS(Base!$D$3:$D$5001,Base!$A$3:$A$5001,X$3,Base!$B$3:$B$5001,$A$23)))</f>
        <v/>
      </c>
      <c r="Y24" s="32" t="str">
        <f>IF(Y$3="","",IF(COUNTIFS(Base!$A$3:$A$5001,Y$3,Base!$B$3:$B$5001,$A$23,Base!$D$3:$D$5001,"&lt;&gt;")=0,"",SUMIFS(Base!$D$3:$D$5001,Base!$A$3:$A$5001,Y$3,Base!$B$3:$B$5001,$A$23)))</f>
        <v/>
      </c>
      <c r="Z24" s="32" t="str">
        <f>IF(Z$3="","",IF(COUNTIFS(Base!$A$3:$A$5001,Z$3,Base!$B$3:$B$5001,$A$23,Base!$D$3:$D$5001,"&lt;&gt;")=0,"",SUMIFS(Base!$D$3:$D$5001,Base!$A$3:$A$5001,Z$3,Base!$B$3:$B$5001,$A$23)))</f>
        <v/>
      </c>
      <c r="AA24" s="32" t="str">
        <f>IF(AA$3="","",IF(COUNTIFS(Base!$A$3:$A$5001,AA$3,Base!$B$3:$B$5001,$A$23,Base!$D$3:$D$5001,"&lt;&gt;")=0,"",SUMIFS(Base!$D$3:$D$5001,Base!$A$3:$A$5001,AA$3,Base!$B$3:$B$5001,$A$23)))</f>
        <v/>
      </c>
      <c r="AB24" s="32" t="str">
        <f>IF(AB$3="","",IF(COUNTIFS(Base!$A$3:$A$5001,AB$3,Base!$B$3:$B$5001,$A$23,Base!$D$3:$D$5001,"&lt;&gt;")=0,"",SUMIFS(Base!$D$3:$D$5001,Base!$A$3:$A$5001,AB$3,Base!$B$3:$B$5001,$A$23)))</f>
        <v/>
      </c>
      <c r="AC24" s="32" t="str">
        <f>IF(AC$3="","",IF(COUNTIFS(Base!$A$3:$A$5001,AC$3,Base!$B$3:$B$5001,$A$23,Base!$D$3:$D$5001,"&lt;&gt;")=0,"",SUMIFS(Base!$D$3:$D$5001,Base!$A$3:$A$5001,AC$3,Base!$B$3:$B$5001,$A$23)))</f>
        <v/>
      </c>
      <c r="AD24" s="32" t="str">
        <f>IF(AD$3="","",IF(COUNTIFS(Base!$A$3:$A$5001,AD$3,Base!$B$3:$B$5001,$A$23,Base!$D$3:$D$5001,"&lt;&gt;")=0,"",SUMIFS(Base!$D$3:$D$5001,Base!$A$3:$A$5001,AD$3,Base!$B$3:$B$5001,$A$23)))</f>
        <v/>
      </c>
      <c r="AE24" s="32" t="str">
        <f>IF(AE$3="","",IF(COUNTIFS(Base!$A$3:$A$5001,AE$3,Base!$B$3:$B$5001,$A$23,Base!$D$3:$D$5001,"&lt;&gt;")=0,"",SUMIFS(Base!$D$3:$D$5001,Base!$A$3:$A$5001,AE$3,Base!$B$3:$B$5001,$A$23)))</f>
        <v/>
      </c>
      <c r="AF24" s="32" t="str">
        <f>IF(AF$3="","",IF(COUNTIFS(Base!$A$3:$A$5001,AF$3,Base!$B$3:$B$5001,$A$23,Base!$D$3:$D$5001,"&lt;&gt;")=0,"",SUMIFS(Base!$D$3:$D$5001,Base!$A$3:$A$5001,AF$3,Base!$B$3:$B$5001,$A$23)))</f>
        <v/>
      </c>
      <c r="AG24" s="32" t="str">
        <f>IF(AG$3="","",IF(COUNTIFS(Base!$A$3:$A$5001,AG$3,Base!$B$3:$B$5001,$A$23,Base!$D$3:$D$5001,"&lt;&gt;")=0,"",SUMIFS(Base!$D$3:$D$5001,Base!$A$3:$A$5001,AG$3,Base!$B$3:$B$5001,$A$23)))</f>
        <v/>
      </c>
      <c r="AH24" s="32" t="str">
        <f>IF(AH$3="","",IF(COUNTIFS(Base!$A$3:$A$5001,AH$3,Base!$B$3:$B$5001,$A$23,Base!$D$3:$D$5001,"&lt;&gt;")=0,"",SUMIFS(Base!$D$3:$D$5001,Base!$A$3:$A$5001,AH$3,Base!$B$3:$B$5001,$A$23)))</f>
        <v/>
      </c>
      <c r="AI24" s="32" t="str">
        <f>IF(AI$3="","",IF(COUNTIFS(Base!$A$3:$A$5001,AI$3,Base!$B$3:$B$5001,$A$23,Base!$D$3:$D$5001,"&lt;&gt;")=0,"",SUMIFS(Base!$D$3:$D$5001,Base!$A$3:$A$5001,AI$3,Base!$B$3:$B$5001,$A$23)))</f>
        <v/>
      </c>
      <c r="AJ24" s="33" t="str">
        <f>IF(AJ$3="","",IF(COUNTIFS(Base!$A$3:$A$5001,AJ$3,Base!$B$3:$B$5001,$A$23,Base!$D$3:$D$5001,"&lt;&gt;")=0,"",SUMIFS(Base!$D$3:$D$5001,Base!$A$3:$A$5001,AJ$3,Base!$B$3:$B$5001,$A$23)))</f>
        <v/>
      </c>
      <c r="AK24" s="34" t="str">
        <f>IF(COUNT(F24:AJ24)=0,"",SUM(F24:AJ24))</f>
        <v/>
      </c>
    </row>
    <row r="25" ht="15.75" customHeight="1">
      <c r="A25" s="118"/>
      <c r="B25" s="107"/>
      <c r="C25" s="35" t="inlineStr">
        <is>
          <t xml:space="preserve">Caixas Movimentadas</t>
        </is>
      </c>
      <c r="D25" s="469" t="str">
        <f>IFERROR(1/(1/INDEX(calculos!$C$55:$K$83,MATCH("IN Caixas Movimentadas",calculos!$A$55:$A$83,0),MATCH($A$23,calculos!$C$54:$K$54,0))),"")</f>
        <v/>
      </c>
      <c r="E25" s="37"/>
      <c r="F25" s="470" t="str">
        <f>IF(F$3="","",IF(COUNTIFS(Base!$A$3:$A$5001,F$3,Base!$B$3:$B$5001,$A$23,Base!$F$3:$F$5001,"&lt;&gt;")=0,"",SUMIFS(Base!$F$3:$F$5001,Base!$A$3:$A$5001,F$3,Base!$B$3:$B$5001,$A$23)))</f>
        <v/>
      </c>
      <c r="G25" s="471" t="str">
        <f>IF(G$3="","",IF(COUNTIFS(Base!$A$3:$A$5001,G$3,Base!$B$3:$B$5001,$A$23,Base!$F$3:$F$5001,"&lt;&gt;")=0,"",SUMIFS(Base!$F$3:$F$5001,Base!$A$3:$A$5001,G$3,Base!$B$3:$B$5001,$A$23)))</f>
        <v/>
      </c>
      <c r="H25" s="471" t="str">
        <f>IF(H$3="","",IF(COUNTIFS(Base!$A$3:$A$5001,H$3,Base!$B$3:$B$5001,$A$23,Base!$F$3:$F$5001,"&lt;&gt;")=0,"",SUMIFS(Base!$F$3:$F$5001,Base!$A$3:$A$5001,H$3,Base!$B$3:$B$5001,$A$23)))</f>
        <v/>
      </c>
      <c r="I25" s="471" t="str">
        <f>IF(I$3="","",IF(COUNTIFS(Base!$A$3:$A$5001,I$3,Base!$B$3:$B$5001,$A$23,Base!$F$3:$F$5001,"&lt;&gt;")=0,"",SUMIFS(Base!$F$3:$F$5001,Base!$A$3:$A$5001,I$3,Base!$B$3:$B$5001,$A$23)))</f>
        <v/>
      </c>
      <c r="J25" s="471" t="str">
        <f>IF(J$3="","",IF(COUNTIFS(Base!$A$3:$A$5001,J$3,Base!$B$3:$B$5001,$A$23,Base!$F$3:$F$5001,"&lt;&gt;")=0,"",SUMIFS(Base!$F$3:$F$5001,Base!$A$3:$A$5001,J$3,Base!$B$3:$B$5001,$A$23)))</f>
        <v/>
      </c>
      <c r="K25" s="471" t="str">
        <f>IF(K$3="","",IF(COUNTIFS(Base!$A$3:$A$5001,K$3,Base!$B$3:$B$5001,$A$23,Base!$F$3:$F$5001,"&lt;&gt;")=0,"",SUMIFS(Base!$F$3:$F$5001,Base!$A$3:$A$5001,K$3,Base!$B$3:$B$5001,$A$23)))</f>
        <v/>
      </c>
      <c r="L25" s="471" t="str">
        <f>IF(L$3="","",IF(COUNTIFS(Base!$A$3:$A$5001,L$3,Base!$B$3:$B$5001,$A$23,Base!$F$3:$F$5001,"&lt;&gt;")=0,"",SUMIFS(Base!$F$3:$F$5001,Base!$A$3:$A$5001,L$3,Base!$B$3:$B$5001,$A$23)))</f>
        <v/>
      </c>
      <c r="M25" s="471" t="str">
        <f>IF(M$3="","",IF(COUNTIFS(Base!$A$3:$A$5001,M$3,Base!$B$3:$B$5001,$A$23,Base!$F$3:$F$5001,"&lt;&gt;")=0,"",SUMIFS(Base!$F$3:$F$5001,Base!$A$3:$A$5001,M$3,Base!$B$3:$B$5001,$A$23)))</f>
        <v/>
      </c>
      <c r="N25" s="471" t="str">
        <f>IF(N$3="","",IF(COUNTIFS(Base!$A$3:$A$5001,N$3,Base!$B$3:$B$5001,$A$23,Base!$F$3:$F$5001,"&lt;&gt;")=0,"",SUMIFS(Base!$F$3:$F$5001,Base!$A$3:$A$5001,N$3,Base!$B$3:$B$5001,$A$23)))</f>
        <v/>
      </c>
      <c r="O25" s="471" t="str">
        <f>IF(O$3="","",IF(COUNTIFS(Base!$A$3:$A$5001,O$3,Base!$B$3:$B$5001,$A$23,Base!$F$3:$F$5001,"&lt;&gt;")=0,"",SUMIFS(Base!$F$3:$F$5001,Base!$A$3:$A$5001,O$3,Base!$B$3:$B$5001,$A$23)))</f>
        <v/>
      </c>
      <c r="P25" s="471" t="str">
        <f>IF(P$3="","",IF(COUNTIFS(Base!$A$3:$A$5001,P$3,Base!$B$3:$B$5001,$A$23,Base!$F$3:$F$5001,"&lt;&gt;")=0,"",SUMIFS(Base!$F$3:$F$5001,Base!$A$3:$A$5001,P$3,Base!$B$3:$B$5001,$A$23)))</f>
        <v/>
      </c>
      <c r="Q25" s="471" t="str">
        <f>IF(Q$3="","",IF(COUNTIFS(Base!$A$3:$A$5001,Q$3,Base!$B$3:$B$5001,$A$23,Base!$F$3:$F$5001,"&lt;&gt;")=0,"",SUMIFS(Base!$F$3:$F$5001,Base!$A$3:$A$5001,Q$3,Base!$B$3:$B$5001,$A$23)))</f>
        <v/>
      </c>
      <c r="R25" s="471" t="str">
        <f>IF(R$3="","",IF(COUNTIFS(Base!$A$3:$A$5001,R$3,Base!$B$3:$B$5001,$A$23,Base!$F$3:$F$5001,"&lt;&gt;")=0,"",SUMIFS(Base!$F$3:$F$5001,Base!$A$3:$A$5001,R$3,Base!$B$3:$B$5001,$A$23)))</f>
        <v/>
      </c>
      <c r="S25" s="471" t="str">
        <f>IF(S$3="","",IF(COUNTIFS(Base!$A$3:$A$5001,S$3,Base!$B$3:$B$5001,$A$23,Base!$F$3:$F$5001,"&lt;&gt;")=0,"",SUMIFS(Base!$F$3:$F$5001,Base!$A$3:$A$5001,S$3,Base!$B$3:$B$5001,$A$23)))</f>
        <v/>
      </c>
      <c r="T25" s="471" t="str">
        <f>IF(T$3="","",IF(COUNTIFS(Base!$A$3:$A$5001,T$3,Base!$B$3:$B$5001,$A$23,Base!$F$3:$F$5001,"&lt;&gt;")=0,"",SUMIFS(Base!$F$3:$F$5001,Base!$A$3:$A$5001,T$3,Base!$B$3:$B$5001,$A$23)))</f>
        <v/>
      </c>
      <c r="U25" s="471" t="str">
        <f>IF(U$3="","",IF(COUNTIFS(Base!$A$3:$A$5001,U$3,Base!$B$3:$B$5001,$A$23,Base!$F$3:$F$5001,"&lt;&gt;")=0,"",SUMIFS(Base!$F$3:$F$5001,Base!$A$3:$A$5001,U$3,Base!$B$3:$B$5001,$A$23)))</f>
        <v/>
      </c>
      <c r="V25" s="471" t="str">
        <f>IF(V$3="","",IF(COUNTIFS(Base!$A$3:$A$5001,V$3,Base!$B$3:$B$5001,$A$23,Base!$F$3:$F$5001,"&lt;&gt;")=0,"",SUMIFS(Base!$F$3:$F$5001,Base!$A$3:$A$5001,V$3,Base!$B$3:$B$5001,$A$23)))</f>
        <v/>
      </c>
      <c r="W25" s="471" t="str">
        <f>IF(W$3="","",IF(COUNTIFS(Base!$A$3:$A$5001,W$3,Base!$B$3:$B$5001,$A$23,Base!$F$3:$F$5001,"&lt;&gt;")=0,"",SUMIFS(Base!$F$3:$F$5001,Base!$A$3:$A$5001,W$3,Base!$B$3:$B$5001,$A$23)))</f>
        <v/>
      </c>
      <c r="X25" s="471" t="str">
        <f>IF(X$3="","",IF(COUNTIFS(Base!$A$3:$A$5001,X$3,Base!$B$3:$B$5001,$A$23,Base!$F$3:$F$5001,"&lt;&gt;")=0,"",SUMIFS(Base!$F$3:$F$5001,Base!$A$3:$A$5001,X$3,Base!$B$3:$B$5001,$A$23)))</f>
        <v/>
      </c>
      <c r="Y25" s="471" t="str">
        <f>IF(Y$3="","",IF(COUNTIFS(Base!$A$3:$A$5001,Y$3,Base!$B$3:$B$5001,$A$23,Base!$F$3:$F$5001,"&lt;&gt;")=0,"",SUMIFS(Base!$F$3:$F$5001,Base!$A$3:$A$5001,Y$3,Base!$B$3:$B$5001,$A$23)))</f>
        <v/>
      </c>
      <c r="Z25" s="471" t="str">
        <f>IF(Z$3="","",IF(COUNTIFS(Base!$A$3:$A$5001,Z$3,Base!$B$3:$B$5001,$A$23,Base!$F$3:$F$5001,"&lt;&gt;")=0,"",SUMIFS(Base!$F$3:$F$5001,Base!$A$3:$A$5001,Z$3,Base!$B$3:$B$5001,$A$23)))</f>
        <v/>
      </c>
      <c r="AA25" s="471" t="str">
        <f>IF(AA$3="","",IF(COUNTIFS(Base!$A$3:$A$5001,AA$3,Base!$B$3:$B$5001,$A$23,Base!$F$3:$F$5001,"&lt;&gt;")=0,"",SUMIFS(Base!$F$3:$F$5001,Base!$A$3:$A$5001,AA$3,Base!$B$3:$B$5001,$A$23)))</f>
        <v/>
      </c>
      <c r="AB25" s="471" t="str">
        <f>IF(AB$3="","",IF(COUNTIFS(Base!$A$3:$A$5001,AB$3,Base!$B$3:$B$5001,$A$23,Base!$F$3:$F$5001,"&lt;&gt;")=0,"",SUMIFS(Base!$F$3:$F$5001,Base!$A$3:$A$5001,AB$3,Base!$B$3:$B$5001,$A$23)))</f>
        <v/>
      </c>
      <c r="AC25" s="471" t="str">
        <f>IF(AC$3="","",IF(COUNTIFS(Base!$A$3:$A$5001,AC$3,Base!$B$3:$B$5001,$A$23,Base!$F$3:$F$5001,"&lt;&gt;")=0,"",SUMIFS(Base!$F$3:$F$5001,Base!$A$3:$A$5001,AC$3,Base!$B$3:$B$5001,$A$23)))</f>
        <v/>
      </c>
      <c r="AD25" s="471" t="str">
        <f>IF(AD$3="","",IF(COUNTIFS(Base!$A$3:$A$5001,AD$3,Base!$B$3:$B$5001,$A$23,Base!$F$3:$F$5001,"&lt;&gt;")=0,"",SUMIFS(Base!$F$3:$F$5001,Base!$A$3:$A$5001,AD$3,Base!$B$3:$B$5001,$A$23)))</f>
        <v/>
      </c>
      <c r="AE25" s="471" t="str">
        <f>IF(AE$3="","",IF(COUNTIFS(Base!$A$3:$A$5001,AE$3,Base!$B$3:$B$5001,$A$23,Base!$F$3:$F$5001,"&lt;&gt;")=0,"",SUMIFS(Base!$F$3:$F$5001,Base!$A$3:$A$5001,AE$3,Base!$B$3:$B$5001,$A$23)))</f>
        <v/>
      </c>
      <c r="AF25" s="471" t="str">
        <f>IF(AF$3="","",IF(COUNTIFS(Base!$A$3:$A$5001,AF$3,Base!$B$3:$B$5001,$A$23,Base!$F$3:$F$5001,"&lt;&gt;")=0,"",SUMIFS(Base!$F$3:$F$5001,Base!$A$3:$A$5001,AF$3,Base!$B$3:$B$5001,$A$23)))</f>
        <v/>
      </c>
      <c r="AG25" s="471" t="str">
        <f>IF(AG$3="","",IF(COUNTIFS(Base!$A$3:$A$5001,AG$3,Base!$B$3:$B$5001,$A$23,Base!$F$3:$F$5001,"&lt;&gt;")=0,"",SUMIFS(Base!$F$3:$F$5001,Base!$A$3:$A$5001,AG$3,Base!$B$3:$B$5001,$A$23)))</f>
        <v/>
      </c>
      <c r="AH25" s="471" t="str">
        <f>IF(AH$3="","",IF(COUNTIFS(Base!$A$3:$A$5001,AH$3,Base!$B$3:$B$5001,$A$23,Base!$F$3:$F$5001,"&lt;&gt;")=0,"",SUMIFS(Base!$F$3:$F$5001,Base!$A$3:$A$5001,AH$3,Base!$B$3:$B$5001,$A$23)))</f>
        <v/>
      </c>
      <c r="AI25" s="471" t="str">
        <f>IF(AI$3="","",IF(COUNTIFS(Base!$A$3:$A$5001,AI$3,Base!$B$3:$B$5001,$A$23,Base!$F$3:$F$5001,"&lt;&gt;")=0,"",SUMIFS(Base!$F$3:$F$5001,Base!$A$3:$A$5001,AI$3,Base!$B$3:$B$5001,$A$23)))</f>
        <v/>
      </c>
      <c r="AJ25" s="472" t="str">
        <f>IF(AJ$3="","",IF(COUNTIFS(Base!$A$3:$A$5001,AJ$3,Base!$B$3:$B$5001,$A$23,Base!$F$3:$F$5001,"&lt;&gt;")=0,"",SUMIFS(Base!$F$3:$F$5001,Base!$A$3:$A$5001,AJ$3,Base!$B$3:$B$5001,$A$23)))</f>
        <v/>
      </c>
      <c r="AK25" s="469" t="str">
        <f>IF(COUNT(F25:AJ25)=0,"",SUM(F25:AJ25))</f>
        <v/>
      </c>
    </row>
    <row r="26" ht="15.75" customHeight="1">
      <c r="A26" s="118"/>
      <c r="B26" s="108" t="inlineStr">
        <is>
          <t xml:space="preserve">OUT</t>
        </is>
      </c>
      <c r="C26" s="41" t="inlineStr">
        <is>
          <t xml:space="preserve">Veículos Expedidos</t>
        </is>
      </c>
      <c r="D26" s="42" t="str">
        <f>IFERROR(1/(1/INDEX(calculos!$C$55:$K$83,MATCH("OUT Veículos Expedidos",calculos!$A$55:$A$83,0),MATCH($A$23,calculos!$C$54:$K$54,0))),"")</f>
        <v/>
      </c>
      <c r="E26" s="43"/>
      <c r="F26" s="44" t="str">
        <f>IF(F$3="","",IF(COUNTIFS(Base!$A$3:$A$5001,F$3,Base!$B$3:$B$5001,$A$23,Base!$L$3:$L$5001,"&lt;&gt;")=0,"",SUMIFS(Base!$L$3:$L$5001,Base!$A$3:$A$5001,F$3,Base!$B$3:$B$5001,$A$23)))</f>
        <v/>
      </c>
      <c r="G26" s="45" t="str">
        <f>IF(G$3="","",IF(COUNTIFS(Base!$A$3:$A$5001,G$3,Base!$B$3:$B$5001,$A$23,Base!$L$3:$L$5001,"&lt;&gt;")=0,"",SUMIFS(Base!$L$3:$L$5001,Base!$A$3:$A$5001,G$3,Base!$B$3:$B$5001,$A$23)))</f>
        <v/>
      </c>
      <c r="H26" s="45" t="str">
        <f>IF(H$3="","",IF(COUNTIFS(Base!$A$3:$A$5001,H$3,Base!$B$3:$B$5001,$A$23,Base!$L$3:$L$5001,"&lt;&gt;")=0,"",SUMIFS(Base!$L$3:$L$5001,Base!$A$3:$A$5001,H$3,Base!$B$3:$B$5001,$A$23)))</f>
        <v/>
      </c>
      <c r="I26" s="45" t="str">
        <f>IF(I$3="","",IF(COUNTIFS(Base!$A$3:$A$5001,I$3,Base!$B$3:$B$5001,$A$23,Base!$L$3:$L$5001,"&lt;&gt;")=0,"",SUMIFS(Base!$L$3:$L$5001,Base!$A$3:$A$5001,I$3,Base!$B$3:$B$5001,$A$23)))</f>
        <v/>
      </c>
      <c r="J26" s="45" t="str">
        <f>IF(J$3="","",IF(COUNTIFS(Base!$A$3:$A$5001,J$3,Base!$B$3:$B$5001,$A$23,Base!$L$3:$L$5001,"&lt;&gt;")=0,"",SUMIFS(Base!$L$3:$L$5001,Base!$A$3:$A$5001,J$3,Base!$B$3:$B$5001,$A$23)))</f>
        <v/>
      </c>
      <c r="K26" s="45" t="str">
        <f>IF(K$3="","",IF(COUNTIFS(Base!$A$3:$A$5001,K$3,Base!$B$3:$B$5001,$A$23,Base!$L$3:$L$5001,"&lt;&gt;")=0,"",SUMIFS(Base!$L$3:$L$5001,Base!$A$3:$A$5001,K$3,Base!$B$3:$B$5001,$A$23)))</f>
        <v/>
      </c>
      <c r="L26" s="45" t="str">
        <f>IF(L$3="","",IF(COUNTIFS(Base!$A$3:$A$5001,L$3,Base!$B$3:$B$5001,$A$23,Base!$L$3:$L$5001,"&lt;&gt;")=0,"",SUMIFS(Base!$L$3:$L$5001,Base!$A$3:$A$5001,L$3,Base!$B$3:$B$5001,$A$23)))</f>
        <v/>
      </c>
      <c r="M26" s="45" t="str">
        <f>IF(M$3="","",IF(COUNTIFS(Base!$A$3:$A$5001,M$3,Base!$B$3:$B$5001,$A$23,Base!$L$3:$L$5001,"&lt;&gt;")=0,"",SUMIFS(Base!$L$3:$L$5001,Base!$A$3:$A$5001,M$3,Base!$B$3:$B$5001,$A$23)))</f>
        <v/>
      </c>
      <c r="N26" s="45" t="str">
        <f>IF(N$3="","",IF(COUNTIFS(Base!$A$3:$A$5001,N$3,Base!$B$3:$B$5001,$A$23,Base!$L$3:$L$5001,"&lt;&gt;")=0,"",SUMIFS(Base!$L$3:$L$5001,Base!$A$3:$A$5001,N$3,Base!$B$3:$B$5001,$A$23)))</f>
        <v/>
      </c>
      <c r="O26" s="45" t="str">
        <f>IF(O$3="","",IF(COUNTIFS(Base!$A$3:$A$5001,O$3,Base!$B$3:$B$5001,$A$23,Base!$L$3:$L$5001,"&lt;&gt;")=0,"",SUMIFS(Base!$L$3:$L$5001,Base!$A$3:$A$5001,O$3,Base!$B$3:$B$5001,$A$23)))</f>
        <v/>
      </c>
      <c r="P26" s="45" t="str">
        <f>IF(P$3="","",IF(COUNTIFS(Base!$A$3:$A$5001,P$3,Base!$B$3:$B$5001,$A$23,Base!$L$3:$L$5001,"&lt;&gt;")=0,"",SUMIFS(Base!$L$3:$L$5001,Base!$A$3:$A$5001,P$3,Base!$B$3:$B$5001,$A$23)))</f>
        <v/>
      </c>
      <c r="Q26" s="45" t="str">
        <f>IF(Q$3="","",IF(COUNTIFS(Base!$A$3:$A$5001,Q$3,Base!$B$3:$B$5001,$A$23,Base!$L$3:$L$5001,"&lt;&gt;")=0,"",SUMIFS(Base!$L$3:$L$5001,Base!$A$3:$A$5001,Q$3,Base!$B$3:$B$5001,$A$23)))</f>
        <v/>
      </c>
      <c r="R26" s="45" t="str">
        <f>IF(R$3="","",IF(COUNTIFS(Base!$A$3:$A$5001,R$3,Base!$B$3:$B$5001,$A$23,Base!$L$3:$L$5001,"&lt;&gt;")=0,"",SUMIFS(Base!$L$3:$L$5001,Base!$A$3:$A$5001,R$3,Base!$B$3:$B$5001,$A$23)))</f>
        <v/>
      </c>
      <c r="S26" s="45" t="str">
        <f>IF(S$3="","",IF(COUNTIFS(Base!$A$3:$A$5001,S$3,Base!$B$3:$B$5001,$A$23,Base!$L$3:$L$5001,"&lt;&gt;")=0,"",SUMIFS(Base!$L$3:$L$5001,Base!$A$3:$A$5001,S$3,Base!$B$3:$B$5001,$A$23)))</f>
        <v/>
      </c>
      <c r="T26" s="45" t="str">
        <f>IF(T$3="","",IF(COUNTIFS(Base!$A$3:$A$5001,T$3,Base!$B$3:$B$5001,$A$23,Base!$L$3:$L$5001,"&lt;&gt;")=0,"",SUMIFS(Base!$L$3:$L$5001,Base!$A$3:$A$5001,T$3,Base!$B$3:$B$5001,$A$23)))</f>
        <v/>
      </c>
      <c r="U26" s="45" t="str">
        <f>IF(U$3="","",IF(COUNTIFS(Base!$A$3:$A$5001,U$3,Base!$B$3:$B$5001,$A$23,Base!$L$3:$L$5001,"&lt;&gt;")=0,"",SUMIFS(Base!$L$3:$L$5001,Base!$A$3:$A$5001,U$3,Base!$B$3:$B$5001,$A$23)))</f>
        <v/>
      </c>
      <c r="V26" s="45" t="str">
        <f>IF(V$3="","",IF(COUNTIFS(Base!$A$3:$A$5001,V$3,Base!$B$3:$B$5001,$A$23,Base!$L$3:$L$5001,"&lt;&gt;")=0,"",SUMIFS(Base!$L$3:$L$5001,Base!$A$3:$A$5001,V$3,Base!$B$3:$B$5001,$A$23)))</f>
        <v/>
      </c>
      <c r="W26" s="45" t="str">
        <f>IF(W$3="","",IF(COUNTIFS(Base!$A$3:$A$5001,W$3,Base!$B$3:$B$5001,$A$23,Base!$L$3:$L$5001,"&lt;&gt;")=0,"",SUMIFS(Base!$L$3:$L$5001,Base!$A$3:$A$5001,W$3,Base!$B$3:$B$5001,$A$23)))</f>
        <v/>
      </c>
      <c r="X26" s="45" t="str">
        <f>IF(X$3="","",IF(COUNTIFS(Base!$A$3:$A$5001,X$3,Base!$B$3:$B$5001,$A$23,Base!$L$3:$L$5001,"&lt;&gt;")=0,"",SUMIFS(Base!$L$3:$L$5001,Base!$A$3:$A$5001,X$3,Base!$B$3:$B$5001,$A$23)))</f>
        <v/>
      </c>
      <c r="Y26" s="45" t="str">
        <f>IF(Y$3="","",IF(COUNTIFS(Base!$A$3:$A$5001,Y$3,Base!$B$3:$B$5001,$A$23,Base!$L$3:$L$5001,"&lt;&gt;")=0,"",SUMIFS(Base!$L$3:$L$5001,Base!$A$3:$A$5001,Y$3,Base!$B$3:$B$5001,$A$23)))</f>
        <v/>
      </c>
      <c r="Z26" s="45" t="str">
        <f>IF(Z$3="","",IF(COUNTIFS(Base!$A$3:$A$5001,Z$3,Base!$B$3:$B$5001,$A$23,Base!$L$3:$L$5001,"&lt;&gt;")=0,"",SUMIFS(Base!$L$3:$L$5001,Base!$A$3:$A$5001,Z$3,Base!$B$3:$B$5001,$A$23)))</f>
        <v/>
      </c>
      <c r="AA26" s="45" t="str">
        <f>IF(AA$3="","",IF(COUNTIFS(Base!$A$3:$A$5001,AA$3,Base!$B$3:$B$5001,$A$23,Base!$L$3:$L$5001,"&lt;&gt;")=0,"",SUMIFS(Base!$L$3:$L$5001,Base!$A$3:$A$5001,AA$3,Base!$B$3:$B$5001,$A$23)))</f>
        <v/>
      </c>
      <c r="AB26" s="45" t="str">
        <f>IF(AB$3="","",IF(COUNTIFS(Base!$A$3:$A$5001,AB$3,Base!$B$3:$B$5001,$A$23,Base!$L$3:$L$5001,"&lt;&gt;")=0,"",SUMIFS(Base!$L$3:$L$5001,Base!$A$3:$A$5001,AB$3,Base!$B$3:$B$5001,$A$23)))</f>
        <v/>
      </c>
      <c r="AC26" s="45" t="str">
        <f>IF(AC$3="","",IF(COUNTIFS(Base!$A$3:$A$5001,AC$3,Base!$B$3:$B$5001,$A$23,Base!$L$3:$L$5001,"&lt;&gt;")=0,"",SUMIFS(Base!$L$3:$L$5001,Base!$A$3:$A$5001,AC$3,Base!$B$3:$B$5001,$A$23)))</f>
        <v/>
      </c>
      <c r="AD26" s="45" t="str">
        <f>IF(AD$3="","",IF(COUNTIFS(Base!$A$3:$A$5001,AD$3,Base!$B$3:$B$5001,$A$23,Base!$L$3:$L$5001,"&lt;&gt;")=0,"",SUMIFS(Base!$L$3:$L$5001,Base!$A$3:$A$5001,AD$3,Base!$B$3:$B$5001,$A$23)))</f>
        <v/>
      </c>
      <c r="AE26" s="45" t="str">
        <f>IF(AE$3="","",IF(COUNTIFS(Base!$A$3:$A$5001,AE$3,Base!$B$3:$B$5001,$A$23,Base!$L$3:$L$5001,"&lt;&gt;")=0,"",SUMIFS(Base!$L$3:$L$5001,Base!$A$3:$A$5001,AE$3,Base!$B$3:$B$5001,$A$23)))</f>
        <v/>
      </c>
      <c r="AF26" s="45" t="str">
        <f>IF(AF$3="","",IF(COUNTIFS(Base!$A$3:$A$5001,AF$3,Base!$B$3:$B$5001,$A$23,Base!$L$3:$L$5001,"&lt;&gt;")=0,"",SUMIFS(Base!$L$3:$L$5001,Base!$A$3:$A$5001,AF$3,Base!$B$3:$B$5001,$A$23)))</f>
        <v/>
      </c>
      <c r="AG26" s="45" t="str">
        <f>IF(AG$3="","",IF(COUNTIFS(Base!$A$3:$A$5001,AG$3,Base!$B$3:$B$5001,$A$23,Base!$L$3:$L$5001,"&lt;&gt;")=0,"",SUMIFS(Base!$L$3:$L$5001,Base!$A$3:$A$5001,AG$3,Base!$B$3:$B$5001,$A$23)))</f>
        <v/>
      </c>
      <c r="AH26" s="45" t="str">
        <f>IF(AH$3="","",IF(COUNTIFS(Base!$A$3:$A$5001,AH$3,Base!$B$3:$B$5001,$A$23,Base!$L$3:$L$5001,"&lt;&gt;")=0,"",SUMIFS(Base!$L$3:$L$5001,Base!$A$3:$A$5001,AH$3,Base!$B$3:$B$5001,$A$23)))</f>
        <v/>
      </c>
      <c r="AI26" s="45" t="str">
        <f>IF(AI$3="","",IF(COUNTIFS(Base!$A$3:$A$5001,AI$3,Base!$B$3:$B$5001,$A$23,Base!$L$3:$L$5001,"&lt;&gt;")=0,"",SUMIFS(Base!$L$3:$L$5001,Base!$A$3:$A$5001,AI$3,Base!$B$3:$B$5001,$A$23)))</f>
        <v/>
      </c>
      <c r="AJ26" s="46" t="str">
        <f>IF(AJ$3="","",IF(COUNTIFS(Base!$A$3:$A$5001,AJ$3,Base!$B$3:$B$5001,$A$23,Base!$L$3:$L$5001,"&lt;&gt;")=0,"",SUMIFS(Base!$L$3:$L$5001,Base!$A$3:$A$5001,AJ$3,Base!$B$3:$B$5001,$A$23)))</f>
        <v/>
      </c>
      <c r="AK26" s="47" t="str">
        <f>IF(COUNT(F26:AJ26)=0,"",SUM(F26:AJ26))</f>
        <v/>
      </c>
    </row>
    <row r="27" ht="15.75" customHeight="1">
      <c r="A27" s="118"/>
      <c r="B27" s="109"/>
      <c r="C27" s="48" t="inlineStr">
        <is>
          <t xml:space="preserve">Pallets Movimentados</t>
        </is>
      </c>
      <c r="D27" s="49" t="str">
        <f>IFERROR(1/(1/INDEX(calculos!$C$55:$K$83,MATCH("OUT Pallets Movimentados",calculos!$A$55:$A$83,0),MATCH($A$23,calculos!$C$54:$K$54,0))),"")</f>
        <v/>
      </c>
      <c r="E27" s="50"/>
      <c r="F27" s="51" t="str">
        <f>IF(F$3="","",IF(COUNTIFS(Base!$A$3:$A$5001,F$3,Base!$B$3:$B$5001,$A$23,Base!$M$3:$M$5001,"&lt;&gt;")=0,"",SUMIFS(Base!$M$3:$M$5001,Base!$A$3:$A$5001,F$3,Base!$B$3:$B$5001,$A$23)))</f>
        <v/>
      </c>
      <c r="G27" s="52" t="str">
        <f>IF(G$3="","",IF(COUNTIFS(Base!$A$3:$A$5001,G$3,Base!$B$3:$B$5001,$A$23,Base!$M$3:$M$5001,"&lt;&gt;")=0,"",SUMIFS(Base!$M$3:$M$5001,Base!$A$3:$A$5001,G$3,Base!$B$3:$B$5001,$A$23)))</f>
        <v/>
      </c>
      <c r="H27" s="52" t="str">
        <f>IF(H$3="","",IF(COUNTIFS(Base!$A$3:$A$5001,H$3,Base!$B$3:$B$5001,$A$23,Base!$M$3:$M$5001,"&lt;&gt;")=0,"",SUMIFS(Base!$M$3:$M$5001,Base!$A$3:$A$5001,H$3,Base!$B$3:$B$5001,$A$23)))</f>
        <v/>
      </c>
      <c r="I27" s="52" t="str">
        <f>IF(I$3="","",IF(COUNTIFS(Base!$A$3:$A$5001,I$3,Base!$B$3:$B$5001,$A$23,Base!$M$3:$M$5001,"&lt;&gt;")=0,"",SUMIFS(Base!$M$3:$M$5001,Base!$A$3:$A$5001,I$3,Base!$B$3:$B$5001,$A$23)))</f>
        <v/>
      </c>
      <c r="J27" s="52" t="str">
        <f>IF(J$3="","",IF(COUNTIFS(Base!$A$3:$A$5001,J$3,Base!$B$3:$B$5001,$A$23,Base!$M$3:$M$5001,"&lt;&gt;")=0,"",SUMIFS(Base!$M$3:$M$5001,Base!$A$3:$A$5001,J$3,Base!$B$3:$B$5001,$A$23)))</f>
        <v/>
      </c>
      <c r="K27" s="52" t="str">
        <f>IF(K$3="","",IF(COUNTIFS(Base!$A$3:$A$5001,K$3,Base!$B$3:$B$5001,$A$23,Base!$M$3:$M$5001,"&lt;&gt;")=0,"",SUMIFS(Base!$M$3:$M$5001,Base!$A$3:$A$5001,K$3,Base!$B$3:$B$5001,$A$23)))</f>
        <v/>
      </c>
      <c r="L27" s="52" t="str">
        <f>IF(L$3="","",IF(COUNTIFS(Base!$A$3:$A$5001,L$3,Base!$B$3:$B$5001,$A$23,Base!$M$3:$M$5001,"&lt;&gt;")=0,"",SUMIFS(Base!$M$3:$M$5001,Base!$A$3:$A$5001,L$3,Base!$B$3:$B$5001,$A$23)))</f>
        <v/>
      </c>
      <c r="M27" s="52" t="str">
        <f>IF(M$3="","",IF(COUNTIFS(Base!$A$3:$A$5001,M$3,Base!$B$3:$B$5001,$A$23,Base!$M$3:$M$5001,"&lt;&gt;")=0,"",SUMIFS(Base!$M$3:$M$5001,Base!$A$3:$A$5001,M$3,Base!$B$3:$B$5001,$A$23)))</f>
        <v/>
      </c>
      <c r="N27" s="52" t="str">
        <f>IF(N$3="","",IF(COUNTIFS(Base!$A$3:$A$5001,N$3,Base!$B$3:$B$5001,$A$23,Base!$M$3:$M$5001,"&lt;&gt;")=0,"",SUMIFS(Base!$M$3:$M$5001,Base!$A$3:$A$5001,N$3,Base!$B$3:$B$5001,$A$23)))</f>
        <v/>
      </c>
      <c r="O27" s="52" t="str">
        <f>IF(O$3="","",IF(COUNTIFS(Base!$A$3:$A$5001,O$3,Base!$B$3:$B$5001,$A$23,Base!$M$3:$M$5001,"&lt;&gt;")=0,"",SUMIFS(Base!$M$3:$M$5001,Base!$A$3:$A$5001,O$3,Base!$B$3:$B$5001,$A$23)))</f>
        <v/>
      </c>
      <c r="P27" s="52" t="str">
        <f>IF(P$3="","",IF(COUNTIFS(Base!$A$3:$A$5001,P$3,Base!$B$3:$B$5001,$A$23,Base!$M$3:$M$5001,"&lt;&gt;")=0,"",SUMIFS(Base!$M$3:$M$5001,Base!$A$3:$A$5001,P$3,Base!$B$3:$B$5001,$A$23)))</f>
        <v/>
      </c>
      <c r="Q27" s="52" t="str">
        <f>IF(Q$3="","",IF(COUNTIFS(Base!$A$3:$A$5001,Q$3,Base!$B$3:$B$5001,$A$23,Base!$M$3:$M$5001,"&lt;&gt;")=0,"",SUMIFS(Base!$M$3:$M$5001,Base!$A$3:$A$5001,Q$3,Base!$B$3:$B$5001,$A$23)))</f>
        <v/>
      </c>
      <c r="R27" s="52" t="str">
        <f>IF(R$3="","",IF(COUNTIFS(Base!$A$3:$A$5001,R$3,Base!$B$3:$B$5001,$A$23,Base!$M$3:$M$5001,"&lt;&gt;")=0,"",SUMIFS(Base!$M$3:$M$5001,Base!$A$3:$A$5001,R$3,Base!$B$3:$B$5001,$A$23)))</f>
        <v/>
      </c>
      <c r="S27" s="52" t="str">
        <f>IF(S$3="","",IF(COUNTIFS(Base!$A$3:$A$5001,S$3,Base!$B$3:$B$5001,$A$23,Base!$M$3:$M$5001,"&lt;&gt;")=0,"",SUMIFS(Base!$M$3:$M$5001,Base!$A$3:$A$5001,S$3,Base!$B$3:$B$5001,$A$23)))</f>
        <v/>
      </c>
      <c r="T27" s="52" t="str">
        <f>IF(T$3="","",IF(COUNTIFS(Base!$A$3:$A$5001,T$3,Base!$B$3:$B$5001,$A$23,Base!$M$3:$M$5001,"&lt;&gt;")=0,"",SUMIFS(Base!$M$3:$M$5001,Base!$A$3:$A$5001,T$3,Base!$B$3:$B$5001,$A$23)))</f>
        <v/>
      </c>
      <c r="U27" s="52" t="str">
        <f>IF(U$3="","",IF(COUNTIFS(Base!$A$3:$A$5001,U$3,Base!$B$3:$B$5001,$A$23,Base!$M$3:$M$5001,"&lt;&gt;")=0,"",SUMIFS(Base!$M$3:$M$5001,Base!$A$3:$A$5001,U$3,Base!$B$3:$B$5001,$A$23)))</f>
        <v/>
      </c>
      <c r="V27" s="52" t="str">
        <f>IF(V$3="","",IF(COUNTIFS(Base!$A$3:$A$5001,V$3,Base!$B$3:$B$5001,$A$23,Base!$M$3:$M$5001,"&lt;&gt;")=0,"",SUMIFS(Base!$M$3:$M$5001,Base!$A$3:$A$5001,V$3,Base!$B$3:$B$5001,$A$23)))</f>
        <v/>
      </c>
      <c r="W27" s="52" t="str">
        <f>IF(W$3="","",IF(COUNTIFS(Base!$A$3:$A$5001,W$3,Base!$B$3:$B$5001,$A$23,Base!$M$3:$M$5001,"&lt;&gt;")=0,"",SUMIFS(Base!$M$3:$M$5001,Base!$A$3:$A$5001,W$3,Base!$B$3:$B$5001,$A$23)))</f>
        <v/>
      </c>
      <c r="X27" s="52" t="str">
        <f>IF(X$3="","",IF(COUNTIFS(Base!$A$3:$A$5001,X$3,Base!$B$3:$B$5001,$A$23,Base!$M$3:$M$5001,"&lt;&gt;")=0,"",SUMIFS(Base!$M$3:$M$5001,Base!$A$3:$A$5001,X$3,Base!$B$3:$B$5001,$A$23)))</f>
        <v/>
      </c>
      <c r="Y27" s="52" t="str">
        <f>IF(Y$3="","",IF(COUNTIFS(Base!$A$3:$A$5001,Y$3,Base!$B$3:$B$5001,$A$23,Base!$M$3:$M$5001,"&lt;&gt;")=0,"",SUMIFS(Base!$M$3:$M$5001,Base!$A$3:$A$5001,Y$3,Base!$B$3:$B$5001,$A$23)))</f>
        <v/>
      </c>
      <c r="Z27" s="52" t="str">
        <f>IF(Z$3="","",IF(COUNTIFS(Base!$A$3:$A$5001,Z$3,Base!$B$3:$B$5001,$A$23,Base!$M$3:$M$5001,"&lt;&gt;")=0,"",SUMIFS(Base!$M$3:$M$5001,Base!$A$3:$A$5001,Z$3,Base!$B$3:$B$5001,$A$23)))</f>
        <v/>
      </c>
      <c r="AA27" s="52" t="str">
        <f>IF(AA$3="","",IF(COUNTIFS(Base!$A$3:$A$5001,AA$3,Base!$B$3:$B$5001,$A$23,Base!$M$3:$M$5001,"&lt;&gt;")=0,"",SUMIFS(Base!$M$3:$M$5001,Base!$A$3:$A$5001,AA$3,Base!$B$3:$B$5001,$A$23)))</f>
        <v/>
      </c>
      <c r="AB27" s="52" t="str">
        <f>IF(AB$3="","",IF(COUNTIFS(Base!$A$3:$A$5001,AB$3,Base!$B$3:$B$5001,$A$23,Base!$M$3:$M$5001,"&lt;&gt;")=0,"",SUMIFS(Base!$M$3:$M$5001,Base!$A$3:$A$5001,AB$3,Base!$B$3:$B$5001,$A$23)))</f>
        <v/>
      </c>
      <c r="AC27" s="52" t="str">
        <f>IF(AC$3="","",IF(COUNTIFS(Base!$A$3:$A$5001,AC$3,Base!$B$3:$B$5001,$A$23,Base!$M$3:$M$5001,"&lt;&gt;")=0,"",SUMIFS(Base!$M$3:$M$5001,Base!$A$3:$A$5001,AC$3,Base!$B$3:$B$5001,$A$23)))</f>
        <v/>
      </c>
      <c r="AD27" s="52" t="str">
        <f>IF(AD$3="","",IF(COUNTIFS(Base!$A$3:$A$5001,AD$3,Base!$B$3:$B$5001,$A$23,Base!$M$3:$M$5001,"&lt;&gt;")=0,"",SUMIFS(Base!$M$3:$M$5001,Base!$A$3:$A$5001,AD$3,Base!$B$3:$B$5001,$A$23)))</f>
        <v/>
      </c>
      <c r="AE27" s="52" t="str">
        <f>IF(AE$3="","",IF(COUNTIFS(Base!$A$3:$A$5001,AE$3,Base!$B$3:$B$5001,$A$23,Base!$M$3:$M$5001,"&lt;&gt;")=0,"",SUMIFS(Base!$M$3:$M$5001,Base!$A$3:$A$5001,AE$3,Base!$B$3:$B$5001,$A$23)))</f>
        <v/>
      </c>
      <c r="AF27" s="52" t="str">
        <f>IF(AF$3="","",IF(COUNTIFS(Base!$A$3:$A$5001,AF$3,Base!$B$3:$B$5001,$A$23,Base!$M$3:$M$5001,"&lt;&gt;")=0,"",SUMIFS(Base!$M$3:$M$5001,Base!$A$3:$A$5001,AF$3,Base!$B$3:$B$5001,$A$23)))</f>
        <v/>
      </c>
      <c r="AG27" s="52" t="str">
        <f>IF(AG$3="","",IF(COUNTIFS(Base!$A$3:$A$5001,AG$3,Base!$B$3:$B$5001,$A$23,Base!$M$3:$M$5001,"&lt;&gt;")=0,"",SUMIFS(Base!$M$3:$M$5001,Base!$A$3:$A$5001,AG$3,Base!$B$3:$B$5001,$A$23)))</f>
        <v/>
      </c>
      <c r="AH27" s="52" t="str">
        <f>IF(AH$3="","",IF(COUNTIFS(Base!$A$3:$A$5001,AH$3,Base!$B$3:$B$5001,$A$23,Base!$M$3:$M$5001,"&lt;&gt;")=0,"",SUMIFS(Base!$M$3:$M$5001,Base!$A$3:$A$5001,AH$3,Base!$B$3:$B$5001,$A$23)))</f>
        <v/>
      </c>
      <c r="AI27" s="52" t="str">
        <f>IF(AI$3="","",IF(COUNTIFS(Base!$A$3:$A$5001,AI$3,Base!$B$3:$B$5001,$A$23,Base!$M$3:$M$5001,"&lt;&gt;")=0,"",SUMIFS(Base!$M$3:$M$5001,Base!$A$3:$A$5001,AI$3,Base!$B$3:$B$5001,$A$23)))</f>
        <v/>
      </c>
      <c r="AJ27" s="53" t="str">
        <f>IF(AJ$3="","",IF(COUNTIFS(Base!$A$3:$A$5001,AJ$3,Base!$B$3:$B$5001,$A$23,Base!$M$3:$M$5001,"&lt;&gt;")=0,"",SUMIFS(Base!$M$3:$M$5001,Base!$A$3:$A$5001,AJ$3,Base!$B$3:$B$5001,$A$23)))</f>
        <v/>
      </c>
      <c r="AK27" s="54" t="str">
        <f>IF(COUNT(F27:AJ27)=0,"",SUM(F27:AJ27))</f>
        <v/>
      </c>
    </row>
    <row r="28" ht="15.75" customHeight="1">
      <c r="A28" s="118"/>
      <c r="B28" s="110"/>
      <c r="C28" s="55" t="inlineStr">
        <is>
          <t xml:space="preserve">Pedidos Expedidos</t>
        </is>
      </c>
      <c r="D28" s="473" t="str">
        <f>IFERROR(1/(1/INDEX(calculos!$C$55:$K$83,MATCH("OUT Pedidos Expedidos",calculos!$A$55:$A$83,0),MATCH($A$23,calculos!$C$54:$K$54,0))),"")</f>
        <v/>
      </c>
      <c r="E28" s="57"/>
      <c r="F28" s="474" t="str">
        <f>IF(F$3="","",IF(COUNTIFS(Base!$A$3:$A$5001,F$3,Base!$B$3:$B$5001,$A$23,Base!$P$3:$P$5001,"&lt;&gt;")=0,"",SUMIFS(Base!$P$3:$P$5001,Base!$A$3:$A$5001,F$3,Base!$B$3:$B$5001,$A$23)))</f>
        <v/>
      </c>
      <c r="G28" s="475" t="str">
        <f>IF(G$3="","",IF(COUNTIFS(Base!$A$3:$A$5001,G$3,Base!$B$3:$B$5001,$A$23,Base!$P$3:$P$5001,"&lt;&gt;")=0,"",SUMIFS(Base!$P$3:$P$5001,Base!$A$3:$A$5001,G$3,Base!$B$3:$B$5001,$A$23)))</f>
        <v/>
      </c>
      <c r="H28" s="475" t="str">
        <f>IF(H$3="","",IF(COUNTIFS(Base!$A$3:$A$5001,H$3,Base!$B$3:$B$5001,$A$23,Base!$P$3:$P$5001,"&lt;&gt;")=0,"",SUMIFS(Base!$P$3:$P$5001,Base!$A$3:$A$5001,H$3,Base!$B$3:$B$5001,$A$23)))</f>
        <v/>
      </c>
      <c r="I28" s="475" t="str">
        <f>IF(I$3="","",IF(COUNTIFS(Base!$A$3:$A$5001,I$3,Base!$B$3:$B$5001,$A$23,Base!$P$3:$P$5001,"&lt;&gt;")=0,"",SUMIFS(Base!$P$3:$P$5001,Base!$A$3:$A$5001,I$3,Base!$B$3:$B$5001,$A$23)))</f>
        <v/>
      </c>
      <c r="J28" s="475" t="str">
        <f>IF(J$3="","",IF(COUNTIFS(Base!$A$3:$A$5001,J$3,Base!$B$3:$B$5001,$A$23,Base!$P$3:$P$5001,"&lt;&gt;")=0,"",SUMIFS(Base!$P$3:$P$5001,Base!$A$3:$A$5001,J$3,Base!$B$3:$B$5001,$A$23)))</f>
        <v/>
      </c>
      <c r="K28" s="475" t="str">
        <f>IF(K$3="","",IF(COUNTIFS(Base!$A$3:$A$5001,K$3,Base!$B$3:$B$5001,$A$23,Base!$P$3:$P$5001,"&lt;&gt;")=0,"",SUMIFS(Base!$P$3:$P$5001,Base!$A$3:$A$5001,K$3,Base!$B$3:$B$5001,$A$23)))</f>
        <v/>
      </c>
      <c r="L28" s="475" t="str">
        <f>IF(L$3="","",IF(COUNTIFS(Base!$A$3:$A$5001,L$3,Base!$B$3:$B$5001,$A$23,Base!$P$3:$P$5001,"&lt;&gt;")=0,"",SUMIFS(Base!$P$3:$P$5001,Base!$A$3:$A$5001,L$3,Base!$B$3:$B$5001,$A$23)))</f>
        <v/>
      </c>
      <c r="M28" s="475" t="str">
        <f>IF(M$3="","",IF(COUNTIFS(Base!$A$3:$A$5001,M$3,Base!$B$3:$B$5001,$A$23,Base!$P$3:$P$5001,"&lt;&gt;")=0,"",SUMIFS(Base!$P$3:$P$5001,Base!$A$3:$A$5001,M$3,Base!$B$3:$B$5001,$A$23)))</f>
        <v/>
      </c>
      <c r="N28" s="475" t="str">
        <f>IF(N$3="","",IF(COUNTIFS(Base!$A$3:$A$5001,N$3,Base!$B$3:$B$5001,$A$23,Base!$P$3:$P$5001,"&lt;&gt;")=0,"",SUMIFS(Base!$P$3:$P$5001,Base!$A$3:$A$5001,N$3,Base!$B$3:$B$5001,$A$23)))</f>
        <v/>
      </c>
      <c r="O28" s="475" t="str">
        <f>IF(O$3="","",IF(COUNTIFS(Base!$A$3:$A$5001,O$3,Base!$B$3:$B$5001,$A$23,Base!$P$3:$P$5001,"&lt;&gt;")=0,"",SUMIFS(Base!$P$3:$P$5001,Base!$A$3:$A$5001,O$3,Base!$B$3:$B$5001,$A$23)))</f>
        <v/>
      </c>
      <c r="P28" s="475" t="str">
        <f>IF(P$3="","",IF(COUNTIFS(Base!$A$3:$A$5001,P$3,Base!$B$3:$B$5001,$A$23,Base!$P$3:$P$5001,"&lt;&gt;")=0,"",SUMIFS(Base!$P$3:$P$5001,Base!$A$3:$A$5001,P$3,Base!$B$3:$B$5001,$A$23)))</f>
        <v/>
      </c>
      <c r="Q28" s="475" t="str">
        <f>IF(Q$3="","",IF(COUNTIFS(Base!$A$3:$A$5001,Q$3,Base!$B$3:$B$5001,$A$23,Base!$P$3:$P$5001,"&lt;&gt;")=0,"",SUMIFS(Base!$P$3:$P$5001,Base!$A$3:$A$5001,Q$3,Base!$B$3:$B$5001,$A$23)))</f>
        <v/>
      </c>
      <c r="R28" s="475" t="str">
        <f>IF(R$3="","",IF(COUNTIFS(Base!$A$3:$A$5001,R$3,Base!$B$3:$B$5001,$A$23,Base!$P$3:$P$5001,"&lt;&gt;")=0,"",SUMIFS(Base!$P$3:$P$5001,Base!$A$3:$A$5001,R$3,Base!$B$3:$B$5001,$A$23)))</f>
        <v/>
      </c>
      <c r="S28" s="475" t="str">
        <f>IF(S$3="","",IF(COUNTIFS(Base!$A$3:$A$5001,S$3,Base!$B$3:$B$5001,$A$23,Base!$P$3:$P$5001,"&lt;&gt;")=0,"",SUMIFS(Base!$P$3:$P$5001,Base!$A$3:$A$5001,S$3,Base!$B$3:$B$5001,$A$23)))</f>
        <v/>
      </c>
      <c r="T28" s="475" t="str">
        <f>IF(T$3="","",IF(COUNTIFS(Base!$A$3:$A$5001,T$3,Base!$B$3:$B$5001,$A$23,Base!$P$3:$P$5001,"&lt;&gt;")=0,"",SUMIFS(Base!$P$3:$P$5001,Base!$A$3:$A$5001,T$3,Base!$B$3:$B$5001,$A$23)))</f>
        <v/>
      </c>
      <c r="U28" s="475" t="str">
        <f>IF(U$3="","",IF(COUNTIFS(Base!$A$3:$A$5001,U$3,Base!$B$3:$B$5001,$A$23,Base!$P$3:$P$5001,"&lt;&gt;")=0,"",SUMIFS(Base!$P$3:$P$5001,Base!$A$3:$A$5001,U$3,Base!$B$3:$B$5001,$A$23)))</f>
        <v/>
      </c>
      <c r="V28" s="475" t="str">
        <f>IF(V$3="","",IF(COUNTIFS(Base!$A$3:$A$5001,V$3,Base!$B$3:$B$5001,$A$23,Base!$P$3:$P$5001,"&lt;&gt;")=0,"",SUMIFS(Base!$P$3:$P$5001,Base!$A$3:$A$5001,V$3,Base!$B$3:$B$5001,$A$23)))</f>
        <v/>
      </c>
      <c r="W28" s="475" t="str">
        <f>IF(W$3="","",IF(COUNTIFS(Base!$A$3:$A$5001,W$3,Base!$B$3:$B$5001,$A$23,Base!$P$3:$P$5001,"&lt;&gt;")=0,"",SUMIFS(Base!$P$3:$P$5001,Base!$A$3:$A$5001,W$3,Base!$B$3:$B$5001,$A$23)))</f>
        <v/>
      </c>
      <c r="X28" s="475" t="str">
        <f>IF(X$3="","",IF(COUNTIFS(Base!$A$3:$A$5001,X$3,Base!$B$3:$B$5001,$A$23,Base!$P$3:$P$5001,"&lt;&gt;")=0,"",SUMIFS(Base!$P$3:$P$5001,Base!$A$3:$A$5001,X$3,Base!$B$3:$B$5001,$A$23)))</f>
        <v/>
      </c>
      <c r="Y28" s="475" t="str">
        <f>IF(Y$3="","",IF(COUNTIFS(Base!$A$3:$A$5001,Y$3,Base!$B$3:$B$5001,$A$23,Base!$P$3:$P$5001,"&lt;&gt;")=0,"",SUMIFS(Base!$P$3:$P$5001,Base!$A$3:$A$5001,Y$3,Base!$B$3:$B$5001,$A$23)))</f>
        <v/>
      </c>
      <c r="Z28" s="475" t="str">
        <f>IF(Z$3="","",IF(COUNTIFS(Base!$A$3:$A$5001,Z$3,Base!$B$3:$B$5001,$A$23,Base!$P$3:$P$5001,"&lt;&gt;")=0,"",SUMIFS(Base!$P$3:$P$5001,Base!$A$3:$A$5001,Z$3,Base!$B$3:$B$5001,$A$23)))</f>
        <v/>
      </c>
      <c r="AA28" s="475" t="str">
        <f>IF(AA$3="","",IF(COUNTIFS(Base!$A$3:$A$5001,AA$3,Base!$B$3:$B$5001,$A$23,Base!$P$3:$P$5001,"&lt;&gt;")=0,"",SUMIFS(Base!$P$3:$P$5001,Base!$A$3:$A$5001,AA$3,Base!$B$3:$B$5001,$A$23)))</f>
        <v/>
      </c>
      <c r="AB28" s="475" t="str">
        <f>IF(AB$3="","",IF(COUNTIFS(Base!$A$3:$A$5001,AB$3,Base!$B$3:$B$5001,$A$23,Base!$P$3:$P$5001,"&lt;&gt;")=0,"",SUMIFS(Base!$P$3:$P$5001,Base!$A$3:$A$5001,AB$3,Base!$B$3:$B$5001,$A$23)))</f>
        <v/>
      </c>
      <c r="AC28" s="475" t="str">
        <f>IF(AC$3="","",IF(COUNTIFS(Base!$A$3:$A$5001,AC$3,Base!$B$3:$B$5001,$A$23,Base!$P$3:$P$5001,"&lt;&gt;")=0,"",SUMIFS(Base!$P$3:$P$5001,Base!$A$3:$A$5001,AC$3,Base!$B$3:$B$5001,$A$23)))</f>
        <v/>
      </c>
      <c r="AD28" s="475" t="str">
        <f>IF(AD$3="","",IF(COUNTIFS(Base!$A$3:$A$5001,AD$3,Base!$B$3:$B$5001,$A$23,Base!$P$3:$P$5001,"&lt;&gt;")=0,"",SUMIFS(Base!$P$3:$P$5001,Base!$A$3:$A$5001,AD$3,Base!$B$3:$B$5001,$A$23)))</f>
        <v/>
      </c>
      <c r="AE28" s="475" t="str">
        <f>IF(AE$3="","",IF(COUNTIFS(Base!$A$3:$A$5001,AE$3,Base!$B$3:$B$5001,$A$23,Base!$P$3:$P$5001,"&lt;&gt;")=0,"",SUMIFS(Base!$P$3:$P$5001,Base!$A$3:$A$5001,AE$3,Base!$B$3:$B$5001,$A$23)))</f>
        <v/>
      </c>
      <c r="AF28" s="475" t="str">
        <f>IF(AF$3="","",IF(COUNTIFS(Base!$A$3:$A$5001,AF$3,Base!$B$3:$B$5001,$A$23,Base!$P$3:$P$5001,"&lt;&gt;")=0,"",SUMIFS(Base!$P$3:$P$5001,Base!$A$3:$A$5001,AF$3,Base!$B$3:$B$5001,$A$23)))</f>
        <v/>
      </c>
      <c r="AG28" s="475" t="str">
        <f>IF(AG$3="","",IF(COUNTIFS(Base!$A$3:$A$5001,AG$3,Base!$B$3:$B$5001,$A$23,Base!$P$3:$P$5001,"&lt;&gt;")=0,"",SUMIFS(Base!$P$3:$P$5001,Base!$A$3:$A$5001,AG$3,Base!$B$3:$B$5001,$A$23)))</f>
        <v/>
      </c>
      <c r="AH28" s="475" t="str">
        <f>IF(AH$3="","",IF(COUNTIFS(Base!$A$3:$A$5001,AH$3,Base!$B$3:$B$5001,$A$23,Base!$P$3:$P$5001,"&lt;&gt;")=0,"",SUMIFS(Base!$P$3:$P$5001,Base!$A$3:$A$5001,AH$3,Base!$B$3:$B$5001,$A$23)))</f>
        <v/>
      </c>
      <c r="AI28" s="475" t="str">
        <f>IF(AI$3="","",IF(COUNTIFS(Base!$A$3:$A$5001,AI$3,Base!$B$3:$B$5001,$A$23,Base!$P$3:$P$5001,"&lt;&gt;")=0,"",SUMIFS(Base!$P$3:$P$5001,Base!$A$3:$A$5001,AI$3,Base!$B$3:$B$5001,$A$23)))</f>
        <v/>
      </c>
      <c r="AJ28" s="476" t="str">
        <f>IF(AJ$3="","",IF(COUNTIFS(Base!$A$3:$A$5001,AJ$3,Base!$B$3:$B$5001,$A$23,Base!$P$3:$P$5001,"&lt;&gt;")=0,"",SUMIFS(Base!$P$3:$P$5001,Base!$A$3:$A$5001,AJ$3,Base!$B$3:$B$5001,$A$23)))</f>
        <v/>
      </c>
      <c r="AK28" s="473" t="str">
        <f>IF(COUNT(F28:AJ28)=0,"",SUM(F28:AJ28))</f>
        <v/>
      </c>
    </row>
    <row r="29" ht="15.75" customHeight="1">
      <c r="A29" s="118"/>
      <c r="B29" s="111" t="inlineStr">
        <is>
          <t xml:space="preserve">NC</t>
        </is>
      </c>
      <c r="C29" s="61" t="inlineStr">
        <is>
          <t xml:space="preserve">Incidentes</t>
        </is>
      </c>
      <c r="D29" s="62" t="str">
        <f>IFERROR(1/(1/INDEX(calculos!$C$55:$K$83,MATCH("NC Incidentes",calculos!$A$55:$A$83,0),MATCH($A$23,calculos!$C$54:$K$54,0))),"")</f>
        <v/>
      </c>
      <c r="E29" s="63"/>
      <c r="F29" s="64" t="str">
        <f>IF(F$3="","",IF(COUNTIFS(Base!$A$3:$A$5001,F$3,Base!$B$3:$B$5001,$A$23,Base!$U$3:$U$5001,"&lt;&gt;")=0,"",SUMIFS(Base!$U$3:$U$5001,Base!$A$3:$A$5001,F$3,Base!$B$3:$B$5001,$A$23)))</f>
        <v/>
      </c>
      <c r="G29" s="65" t="str">
        <f>IF(G$3="","",IF(COUNTIFS(Base!$A$3:$A$5001,G$3,Base!$B$3:$B$5001,$A$23,Base!$U$3:$U$5001,"&lt;&gt;")=0,"",SUMIFS(Base!$U$3:$U$5001,Base!$A$3:$A$5001,G$3,Base!$B$3:$B$5001,$A$23)))</f>
        <v/>
      </c>
      <c r="H29" s="65" t="str">
        <f>IF(H$3="","",IF(COUNTIFS(Base!$A$3:$A$5001,H$3,Base!$B$3:$B$5001,$A$23,Base!$U$3:$U$5001,"&lt;&gt;")=0,"",SUMIFS(Base!$U$3:$U$5001,Base!$A$3:$A$5001,H$3,Base!$B$3:$B$5001,$A$23)))</f>
        <v/>
      </c>
      <c r="I29" s="65" t="str">
        <f>IF(I$3="","",IF(COUNTIFS(Base!$A$3:$A$5001,I$3,Base!$B$3:$B$5001,$A$23,Base!$U$3:$U$5001,"&lt;&gt;")=0,"",SUMIFS(Base!$U$3:$U$5001,Base!$A$3:$A$5001,I$3,Base!$B$3:$B$5001,$A$23)))</f>
        <v/>
      </c>
      <c r="J29" s="65" t="str">
        <f>IF(J$3="","",IF(COUNTIFS(Base!$A$3:$A$5001,J$3,Base!$B$3:$B$5001,$A$23,Base!$U$3:$U$5001,"&lt;&gt;")=0,"",SUMIFS(Base!$U$3:$U$5001,Base!$A$3:$A$5001,J$3,Base!$B$3:$B$5001,$A$23)))</f>
        <v/>
      </c>
      <c r="K29" s="65" t="str">
        <f>IF(K$3="","",IF(COUNTIFS(Base!$A$3:$A$5001,K$3,Base!$B$3:$B$5001,$A$23,Base!$U$3:$U$5001,"&lt;&gt;")=0,"",SUMIFS(Base!$U$3:$U$5001,Base!$A$3:$A$5001,K$3,Base!$B$3:$B$5001,$A$23)))</f>
        <v/>
      </c>
      <c r="L29" s="65" t="str">
        <f>IF(L$3="","",IF(COUNTIFS(Base!$A$3:$A$5001,L$3,Base!$B$3:$B$5001,$A$23,Base!$U$3:$U$5001,"&lt;&gt;")=0,"",SUMIFS(Base!$U$3:$U$5001,Base!$A$3:$A$5001,L$3,Base!$B$3:$B$5001,$A$23)))</f>
        <v/>
      </c>
      <c r="M29" s="65" t="str">
        <f>IF(M$3="","",IF(COUNTIFS(Base!$A$3:$A$5001,M$3,Base!$B$3:$B$5001,$A$23,Base!$U$3:$U$5001,"&lt;&gt;")=0,"",SUMIFS(Base!$U$3:$U$5001,Base!$A$3:$A$5001,M$3,Base!$B$3:$B$5001,$A$23)))</f>
        <v/>
      </c>
      <c r="N29" s="65" t="str">
        <f>IF(N$3="","",IF(COUNTIFS(Base!$A$3:$A$5001,N$3,Base!$B$3:$B$5001,$A$23,Base!$U$3:$U$5001,"&lt;&gt;")=0,"",SUMIFS(Base!$U$3:$U$5001,Base!$A$3:$A$5001,N$3,Base!$B$3:$B$5001,$A$23)))</f>
        <v/>
      </c>
      <c r="O29" s="65" t="str">
        <f>IF(O$3="","",IF(COUNTIFS(Base!$A$3:$A$5001,O$3,Base!$B$3:$B$5001,$A$23,Base!$U$3:$U$5001,"&lt;&gt;")=0,"",SUMIFS(Base!$U$3:$U$5001,Base!$A$3:$A$5001,O$3,Base!$B$3:$B$5001,$A$23)))</f>
        <v/>
      </c>
      <c r="P29" s="65" t="str">
        <f>IF(P$3="","",IF(COUNTIFS(Base!$A$3:$A$5001,P$3,Base!$B$3:$B$5001,$A$23,Base!$U$3:$U$5001,"&lt;&gt;")=0,"",SUMIFS(Base!$U$3:$U$5001,Base!$A$3:$A$5001,P$3,Base!$B$3:$B$5001,$A$23)))</f>
        <v/>
      </c>
      <c r="Q29" s="65" t="str">
        <f>IF(Q$3="","",IF(COUNTIFS(Base!$A$3:$A$5001,Q$3,Base!$B$3:$B$5001,$A$23,Base!$U$3:$U$5001,"&lt;&gt;")=0,"",SUMIFS(Base!$U$3:$U$5001,Base!$A$3:$A$5001,Q$3,Base!$B$3:$B$5001,$A$23)))</f>
        <v/>
      </c>
      <c r="R29" s="65" t="str">
        <f>IF(R$3="","",IF(COUNTIFS(Base!$A$3:$A$5001,R$3,Base!$B$3:$B$5001,$A$23,Base!$U$3:$U$5001,"&lt;&gt;")=0,"",SUMIFS(Base!$U$3:$U$5001,Base!$A$3:$A$5001,R$3,Base!$B$3:$B$5001,$A$23)))</f>
        <v/>
      </c>
      <c r="S29" s="65" t="str">
        <f>IF(S$3="","",IF(COUNTIFS(Base!$A$3:$A$5001,S$3,Base!$B$3:$B$5001,$A$23,Base!$U$3:$U$5001,"&lt;&gt;")=0,"",SUMIFS(Base!$U$3:$U$5001,Base!$A$3:$A$5001,S$3,Base!$B$3:$B$5001,$A$23)))</f>
        <v/>
      </c>
      <c r="T29" s="65" t="str">
        <f>IF(T$3="","",IF(COUNTIFS(Base!$A$3:$A$5001,T$3,Base!$B$3:$B$5001,$A$23,Base!$U$3:$U$5001,"&lt;&gt;")=0,"",SUMIFS(Base!$U$3:$U$5001,Base!$A$3:$A$5001,T$3,Base!$B$3:$B$5001,$A$23)))</f>
        <v/>
      </c>
      <c r="U29" s="65" t="str">
        <f>IF(U$3="","",IF(COUNTIFS(Base!$A$3:$A$5001,U$3,Base!$B$3:$B$5001,$A$23,Base!$U$3:$U$5001,"&lt;&gt;")=0,"",SUMIFS(Base!$U$3:$U$5001,Base!$A$3:$A$5001,U$3,Base!$B$3:$B$5001,$A$23)))</f>
        <v/>
      </c>
      <c r="V29" s="65" t="str">
        <f>IF(V$3="","",IF(COUNTIFS(Base!$A$3:$A$5001,V$3,Base!$B$3:$B$5001,$A$23,Base!$U$3:$U$5001,"&lt;&gt;")=0,"",SUMIFS(Base!$U$3:$U$5001,Base!$A$3:$A$5001,V$3,Base!$B$3:$B$5001,$A$23)))</f>
        <v/>
      </c>
      <c r="W29" s="65" t="str">
        <f>IF(W$3="","",IF(COUNTIFS(Base!$A$3:$A$5001,W$3,Base!$B$3:$B$5001,$A$23,Base!$U$3:$U$5001,"&lt;&gt;")=0,"",SUMIFS(Base!$U$3:$U$5001,Base!$A$3:$A$5001,W$3,Base!$B$3:$B$5001,$A$23)))</f>
        <v/>
      </c>
      <c r="X29" s="65" t="str">
        <f>IF(X$3="","",IF(COUNTIFS(Base!$A$3:$A$5001,X$3,Base!$B$3:$B$5001,$A$23,Base!$U$3:$U$5001,"&lt;&gt;")=0,"",SUMIFS(Base!$U$3:$U$5001,Base!$A$3:$A$5001,X$3,Base!$B$3:$B$5001,$A$23)))</f>
        <v/>
      </c>
      <c r="Y29" s="65" t="str">
        <f>IF(Y$3="","",IF(COUNTIFS(Base!$A$3:$A$5001,Y$3,Base!$B$3:$B$5001,$A$23,Base!$U$3:$U$5001,"&lt;&gt;")=0,"",SUMIFS(Base!$U$3:$U$5001,Base!$A$3:$A$5001,Y$3,Base!$B$3:$B$5001,$A$23)))</f>
        <v/>
      </c>
      <c r="Z29" s="65" t="str">
        <f>IF(Z$3="","",IF(COUNTIFS(Base!$A$3:$A$5001,Z$3,Base!$B$3:$B$5001,$A$23,Base!$U$3:$U$5001,"&lt;&gt;")=0,"",SUMIFS(Base!$U$3:$U$5001,Base!$A$3:$A$5001,Z$3,Base!$B$3:$B$5001,$A$23)))</f>
        <v/>
      </c>
      <c r="AA29" s="65" t="str">
        <f>IF(AA$3="","",IF(COUNTIFS(Base!$A$3:$A$5001,AA$3,Base!$B$3:$B$5001,$A$23,Base!$U$3:$U$5001,"&lt;&gt;")=0,"",SUMIFS(Base!$U$3:$U$5001,Base!$A$3:$A$5001,AA$3,Base!$B$3:$B$5001,$A$23)))</f>
        <v/>
      </c>
      <c r="AB29" s="65" t="str">
        <f>IF(AB$3="","",IF(COUNTIFS(Base!$A$3:$A$5001,AB$3,Base!$B$3:$B$5001,$A$23,Base!$U$3:$U$5001,"&lt;&gt;")=0,"",SUMIFS(Base!$U$3:$U$5001,Base!$A$3:$A$5001,AB$3,Base!$B$3:$B$5001,$A$23)))</f>
        <v/>
      </c>
      <c r="AC29" s="65" t="str">
        <f>IF(AC$3="","",IF(COUNTIFS(Base!$A$3:$A$5001,AC$3,Base!$B$3:$B$5001,$A$23,Base!$U$3:$U$5001,"&lt;&gt;")=0,"",SUMIFS(Base!$U$3:$U$5001,Base!$A$3:$A$5001,AC$3,Base!$B$3:$B$5001,$A$23)))</f>
        <v/>
      </c>
      <c r="AD29" s="65" t="str">
        <f>IF(AD$3="","",IF(COUNTIFS(Base!$A$3:$A$5001,AD$3,Base!$B$3:$B$5001,$A$23,Base!$U$3:$U$5001,"&lt;&gt;")=0,"",SUMIFS(Base!$U$3:$U$5001,Base!$A$3:$A$5001,AD$3,Base!$B$3:$B$5001,$A$23)))</f>
        <v/>
      </c>
      <c r="AE29" s="65" t="str">
        <f>IF(AE$3="","",IF(COUNTIFS(Base!$A$3:$A$5001,AE$3,Base!$B$3:$B$5001,$A$23,Base!$U$3:$U$5001,"&lt;&gt;")=0,"",SUMIFS(Base!$U$3:$U$5001,Base!$A$3:$A$5001,AE$3,Base!$B$3:$B$5001,$A$23)))</f>
        <v/>
      </c>
      <c r="AF29" s="65" t="str">
        <f>IF(AF$3="","",IF(COUNTIFS(Base!$A$3:$A$5001,AF$3,Base!$B$3:$B$5001,$A$23,Base!$U$3:$U$5001,"&lt;&gt;")=0,"",SUMIFS(Base!$U$3:$U$5001,Base!$A$3:$A$5001,AF$3,Base!$B$3:$B$5001,$A$23)))</f>
        <v/>
      </c>
      <c r="AG29" s="65" t="str">
        <f>IF(AG$3="","",IF(COUNTIFS(Base!$A$3:$A$5001,AG$3,Base!$B$3:$B$5001,$A$23,Base!$U$3:$U$5001,"&lt;&gt;")=0,"",SUMIFS(Base!$U$3:$U$5001,Base!$A$3:$A$5001,AG$3,Base!$B$3:$B$5001,$A$23)))</f>
        <v/>
      </c>
      <c r="AH29" s="65" t="str">
        <f>IF(AH$3="","",IF(COUNTIFS(Base!$A$3:$A$5001,AH$3,Base!$B$3:$B$5001,$A$23,Base!$U$3:$U$5001,"&lt;&gt;")=0,"",SUMIFS(Base!$U$3:$U$5001,Base!$A$3:$A$5001,AH$3,Base!$B$3:$B$5001,$A$23)))</f>
        <v/>
      </c>
      <c r="AI29" s="65" t="str">
        <f>IF(AI$3="","",IF(COUNTIFS(Base!$A$3:$A$5001,AI$3,Base!$B$3:$B$5001,$A$23,Base!$U$3:$U$5001,"&lt;&gt;")=0,"",SUMIFS(Base!$U$3:$U$5001,Base!$A$3:$A$5001,AI$3,Base!$B$3:$B$5001,$A$23)))</f>
        <v/>
      </c>
      <c r="AJ29" s="66" t="str">
        <f>IF(AJ$3="","",IF(COUNTIFS(Base!$A$3:$A$5001,AJ$3,Base!$B$3:$B$5001,$A$23,Base!$U$3:$U$5001,"&lt;&gt;")=0,"",SUMIFS(Base!$U$3:$U$5001,Base!$A$3:$A$5001,AJ$3,Base!$B$3:$B$5001,$A$23)))</f>
        <v/>
      </c>
      <c r="AK29" s="67" t="str">
        <f>IF(COUNT(F29:AJ29)=0,"",SUM(F29:AJ29))</f>
        <v/>
      </c>
    </row>
    <row r="30" ht="15.75" customHeight="1">
      <c r="A30" s="118"/>
      <c r="B30" s="112"/>
      <c r="C30" s="68" t="inlineStr">
        <is>
          <t xml:space="preserve">No show</t>
        </is>
      </c>
      <c r="D30" s="69" t="str">
        <f>IFERROR(1/(1/INDEX(calculos!$C$55:$K$83,MATCH("NC No show",calculos!$A$55:$A$83,0),MATCH($A$23,calculos!$C$54:$K$54,0))),"")</f>
        <v/>
      </c>
      <c r="E30" s="70"/>
      <c r="F30" s="71" t="str">
        <f>IF(F$3="","",IF(COUNTIFS(Base!$A$3:$A$5001,F$3,Base!$B$3:$B$5001,$A$23,Base!$V$3:$V$5001,"&lt;&gt;")=0,"",SUMIFS(Base!$V$3:$V$5001,Base!$A$3:$A$5001,F$3,Base!$B$3:$B$5001,$A$23)))</f>
        <v/>
      </c>
      <c r="G30" s="72" t="str">
        <f>IF(G$3="","",IF(COUNTIFS(Base!$A$3:$A$5001,G$3,Base!$B$3:$B$5001,$A$23,Base!$V$3:$V$5001,"&lt;&gt;")=0,"",SUMIFS(Base!$V$3:$V$5001,Base!$A$3:$A$5001,G$3,Base!$B$3:$B$5001,$A$23)))</f>
        <v/>
      </c>
      <c r="H30" s="72" t="str">
        <f>IF(H$3="","",IF(COUNTIFS(Base!$A$3:$A$5001,H$3,Base!$B$3:$B$5001,$A$23,Base!$V$3:$V$5001,"&lt;&gt;")=0,"",SUMIFS(Base!$V$3:$V$5001,Base!$A$3:$A$5001,H$3,Base!$B$3:$B$5001,$A$23)))</f>
        <v/>
      </c>
      <c r="I30" s="72" t="str">
        <f>IF(I$3="","",IF(COUNTIFS(Base!$A$3:$A$5001,I$3,Base!$B$3:$B$5001,$A$23,Base!$V$3:$V$5001,"&lt;&gt;")=0,"",SUMIFS(Base!$V$3:$V$5001,Base!$A$3:$A$5001,I$3,Base!$B$3:$B$5001,$A$23)))</f>
        <v/>
      </c>
      <c r="J30" s="72" t="str">
        <f>IF(J$3="","",IF(COUNTIFS(Base!$A$3:$A$5001,J$3,Base!$B$3:$B$5001,$A$23,Base!$V$3:$V$5001,"&lt;&gt;")=0,"",SUMIFS(Base!$V$3:$V$5001,Base!$A$3:$A$5001,J$3,Base!$B$3:$B$5001,$A$23)))</f>
        <v/>
      </c>
      <c r="K30" s="72" t="str">
        <f>IF(K$3="","",IF(COUNTIFS(Base!$A$3:$A$5001,K$3,Base!$B$3:$B$5001,$A$23,Base!$V$3:$V$5001,"&lt;&gt;")=0,"",SUMIFS(Base!$V$3:$V$5001,Base!$A$3:$A$5001,K$3,Base!$B$3:$B$5001,$A$23)))</f>
        <v/>
      </c>
      <c r="L30" s="72" t="str">
        <f>IF(L$3="","",IF(COUNTIFS(Base!$A$3:$A$5001,L$3,Base!$B$3:$B$5001,$A$23,Base!$V$3:$V$5001,"&lt;&gt;")=0,"",SUMIFS(Base!$V$3:$V$5001,Base!$A$3:$A$5001,L$3,Base!$B$3:$B$5001,$A$23)))</f>
        <v/>
      </c>
      <c r="M30" s="72" t="str">
        <f>IF(M$3="","",IF(COUNTIFS(Base!$A$3:$A$5001,M$3,Base!$B$3:$B$5001,$A$23,Base!$V$3:$V$5001,"&lt;&gt;")=0,"",SUMIFS(Base!$V$3:$V$5001,Base!$A$3:$A$5001,M$3,Base!$B$3:$B$5001,$A$23)))</f>
        <v/>
      </c>
      <c r="N30" s="72" t="str">
        <f>IF(N$3="","",IF(COUNTIFS(Base!$A$3:$A$5001,N$3,Base!$B$3:$B$5001,$A$23,Base!$V$3:$V$5001,"&lt;&gt;")=0,"",SUMIFS(Base!$V$3:$V$5001,Base!$A$3:$A$5001,N$3,Base!$B$3:$B$5001,$A$23)))</f>
        <v/>
      </c>
      <c r="O30" s="72" t="str">
        <f>IF(O$3="","",IF(COUNTIFS(Base!$A$3:$A$5001,O$3,Base!$B$3:$B$5001,$A$23,Base!$V$3:$V$5001,"&lt;&gt;")=0,"",SUMIFS(Base!$V$3:$V$5001,Base!$A$3:$A$5001,O$3,Base!$B$3:$B$5001,$A$23)))</f>
        <v/>
      </c>
      <c r="P30" s="72" t="str">
        <f>IF(P$3="","",IF(COUNTIFS(Base!$A$3:$A$5001,P$3,Base!$B$3:$B$5001,$A$23,Base!$V$3:$V$5001,"&lt;&gt;")=0,"",SUMIFS(Base!$V$3:$V$5001,Base!$A$3:$A$5001,P$3,Base!$B$3:$B$5001,$A$23)))</f>
        <v/>
      </c>
      <c r="Q30" s="72" t="str">
        <f>IF(Q$3="","",IF(COUNTIFS(Base!$A$3:$A$5001,Q$3,Base!$B$3:$B$5001,$A$23,Base!$V$3:$V$5001,"&lt;&gt;")=0,"",SUMIFS(Base!$V$3:$V$5001,Base!$A$3:$A$5001,Q$3,Base!$B$3:$B$5001,$A$23)))</f>
        <v/>
      </c>
      <c r="R30" s="72" t="str">
        <f>IF(R$3="","",IF(COUNTIFS(Base!$A$3:$A$5001,R$3,Base!$B$3:$B$5001,$A$23,Base!$V$3:$V$5001,"&lt;&gt;")=0,"",SUMIFS(Base!$V$3:$V$5001,Base!$A$3:$A$5001,R$3,Base!$B$3:$B$5001,$A$23)))</f>
        <v/>
      </c>
      <c r="S30" s="72" t="str">
        <f>IF(S$3="","",IF(COUNTIFS(Base!$A$3:$A$5001,S$3,Base!$B$3:$B$5001,$A$23,Base!$V$3:$V$5001,"&lt;&gt;")=0,"",SUMIFS(Base!$V$3:$V$5001,Base!$A$3:$A$5001,S$3,Base!$B$3:$B$5001,$A$23)))</f>
        <v/>
      </c>
      <c r="T30" s="72" t="str">
        <f>IF(T$3="","",IF(COUNTIFS(Base!$A$3:$A$5001,T$3,Base!$B$3:$B$5001,$A$23,Base!$V$3:$V$5001,"&lt;&gt;")=0,"",SUMIFS(Base!$V$3:$V$5001,Base!$A$3:$A$5001,T$3,Base!$B$3:$B$5001,$A$23)))</f>
        <v/>
      </c>
      <c r="U30" s="72" t="str">
        <f>IF(U$3="","",IF(COUNTIFS(Base!$A$3:$A$5001,U$3,Base!$B$3:$B$5001,$A$23,Base!$V$3:$V$5001,"&lt;&gt;")=0,"",SUMIFS(Base!$V$3:$V$5001,Base!$A$3:$A$5001,U$3,Base!$B$3:$B$5001,$A$23)))</f>
        <v/>
      </c>
      <c r="V30" s="72" t="str">
        <f>IF(V$3="","",IF(COUNTIFS(Base!$A$3:$A$5001,V$3,Base!$B$3:$B$5001,$A$23,Base!$V$3:$V$5001,"&lt;&gt;")=0,"",SUMIFS(Base!$V$3:$V$5001,Base!$A$3:$A$5001,V$3,Base!$B$3:$B$5001,$A$23)))</f>
        <v/>
      </c>
      <c r="W30" s="72" t="str">
        <f>IF(W$3="","",IF(COUNTIFS(Base!$A$3:$A$5001,W$3,Base!$B$3:$B$5001,$A$23,Base!$V$3:$V$5001,"&lt;&gt;")=0,"",SUMIFS(Base!$V$3:$V$5001,Base!$A$3:$A$5001,W$3,Base!$B$3:$B$5001,$A$23)))</f>
        <v/>
      </c>
      <c r="X30" s="72" t="str">
        <f>IF(X$3="","",IF(COUNTIFS(Base!$A$3:$A$5001,X$3,Base!$B$3:$B$5001,$A$23,Base!$V$3:$V$5001,"&lt;&gt;")=0,"",SUMIFS(Base!$V$3:$V$5001,Base!$A$3:$A$5001,X$3,Base!$B$3:$B$5001,$A$23)))</f>
        <v/>
      </c>
      <c r="Y30" s="72" t="str">
        <f>IF(Y$3="","",IF(COUNTIFS(Base!$A$3:$A$5001,Y$3,Base!$B$3:$B$5001,$A$23,Base!$V$3:$V$5001,"&lt;&gt;")=0,"",SUMIFS(Base!$V$3:$V$5001,Base!$A$3:$A$5001,Y$3,Base!$B$3:$B$5001,$A$23)))</f>
        <v/>
      </c>
      <c r="Z30" s="72" t="str">
        <f>IF(Z$3="","",IF(COUNTIFS(Base!$A$3:$A$5001,Z$3,Base!$B$3:$B$5001,$A$23,Base!$V$3:$V$5001,"&lt;&gt;")=0,"",SUMIFS(Base!$V$3:$V$5001,Base!$A$3:$A$5001,Z$3,Base!$B$3:$B$5001,$A$23)))</f>
        <v/>
      </c>
      <c r="AA30" s="72" t="str">
        <f>IF(AA$3="","",IF(COUNTIFS(Base!$A$3:$A$5001,AA$3,Base!$B$3:$B$5001,$A$23,Base!$V$3:$V$5001,"&lt;&gt;")=0,"",SUMIFS(Base!$V$3:$V$5001,Base!$A$3:$A$5001,AA$3,Base!$B$3:$B$5001,$A$23)))</f>
        <v/>
      </c>
      <c r="AB30" s="72" t="str">
        <f>IF(AB$3="","",IF(COUNTIFS(Base!$A$3:$A$5001,AB$3,Base!$B$3:$B$5001,$A$23,Base!$V$3:$V$5001,"&lt;&gt;")=0,"",SUMIFS(Base!$V$3:$V$5001,Base!$A$3:$A$5001,AB$3,Base!$B$3:$B$5001,$A$23)))</f>
        <v/>
      </c>
      <c r="AC30" s="72" t="str">
        <f>IF(AC$3="","",IF(COUNTIFS(Base!$A$3:$A$5001,AC$3,Base!$B$3:$B$5001,$A$23,Base!$V$3:$V$5001,"&lt;&gt;")=0,"",SUMIFS(Base!$V$3:$V$5001,Base!$A$3:$A$5001,AC$3,Base!$B$3:$B$5001,$A$23)))</f>
        <v/>
      </c>
      <c r="AD30" s="72" t="str">
        <f>IF(AD$3="","",IF(COUNTIFS(Base!$A$3:$A$5001,AD$3,Base!$B$3:$B$5001,$A$23,Base!$V$3:$V$5001,"&lt;&gt;")=0,"",SUMIFS(Base!$V$3:$V$5001,Base!$A$3:$A$5001,AD$3,Base!$B$3:$B$5001,$A$23)))</f>
        <v/>
      </c>
      <c r="AE30" s="72" t="str">
        <f>IF(AE$3="","",IF(COUNTIFS(Base!$A$3:$A$5001,AE$3,Base!$B$3:$B$5001,$A$23,Base!$V$3:$V$5001,"&lt;&gt;")=0,"",SUMIFS(Base!$V$3:$V$5001,Base!$A$3:$A$5001,AE$3,Base!$B$3:$B$5001,$A$23)))</f>
        <v/>
      </c>
      <c r="AF30" s="72" t="str">
        <f>IF(AF$3="","",IF(COUNTIFS(Base!$A$3:$A$5001,AF$3,Base!$B$3:$B$5001,$A$23,Base!$V$3:$V$5001,"&lt;&gt;")=0,"",SUMIFS(Base!$V$3:$V$5001,Base!$A$3:$A$5001,AF$3,Base!$B$3:$B$5001,$A$23)))</f>
        <v/>
      </c>
      <c r="AG30" s="72" t="str">
        <f>IF(AG$3="","",IF(COUNTIFS(Base!$A$3:$A$5001,AG$3,Base!$B$3:$B$5001,$A$23,Base!$V$3:$V$5001,"&lt;&gt;")=0,"",SUMIFS(Base!$V$3:$V$5001,Base!$A$3:$A$5001,AG$3,Base!$B$3:$B$5001,$A$23)))</f>
        <v/>
      </c>
      <c r="AH30" s="72" t="str">
        <f>IF(AH$3="","",IF(COUNTIFS(Base!$A$3:$A$5001,AH$3,Base!$B$3:$B$5001,$A$23,Base!$V$3:$V$5001,"&lt;&gt;")=0,"",SUMIFS(Base!$V$3:$V$5001,Base!$A$3:$A$5001,AH$3,Base!$B$3:$B$5001,$A$23)))</f>
        <v/>
      </c>
      <c r="AI30" s="72" t="str">
        <f>IF(AI$3="","",IF(COUNTIFS(Base!$A$3:$A$5001,AI$3,Base!$B$3:$B$5001,$A$23,Base!$V$3:$V$5001,"&lt;&gt;")=0,"",SUMIFS(Base!$V$3:$V$5001,Base!$A$3:$A$5001,AI$3,Base!$B$3:$B$5001,$A$23)))</f>
        <v/>
      </c>
      <c r="AJ30" s="73" t="str">
        <f>IF(AJ$3="","",IF(COUNTIFS(Base!$A$3:$A$5001,AJ$3,Base!$B$3:$B$5001,$A$23,Base!$V$3:$V$5001,"&lt;&gt;")=0,"",SUMIFS(Base!$V$3:$V$5001,Base!$A$3:$A$5001,AJ$3,Base!$B$3:$B$5001,$A$23)))</f>
        <v/>
      </c>
      <c r="AK30" s="74" t="str">
        <f>IF(COUNT(F30:AJ30)=0,"",SUM(F30:AJ30))</f>
        <v/>
      </c>
    </row>
    <row r="31" ht="15.75" customHeight="1">
      <c r="A31" s="118"/>
      <c r="B31" s="113"/>
      <c r="C31" s="75" t="inlineStr">
        <is>
          <t xml:space="preserve">Backlog</t>
        </is>
      </c>
      <c r="D31" s="76" t="str">
        <f>IFERROR(1/(1/INDEX(calculos!$C$55:$K$83,MATCH("NC Backlog",calculos!$A$55:$A$83,0),MATCH($A$23,calculos!$C$54:$K$54,0))),"")</f>
        <v/>
      </c>
      <c r="E31" s="77"/>
      <c r="F31" s="78" t="str">
        <f>IF(F$3="","",IF(COUNTIFS(Base!$A$3:$A$5001,F$3,Base!$B$3:$B$5001,$A$23,Base!$W$3:$W$5001,"&lt;&gt;")=0,"",SUMIFS(Base!$W$3:$W$5001,Base!$A$3:$A$5001,F$3,Base!$B$3:$B$5001,$A$23)))</f>
        <v/>
      </c>
      <c r="G31" s="79" t="str">
        <f>IF(G$3="","",IF(COUNTIFS(Base!$A$3:$A$5001,G$3,Base!$B$3:$B$5001,$A$23,Base!$W$3:$W$5001,"&lt;&gt;")=0,"",SUMIFS(Base!$W$3:$W$5001,Base!$A$3:$A$5001,G$3,Base!$B$3:$B$5001,$A$23)))</f>
        <v/>
      </c>
      <c r="H31" s="79" t="str">
        <f>IF(H$3="","",IF(COUNTIFS(Base!$A$3:$A$5001,H$3,Base!$B$3:$B$5001,$A$23,Base!$W$3:$W$5001,"&lt;&gt;")=0,"",SUMIFS(Base!$W$3:$W$5001,Base!$A$3:$A$5001,H$3,Base!$B$3:$B$5001,$A$23)))</f>
        <v/>
      </c>
      <c r="I31" s="79" t="str">
        <f>IF(I$3="","",IF(COUNTIFS(Base!$A$3:$A$5001,I$3,Base!$B$3:$B$5001,$A$23,Base!$W$3:$W$5001,"&lt;&gt;")=0,"",SUMIFS(Base!$W$3:$W$5001,Base!$A$3:$A$5001,I$3,Base!$B$3:$B$5001,$A$23)))</f>
        <v/>
      </c>
      <c r="J31" s="79" t="str">
        <f>IF(J$3="","",IF(COUNTIFS(Base!$A$3:$A$5001,J$3,Base!$B$3:$B$5001,$A$23,Base!$W$3:$W$5001,"&lt;&gt;")=0,"",SUMIFS(Base!$W$3:$W$5001,Base!$A$3:$A$5001,J$3,Base!$B$3:$B$5001,$A$23)))</f>
        <v/>
      </c>
      <c r="K31" s="79" t="str">
        <f>IF(K$3="","",IF(COUNTIFS(Base!$A$3:$A$5001,K$3,Base!$B$3:$B$5001,$A$23,Base!$W$3:$W$5001,"&lt;&gt;")=0,"",SUMIFS(Base!$W$3:$W$5001,Base!$A$3:$A$5001,K$3,Base!$B$3:$B$5001,$A$23)))</f>
        <v/>
      </c>
      <c r="L31" s="79" t="str">
        <f>IF(L$3="","",IF(COUNTIFS(Base!$A$3:$A$5001,L$3,Base!$B$3:$B$5001,$A$23,Base!$W$3:$W$5001,"&lt;&gt;")=0,"",SUMIFS(Base!$W$3:$W$5001,Base!$A$3:$A$5001,L$3,Base!$B$3:$B$5001,$A$23)))</f>
        <v/>
      </c>
      <c r="M31" s="79" t="str">
        <f>IF(M$3="","",IF(COUNTIFS(Base!$A$3:$A$5001,M$3,Base!$B$3:$B$5001,$A$23,Base!$W$3:$W$5001,"&lt;&gt;")=0,"",SUMIFS(Base!$W$3:$W$5001,Base!$A$3:$A$5001,M$3,Base!$B$3:$B$5001,$A$23)))</f>
        <v/>
      </c>
      <c r="N31" s="79" t="str">
        <f>IF(N$3="","",IF(COUNTIFS(Base!$A$3:$A$5001,N$3,Base!$B$3:$B$5001,$A$23,Base!$W$3:$W$5001,"&lt;&gt;")=0,"",SUMIFS(Base!$W$3:$W$5001,Base!$A$3:$A$5001,N$3,Base!$B$3:$B$5001,$A$23)))</f>
        <v/>
      </c>
      <c r="O31" s="79" t="str">
        <f>IF(O$3="","",IF(COUNTIFS(Base!$A$3:$A$5001,O$3,Base!$B$3:$B$5001,$A$23,Base!$W$3:$W$5001,"&lt;&gt;")=0,"",SUMIFS(Base!$W$3:$W$5001,Base!$A$3:$A$5001,O$3,Base!$B$3:$B$5001,$A$23)))</f>
        <v/>
      </c>
      <c r="P31" s="79" t="str">
        <f>IF(P$3="","",IF(COUNTIFS(Base!$A$3:$A$5001,P$3,Base!$B$3:$B$5001,$A$23,Base!$W$3:$W$5001,"&lt;&gt;")=0,"",SUMIFS(Base!$W$3:$W$5001,Base!$A$3:$A$5001,P$3,Base!$B$3:$B$5001,$A$23)))</f>
        <v/>
      </c>
      <c r="Q31" s="79" t="str">
        <f>IF(Q$3="","",IF(COUNTIFS(Base!$A$3:$A$5001,Q$3,Base!$B$3:$B$5001,$A$23,Base!$W$3:$W$5001,"&lt;&gt;")=0,"",SUMIFS(Base!$W$3:$W$5001,Base!$A$3:$A$5001,Q$3,Base!$B$3:$B$5001,$A$23)))</f>
        <v/>
      </c>
      <c r="R31" s="79" t="str">
        <f>IF(R$3="","",IF(COUNTIFS(Base!$A$3:$A$5001,R$3,Base!$B$3:$B$5001,$A$23,Base!$W$3:$W$5001,"&lt;&gt;")=0,"",SUMIFS(Base!$W$3:$W$5001,Base!$A$3:$A$5001,R$3,Base!$B$3:$B$5001,$A$23)))</f>
        <v/>
      </c>
      <c r="S31" s="79" t="str">
        <f>IF(S$3="","",IF(COUNTIFS(Base!$A$3:$A$5001,S$3,Base!$B$3:$B$5001,$A$23,Base!$W$3:$W$5001,"&lt;&gt;")=0,"",SUMIFS(Base!$W$3:$W$5001,Base!$A$3:$A$5001,S$3,Base!$B$3:$B$5001,$A$23)))</f>
        <v/>
      </c>
      <c r="T31" s="79" t="str">
        <f>IF(T$3="","",IF(COUNTIFS(Base!$A$3:$A$5001,T$3,Base!$B$3:$B$5001,$A$23,Base!$W$3:$W$5001,"&lt;&gt;")=0,"",SUMIFS(Base!$W$3:$W$5001,Base!$A$3:$A$5001,T$3,Base!$B$3:$B$5001,$A$23)))</f>
        <v/>
      </c>
      <c r="U31" s="79" t="str">
        <f>IF(U$3="","",IF(COUNTIFS(Base!$A$3:$A$5001,U$3,Base!$B$3:$B$5001,$A$23,Base!$W$3:$W$5001,"&lt;&gt;")=0,"",SUMIFS(Base!$W$3:$W$5001,Base!$A$3:$A$5001,U$3,Base!$B$3:$B$5001,$A$23)))</f>
        <v/>
      </c>
      <c r="V31" s="79" t="str">
        <f>IF(V$3="","",IF(COUNTIFS(Base!$A$3:$A$5001,V$3,Base!$B$3:$B$5001,$A$23,Base!$W$3:$W$5001,"&lt;&gt;")=0,"",SUMIFS(Base!$W$3:$W$5001,Base!$A$3:$A$5001,V$3,Base!$B$3:$B$5001,$A$23)))</f>
        <v/>
      </c>
      <c r="W31" s="79" t="str">
        <f>IF(W$3="","",IF(COUNTIFS(Base!$A$3:$A$5001,W$3,Base!$B$3:$B$5001,$A$23,Base!$W$3:$W$5001,"&lt;&gt;")=0,"",SUMIFS(Base!$W$3:$W$5001,Base!$A$3:$A$5001,W$3,Base!$B$3:$B$5001,$A$23)))</f>
        <v/>
      </c>
      <c r="X31" s="79" t="str">
        <f>IF(X$3="","",IF(COUNTIFS(Base!$A$3:$A$5001,X$3,Base!$B$3:$B$5001,$A$23,Base!$W$3:$W$5001,"&lt;&gt;")=0,"",SUMIFS(Base!$W$3:$W$5001,Base!$A$3:$A$5001,X$3,Base!$B$3:$B$5001,$A$23)))</f>
        <v/>
      </c>
      <c r="Y31" s="79" t="str">
        <f>IF(Y$3="","",IF(COUNTIFS(Base!$A$3:$A$5001,Y$3,Base!$B$3:$B$5001,$A$23,Base!$W$3:$W$5001,"&lt;&gt;")=0,"",SUMIFS(Base!$W$3:$W$5001,Base!$A$3:$A$5001,Y$3,Base!$B$3:$B$5001,$A$23)))</f>
        <v/>
      </c>
      <c r="Z31" s="79" t="str">
        <f>IF(Z$3="","",IF(COUNTIFS(Base!$A$3:$A$5001,Z$3,Base!$B$3:$B$5001,$A$23,Base!$W$3:$W$5001,"&lt;&gt;")=0,"",SUMIFS(Base!$W$3:$W$5001,Base!$A$3:$A$5001,Z$3,Base!$B$3:$B$5001,$A$23)))</f>
        <v/>
      </c>
      <c r="AA31" s="79" t="str">
        <f>IF(AA$3="","",IF(COUNTIFS(Base!$A$3:$A$5001,AA$3,Base!$B$3:$B$5001,$A$23,Base!$W$3:$W$5001,"&lt;&gt;")=0,"",SUMIFS(Base!$W$3:$W$5001,Base!$A$3:$A$5001,AA$3,Base!$B$3:$B$5001,$A$23)))</f>
        <v/>
      </c>
      <c r="AB31" s="79" t="str">
        <f>IF(AB$3="","",IF(COUNTIFS(Base!$A$3:$A$5001,AB$3,Base!$B$3:$B$5001,$A$23,Base!$W$3:$W$5001,"&lt;&gt;")=0,"",SUMIFS(Base!$W$3:$W$5001,Base!$A$3:$A$5001,AB$3,Base!$B$3:$B$5001,$A$23)))</f>
        <v/>
      </c>
      <c r="AC31" s="79" t="str">
        <f>IF(AC$3="","",IF(COUNTIFS(Base!$A$3:$A$5001,AC$3,Base!$B$3:$B$5001,$A$23,Base!$W$3:$W$5001,"&lt;&gt;")=0,"",SUMIFS(Base!$W$3:$W$5001,Base!$A$3:$A$5001,AC$3,Base!$B$3:$B$5001,$A$23)))</f>
        <v/>
      </c>
      <c r="AD31" s="79" t="str">
        <f>IF(AD$3="","",IF(COUNTIFS(Base!$A$3:$A$5001,AD$3,Base!$B$3:$B$5001,$A$23,Base!$W$3:$W$5001,"&lt;&gt;")=0,"",SUMIFS(Base!$W$3:$W$5001,Base!$A$3:$A$5001,AD$3,Base!$B$3:$B$5001,$A$23)))</f>
        <v/>
      </c>
      <c r="AE31" s="79" t="str">
        <f>IF(AE$3="","",IF(COUNTIFS(Base!$A$3:$A$5001,AE$3,Base!$B$3:$B$5001,$A$23,Base!$W$3:$W$5001,"&lt;&gt;")=0,"",SUMIFS(Base!$W$3:$W$5001,Base!$A$3:$A$5001,AE$3,Base!$B$3:$B$5001,$A$23)))</f>
        <v/>
      </c>
      <c r="AF31" s="79" t="str">
        <f>IF(AF$3="","",IF(COUNTIFS(Base!$A$3:$A$5001,AF$3,Base!$B$3:$B$5001,$A$23,Base!$W$3:$W$5001,"&lt;&gt;")=0,"",SUMIFS(Base!$W$3:$W$5001,Base!$A$3:$A$5001,AF$3,Base!$B$3:$B$5001,$A$23)))</f>
        <v/>
      </c>
      <c r="AG31" s="79" t="str">
        <f>IF(AG$3="","",IF(COUNTIFS(Base!$A$3:$A$5001,AG$3,Base!$B$3:$B$5001,$A$23,Base!$W$3:$W$5001,"&lt;&gt;")=0,"",SUMIFS(Base!$W$3:$W$5001,Base!$A$3:$A$5001,AG$3,Base!$B$3:$B$5001,$A$23)))</f>
        <v/>
      </c>
      <c r="AH31" s="79" t="str">
        <f>IF(AH$3="","",IF(COUNTIFS(Base!$A$3:$A$5001,AH$3,Base!$B$3:$B$5001,$A$23,Base!$W$3:$W$5001,"&lt;&gt;")=0,"",SUMIFS(Base!$W$3:$W$5001,Base!$A$3:$A$5001,AH$3,Base!$B$3:$B$5001,$A$23)))</f>
        <v/>
      </c>
      <c r="AI31" s="79" t="str">
        <f>IF(AI$3="","",IF(COUNTIFS(Base!$A$3:$A$5001,AI$3,Base!$B$3:$B$5001,$A$23,Base!$W$3:$W$5001,"&lt;&gt;")=0,"",SUMIFS(Base!$W$3:$W$5001,Base!$A$3:$A$5001,AI$3,Base!$B$3:$B$5001,$A$23)))</f>
        <v/>
      </c>
      <c r="AJ31" s="80" t="str">
        <f>IF(AJ$3="","",IF(COUNTIFS(Base!$A$3:$A$5001,AJ$3,Base!$B$3:$B$5001,$A$23,Base!$W$3:$W$5001,"&lt;&gt;")=0,"",SUMIFS(Base!$W$3:$W$5001,Base!$A$3:$A$5001,AJ$3,Base!$B$3:$B$5001,$A$23)))</f>
        <v/>
      </c>
      <c r="AK31" s="76" t="str">
        <f>IFERROR(LOOKUP(9.99E+307,F31:AJ31),"")</f>
        <v/>
      </c>
    </row>
    <row r="32" ht="15.75" customHeight="1">
      <c r="A32" s="118"/>
      <c r="B32" s="105" t="inlineStr">
        <is>
          <t xml:space="preserve">OCUPAÇÃO (P.P)</t>
        </is>
      </c>
      <c r="C32" s="21" t="inlineStr">
        <is>
          <t xml:space="preserve">Posições Disponíveis</t>
        </is>
      </c>
      <c r="D32" s="22" t="str">
        <f>IFERROR(1/(1/INDEX(calculos!$C$55:$K$83,MATCH("Posições Disponíveis",calculos!$A$55:$A$83,0),MATCH($A$23,calculos!$C$54:$K$54,0))),"")</f>
        <v/>
      </c>
      <c r="E32" s="23"/>
      <c r="F32" s="24" t="str">
        <f>IF(F$3="","",IF(COUNTIFS(Base!$A$3:$A$5001,F$3,Base!$B$3:$B$5001,$A$23,Base!$X$3:$X$5001,"&lt;&gt;")=0,"",SUMIFS(Base!$X$3:$X$5001,Base!$A$3:$A$5001,F$3,Base!$B$3:$B$5001,$A$23)))</f>
        <v/>
      </c>
      <c r="G32" s="25" t="str">
        <f>IF(G$3="","",IF(COUNTIFS(Base!$A$3:$A$5001,G$3,Base!$B$3:$B$5001,$A$23,Base!$X$3:$X$5001,"&lt;&gt;")=0,"",SUMIFS(Base!$X$3:$X$5001,Base!$A$3:$A$5001,G$3,Base!$B$3:$B$5001,$A$23)))</f>
        <v/>
      </c>
      <c r="H32" s="25" t="str">
        <f>IF(H$3="","",IF(COUNTIFS(Base!$A$3:$A$5001,H$3,Base!$B$3:$B$5001,$A$23,Base!$X$3:$X$5001,"&lt;&gt;")=0,"",SUMIFS(Base!$X$3:$X$5001,Base!$A$3:$A$5001,H$3,Base!$B$3:$B$5001,$A$23)))</f>
        <v/>
      </c>
      <c r="I32" s="25" t="str">
        <f>IF(I$3="","",IF(COUNTIFS(Base!$A$3:$A$5001,I$3,Base!$B$3:$B$5001,$A$23,Base!$X$3:$X$5001,"&lt;&gt;")=0,"",SUMIFS(Base!$X$3:$X$5001,Base!$A$3:$A$5001,I$3,Base!$B$3:$B$5001,$A$23)))</f>
        <v/>
      </c>
      <c r="J32" s="25" t="str">
        <f>IF(J$3="","",IF(COUNTIFS(Base!$A$3:$A$5001,J$3,Base!$B$3:$B$5001,$A$23,Base!$X$3:$X$5001,"&lt;&gt;")=0,"",SUMIFS(Base!$X$3:$X$5001,Base!$A$3:$A$5001,J$3,Base!$B$3:$B$5001,$A$23)))</f>
        <v/>
      </c>
      <c r="K32" s="25" t="str">
        <f>IF(K$3="","",IF(COUNTIFS(Base!$A$3:$A$5001,K$3,Base!$B$3:$B$5001,$A$23,Base!$X$3:$X$5001,"&lt;&gt;")=0,"",SUMIFS(Base!$X$3:$X$5001,Base!$A$3:$A$5001,K$3,Base!$B$3:$B$5001,$A$23)))</f>
        <v/>
      </c>
      <c r="L32" s="25" t="str">
        <f>IF(L$3="","",IF(COUNTIFS(Base!$A$3:$A$5001,L$3,Base!$B$3:$B$5001,$A$23,Base!$X$3:$X$5001,"&lt;&gt;")=0,"",SUMIFS(Base!$X$3:$X$5001,Base!$A$3:$A$5001,L$3,Base!$B$3:$B$5001,$A$23)))</f>
        <v/>
      </c>
      <c r="M32" s="25" t="str">
        <f>IF(M$3="","",IF(COUNTIFS(Base!$A$3:$A$5001,M$3,Base!$B$3:$B$5001,$A$23,Base!$X$3:$X$5001,"&lt;&gt;")=0,"",SUMIFS(Base!$X$3:$X$5001,Base!$A$3:$A$5001,M$3,Base!$B$3:$B$5001,$A$23)))</f>
        <v/>
      </c>
      <c r="N32" s="25" t="str">
        <f>IF(N$3="","",IF(COUNTIFS(Base!$A$3:$A$5001,N$3,Base!$B$3:$B$5001,$A$23,Base!$X$3:$X$5001,"&lt;&gt;")=0,"",SUMIFS(Base!$X$3:$X$5001,Base!$A$3:$A$5001,N$3,Base!$B$3:$B$5001,$A$23)))</f>
        <v/>
      </c>
      <c r="O32" s="25" t="str">
        <f>IF(O$3="","",IF(COUNTIFS(Base!$A$3:$A$5001,O$3,Base!$B$3:$B$5001,$A$23,Base!$X$3:$X$5001,"&lt;&gt;")=0,"",SUMIFS(Base!$X$3:$X$5001,Base!$A$3:$A$5001,O$3,Base!$B$3:$B$5001,$A$23)))</f>
        <v/>
      </c>
      <c r="P32" s="25" t="str">
        <f>IF(P$3="","",IF(COUNTIFS(Base!$A$3:$A$5001,P$3,Base!$B$3:$B$5001,$A$23,Base!$X$3:$X$5001,"&lt;&gt;")=0,"",SUMIFS(Base!$X$3:$X$5001,Base!$A$3:$A$5001,P$3,Base!$B$3:$B$5001,$A$23)))</f>
        <v/>
      </c>
      <c r="Q32" s="25" t="str">
        <f>IF(Q$3="","",IF(COUNTIFS(Base!$A$3:$A$5001,Q$3,Base!$B$3:$B$5001,$A$23,Base!$X$3:$X$5001,"&lt;&gt;")=0,"",SUMIFS(Base!$X$3:$X$5001,Base!$A$3:$A$5001,Q$3,Base!$B$3:$B$5001,$A$23)))</f>
        <v/>
      </c>
      <c r="R32" s="25" t="str">
        <f>IF(R$3="","",IF(COUNTIFS(Base!$A$3:$A$5001,R$3,Base!$B$3:$B$5001,$A$23,Base!$X$3:$X$5001,"&lt;&gt;")=0,"",SUMIFS(Base!$X$3:$X$5001,Base!$A$3:$A$5001,R$3,Base!$B$3:$B$5001,$A$23)))</f>
        <v/>
      </c>
      <c r="S32" s="25" t="str">
        <f>IF(S$3="","",IF(COUNTIFS(Base!$A$3:$A$5001,S$3,Base!$B$3:$B$5001,$A$23,Base!$X$3:$X$5001,"&lt;&gt;")=0,"",SUMIFS(Base!$X$3:$X$5001,Base!$A$3:$A$5001,S$3,Base!$B$3:$B$5001,$A$23)))</f>
        <v/>
      </c>
      <c r="T32" s="25" t="str">
        <f>IF(T$3="","",IF(COUNTIFS(Base!$A$3:$A$5001,T$3,Base!$B$3:$B$5001,$A$23,Base!$X$3:$X$5001,"&lt;&gt;")=0,"",SUMIFS(Base!$X$3:$X$5001,Base!$A$3:$A$5001,T$3,Base!$B$3:$B$5001,$A$23)))</f>
        <v/>
      </c>
      <c r="U32" s="25" t="str">
        <f>IF(U$3="","",IF(COUNTIFS(Base!$A$3:$A$5001,U$3,Base!$B$3:$B$5001,$A$23,Base!$X$3:$X$5001,"&lt;&gt;")=0,"",SUMIFS(Base!$X$3:$X$5001,Base!$A$3:$A$5001,U$3,Base!$B$3:$B$5001,$A$23)))</f>
        <v/>
      </c>
      <c r="V32" s="25" t="str">
        <f>IF(V$3="","",IF(COUNTIFS(Base!$A$3:$A$5001,V$3,Base!$B$3:$B$5001,$A$23,Base!$X$3:$X$5001,"&lt;&gt;")=0,"",SUMIFS(Base!$X$3:$X$5001,Base!$A$3:$A$5001,V$3,Base!$B$3:$B$5001,$A$23)))</f>
        <v/>
      </c>
      <c r="W32" s="25" t="str">
        <f>IF(W$3="","",IF(COUNTIFS(Base!$A$3:$A$5001,W$3,Base!$B$3:$B$5001,$A$23,Base!$X$3:$X$5001,"&lt;&gt;")=0,"",SUMIFS(Base!$X$3:$X$5001,Base!$A$3:$A$5001,W$3,Base!$B$3:$B$5001,$A$23)))</f>
        <v/>
      </c>
      <c r="X32" s="25" t="str">
        <f>IF(X$3="","",IF(COUNTIFS(Base!$A$3:$A$5001,X$3,Base!$B$3:$B$5001,$A$23,Base!$X$3:$X$5001,"&lt;&gt;")=0,"",SUMIFS(Base!$X$3:$X$5001,Base!$A$3:$A$5001,X$3,Base!$B$3:$B$5001,$A$23)))</f>
        <v/>
      </c>
      <c r="Y32" s="25" t="str">
        <f>IF(Y$3="","",IF(COUNTIFS(Base!$A$3:$A$5001,Y$3,Base!$B$3:$B$5001,$A$23,Base!$X$3:$X$5001,"&lt;&gt;")=0,"",SUMIFS(Base!$X$3:$X$5001,Base!$A$3:$A$5001,Y$3,Base!$B$3:$B$5001,$A$23)))</f>
        <v/>
      </c>
      <c r="Z32" s="25" t="str">
        <f>IF(Z$3="","",IF(COUNTIFS(Base!$A$3:$A$5001,Z$3,Base!$B$3:$B$5001,$A$23,Base!$X$3:$X$5001,"&lt;&gt;")=0,"",SUMIFS(Base!$X$3:$X$5001,Base!$A$3:$A$5001,Z$3,Base!$B$3:$B$5001,$A$23)))</f>
        <v/>
      </c>
      <c r="AA32" s="25" t="str">
        <f>IF(AA$3="","",IF(COUNTIFS(Base!$A$3:$A$5001,AA$3,Base!$B$3:$B$5001,$A$23,Base!$X$3:$X$5001,"&lt;&gt;")=0,"",SUMIFS(Base!$X$3:$X$5001,Base!$A$3:$A$5001,AA$3,Base!$B$3:$B$5001,$A$23)))</f>
        <v/>
      </c>
      <c r="AB32" s="25" t="str">
        <f>IF(AB$3="","",IF(COUNTIFS(Base!$A$3:$A$5001,AB$3,Base!$B$3:$B$5001,$A$23,Base!$X$3:$X$5001,"&lt;&gt;")=0,"",SUMIFS(Base!$X$3:$X$5001,Base!$A$3:$A$5001,AB$3,Base!$B$3:$B$5001,$A$23)))</f>
        <v/>
      </c>
      <c r="AC32" s="25" t="str">
        <f>IF(AC$3="","",IF(COUNTIFS(Base!$A$3:$A$5001,AC$3,Base!$B$3:$B$5001,$A$23,Base!$X$3:$X$5001,"&lt;&gt;")=0,"",SUMIFS(Base!$X$3:$X$5001,Base!$A$3:$A$5001,AC$3,Base!$B$3:$B$5001,$A$23)))</f>
        <v/>
      </c>
      <c r="AD32" s="25" t="str">
        <f>IF(AD$3="","",IF(COUNTIFS(Base!$A$3:$A$5001,AD$3,Base!$B$3:$B$5001,$A$23,Base!$X$3:$X$5001,"&lt;&gt;")=0,"",SUMIFS(Base!$X$3:$X$5001,Base!$A$3:$A$5001,AD$3,Base!$B$3:$B$5001,$A$23)))</f>
        <v/>
      </c>
      <c r="AE32" s="25" t="str">
        <f>IF(AE$3="","",IF(COUNTIFS(Base!$A$3:$A$5001,AE$3,Base!$B$3:$B$5001,$A$23,Base!$X$3:$X$5001,"&lt;&gt;")=0,"",SUMIFS(Base!$X$3:$X$5001,Base!$A$3:$A$5001,AE$3,Base!$B$3:$B$5001,$A$23)))</f>
        <v/>
      </c>
      <c r="AF32" s="25" t="str">
        <f>IF(AF$3="","",IF(COUNTIFS(Base!$A$3:$A$5001,AF$3,Base!$B$3:$B$5001,$A$23,Base!$X$3:$X$5001,"&lt;&gt;")=0,"",SUMIFS(Base!$X$3:$X$5001,Base!$A$3:$A$5001,AF$3,Base!$B$3:$B$5001,$A$23)))</f>
        <v/>
      </c>
      <c r="AG32" s="25" t="str">
        <f>IF(AG$3="","",IF(COUNTIFS(Base!$A$3:$A$5001,AG$3,Base!$B$3:$B$5001,$A$23,Base!$X$3:$X$5001,"&lt;&gt;")=0,"",SUMIFS(Base!$X$3:$X$5001,Base!$A$3:$A$5001,AG$3,Base!$B$3:$B$5001,$A$23)))</f>
        <v/>
      </c>
      <c r="AH32" s="25" t="str">
        <f>IF(AH$3="","",IF(COUNTIFS(Base!$A$3:$A$5001,AH$3,Base!$B$3:$B$5001,$A$23,Base!$X$3:$X$5001,"&lt;&gt;")=0,"",SUMIFS(Base!$X$3:$X$5001,Base!$A$3:$A$5001,AH$3,Base!$B$3:$B$5001,$A$23)))</f>
        <v/>
      </c>
      <c r="AI32" s="25" t="str">
        <f>IF(AI$3="","",IF(COUNTIFS(Base!$A$3:$A$5001,AI$3,Base!$B$3:$B$5001,$A$23,Base!$X$3:$X$5001,"&lt;&gt;")=0,"",SUMIFS(Base!$X$3:$X$5001,Base!$A$3:$A$5001,AI$3,Base!$B$3:$B$5001,$A$23)))</f>
        <v/>
      </c>
      <c r="AJ32" s="26" t="str">
        <f>IF(AJ$3="","",IF(COUNTIFS(Base!$A$3:$A$5001,AJ$3,Base!$B$3:$B$5001,$A$23,Base!$X$3:$X$5001,"&lt;&gt;")=0,"",SUMIFS(Base!$X$3:$X$5001,Base!$A$3:$A$5001,AJ$3,Base!$B$3:$B$5001,$A$23)))</f>
        <v/>
      </c>
      <c r="AK32" s="27" t="str">
        <f>IFERROR(LOOKUP(9.99E+307,F32:AJ32),"")</f>
        <v/>
      </c>
    </row>
    <row r="33" ht="15.75" customHeight="1">
      <c r="A33" s="118"/>
      <c r="B33" s="106"/>
      <c r="C33" s="28" t="inlineStr">
        <is>
          <t xml:space="preserve">Posições Ocupadas</t>
        </is>
      </c>
      <c r="D33" s="29" t="str">
        <f>IFERROR(1/(1/INDEX(calculos!$C$55:$K$83,MATCH("Posições Ocupadas",calculos!$A$55:$A$83,0),MATCH($A$23,calculos!$C$54:$K$54,0))),"")</f>
        <v/>
      </c>
      <c r="E33" s="30"/>
      <c r="F33" s="31" t="str">
        <f>IF(F$3="","",IF(COUNTIFS(Base!$A$3:$A$5001,F$3,Base!$B$3:$B$5001,$A$23,Base!$Y$3:$Y$5001,"&lt;&gt;")=0,"",SUMIFS(Base!$Y$3:$Y$5001,Base!$A$3:$A$5001,F$3,Base!$B$3:$B$5001,$A$23)))</f>
        <v/>
      </c>
      <c r="G33" s="32" t="str">
        <f>IF(G$3="","",IF(COUNTIFS(Base!$A$3:$A$5001,G$3,Base!$B$3:$B$5001,$A$23,Base!$Y$3:$Y$5001,"&lt;&gt;")=0,"",SUMIFS(Base!$Y$3:$Y$5001,Base!$A$3:$A$5001,G$3,Base!$B$3:$B$5001,$A$23)))</f>
        <v/>
      </c>
      <c r="H33" s="32" t="str">
        <f>IF(H$3="","",IF(COUNTIFS(Base!$A$3:$A$5001,H$3,Base!$B$3:$B$5001,$A$23,Base!$Y$3:$Y$5001,"&lt;&gt;")=0,"",SUMIFS(Base!$Y$3:$Y$5001,Base!$A$3:$A$5001,H$3,Base!$B$3:$B$5001,$A$23)))</f>
        <v/>
      </c>
      <c r="I33" s="32" t="str">
        <f>IF(I$3="","",IF(COUNTIFS(Base!$A$3:$A$5001,I$3,Base!$B$3:$B$5001,$A$23,Base!$Y$3:$Y$5001,"&lt;&gt;")=0,"",SUMIFS(Base!$Y$3:$Y$5001,Base!$A$3:$A$5001,I$3,Base!$B$3:$B$5001,$A$23)))</f>
        <v/>
      </c>
      <c r="J33" s="32" t="str">
        <f>IF(J$3="","",IF(COUNTIFS(Base!$A$3:$A$5001,J$3,Base!$B$3:$B$5001,$A$23,Base!$Y$3:$Y$5001,"&lt;&gt;")=0,"",SUMIFS(Base!$Y$3:$Y$5001,Base!$A$3:$A$5001,J$3,Base!$B$3:$B$5001,$A$23)))</f>
        <v/>
      </c>
      <c r="K33" s="32" t="str">
        <f>IF(K$3="","",IF(COUNTIFS(Base!$A$3:$A$5001,K$3,Base!$B$3:$B$5001,$A$23,Base!$Y$3:$Y$5001,"&lt;&gt;")=0,"",SUMIFS(Base!$Y$3:$Y$5001,Base!$A$3:$A$5001,K$3,Base!$B$3:$B$5001,$A$23)))</f>
        <v/>
      </c>
      <c r="L33" s="32" t="str">
        <f>IF(L$3="","",IF(COUNTIFS(Base!$A$3:$A$5001,L$3,Base!$B$3:$B$5001,$A$23,Base!$Y$3:$Y$5001,"&lt;&gt;")=0,"",SUMIFS(Base!$Y$3:$Y$5001,Base!$A$3:$A$5001,L$3,Base!$B$3:$B$5001,$A$23)))</f>
        <v/>
      </c>
      <c r="M33" s="32" t="str">
        <f>IF(M$3="","",IF(COUNTIFS(Base!$A$3:$A$5001,M$3,Base!$B$3:$B$5001,$A$23,Base!$Y$3:$Y$5001,"&lt;&gt;")=0,"",SUMIFS(Base!$Y$3:$Y$5001,Base!$A$3:$A$5001,M$3,Base!$B$3:$B$5001,$A$23)))</f>
        <v/>
      </c>
      <c r="N33" s="32" t="str">
        <f>IF(N$3="","",IF(COUNTIFS(Base!$A$3:$A$5001,N$3,Base!$B$3:$B$5001,$A$23,Base!$Y$3:$Y$5001,"&lt;&gt;")=0,"",SUMIFS(Base!$Y$3:$Y$5001,Base!$A$3:$A$5001,N$3,Base!$B$3:$B$5001,$A$23)))</f>
        <v/>
      </c>
      <c r="O33" s="32" t="str">
        <f>IF(O$3="","",IF(COUNTIFS(Base!$A$3:$A$5001,O$3,Base!$B$3:$B$5001,$A$23,Base!$Y$3:$Y$5001,"&lt;&gt;")=0,"",SUMIFS(Base!$Y$3:$Y$5001,Base!$A$3:$A$5001,O$3,Base!$B$3:$B$5001,$A$23)))</f>
        <v/>
      </c>
      <c r="P33" s="32" t="str">
        <f>IF(P$3="","",IF(COUNTIFS(Base!$A$3:$A$5001,P$3,Base!$B$3:$B$5001,$A$23,Base!$Y$3:$Y$5001,"&lt;&gt;")=0,"",SUMIFS(Base!$Y$3:$Y$5001,Base!$A$3:$A$5001,P$3,Base!$B$3:$B$5001,$A$23)))</f>
        <v/>
      </c>
      <c r="Q33" s="32" t="str">
        <f>IF(Q$3="","",IF(COUNTIFS(Base!$A$3:$A$5001,Q$3,Base!$B$3:$B$5001,$A$23,Base!$Y$3:$Y$5001,"&lt;&gt;")=0,"",SUMIFS(Base!$Y$3:$Y$5001,Base!$A$3:$A$5001,Q$3,Base!$B$3:$B$5001,$A$23)))</f>
        <v/>
      </c>
      <c r="R33" s="32" t="str">
        <f>IF(R$3="","",IF(COUNTIFS(Base!$A$3:$A$5001,R$3,Base!$B$3:$B$5001,$A$23,Base!$Y$3:$Y$5001,"&lt;&gt;")=0,"",SUMIFS(Base!$Y$3:$Y$5001,Base!$A$3:$A$5001,R$3,Base!$B$3:$B$5001,$A$23)))</f>
        <v/>
      </c>
      <c r="S33" s="32" t="str">
        <f>IF(S$3="","",IF(COUNTIFS(Base!$A$3:$A$5001,S$3,Base!$B$3:$B$5001,$A$23,Base!$Y$3:$Y$5001,"&lt;&gt;")=0,"",SUMIFS(Base!$Y$3:$Y$5001,Base!$A$3:$A$5001,S$3,Base!$B$3:$B$5001,$A$23)))</f>
        <v/>
      </c>
      <c r="T33" s="32" t="str">
        <f>IF(T$3="","",IF(COUNTIFS(Base!$A$3:$A$5001,T$3,Base!$B$3:$B$5001,$A$23,Base!$Y$3:$Y$5001,"&lt;&gt;")=0,"",SUMIFS(Base!$Y$3:$Y$5001,Base!$A$3:$A$5001,T$3,Base!$B$3:$B$5001,$A$23)))</f>
        <v/>
      </c>
      <c r="U33" s="32" t="str">
        <f>IF(U$3="","",IF(COUNTIFS(Base!$A$3:$A$5001,U$3,Base!$B$3:$B$5001,$A$23,Base!$Y$3:$Y$5001,"&lt;&gt;")=0,"",SUMIFS(Base!$Y$3:$Y$5001,Base!$A$3:$A$5001,U$3,Base!$B$3:$B$5001,$A$23)))</f>
        <v/>
      </c>
      <c r="V33" s="32" t="str">
        <f>IF(V$3="","",IF(COUNTIFS(Base!$A$3:$A$5001,V$3,Base!$B$3:$B$5001,$A$23,Base!$Y$3:$Y$5001,"&lt;&gt;")=0,"",SUMIFS(Base!$Y$3:$Y$5001,Base!$A$3:$A$5001,V$3,Base!$B$3:$B$5001,$A$23)))</f>
        <v/>
      </c>
      <c r="W33" s="32" t="str">
        <f>IF(W$3="","",IF(COUNTIFS(Base!$A$3:$A$5001,W$3,Base!$B$3:$B$5001,$A$23,Base!$Y$3:$Y$5001,"&lt;&gt;")=0,"",SUMIFS(Base!$Y$3:$Y$5001,Base!$A$3:$A$5001,W$3,Base!$B$3:$B$5001,$A$23)))</f>
        <v/>
      </c>
      <c r="X33" s="32" t="str">
        <f>IF(X$3="","",IF(COUNTIFS(Base!$A$3:$A$5001,X$3,Base!$B$3:$B$5001,$A$23,Base!$Y$3:$Y$5001,"&lt;&gt;")=0,"",SUMIFS(Base!$Y$3:$Y$5001,Base!$A$3:$A$5001,X$3,Base!$B$3:$B$5001,$A$23)))</f>
        <v/>
      </c>
      <c r="Y33" s="32" t="str">
        <f>IF(Y$3="","",IF(COUNTIFS(Base!$A$3:$A$5001,Y$3,Base!$B$3:$B$5001,$A$23,Base!$Y$3:$Y$5001,"&lt;&gt;")=0,"",SUMIFS(Base!$Y$3:$Y$5001,Base!$A$3:$A$5001,Y$3,Base!$B$3:$B$5001,$A$23)))</f>
        <v/>
      </c>
      <c r="Z33" s="32" t="str">
        <f>IF(Z$3="","",IF(COUNTIFS(Base!$A$3:$A$5001,Z$3,Base!$B$3:$B$5001,$A$23,Base!$Y$3:$Y$5001,"&lt;&gt;")=0,"",SUMIFS(Base!$Y$3:$Y$5001,Base!$A$3:$A$5001,Z$3,Base!$B$3:$B$5001,$A$23)))</f>
        <v/>
      </c>
      <c r="AA33" s="32" t="str">
        <f>IF(AA$3="","",IF(COUNTIFS(Base!$A$3:$A$5001,AA$3,Base!$B$3:$B$5001,$A$23,Base!$Y$3:$Y$5001,"&lt;&gt;")=0,"",SUMIFS(Base!$Y$3:$Y$5001,Base!$A$3:$A$5001,AA$3,Base!$B$3:$B$5001,$A$23)))</f>
        <v/>
      </c>
      <c r="AB33" s="32" t="str">
        <f>IF(AB$3="","",IF(COUNTIFS(Base!$A$3:$A$5001,AB$3,Base!$B$3:$B$5001,$A$23,Base!$Y$3:$Y$5001,"&lt;&gt;")=0,"",SUMIFS(Base!$Y$3:$Y$5001,Base!$A$3:$A$5001,AB$3,Base!$B$3:$B$5001,$A$23)))</f>
        <v/>
      </c>
      <c r="AC33" s="32" t="str">
        <f>IF(AC$3="","",IF(COUNTIFS(Base!$A$3:$A$5001,AC$3,Base!$B$3:$B$5001,$A$23,Base!$Y$3:$Y$5001,"&lt;&gt;")=0,"",SUMIFS(Base!$Y$3:$Y$5001,Base!$A$3:$A$5001,AC$3,Base!$B$3:$B$5001,$A$23)))</f>
        <v/>
      </c>
      <c r="AD33" s="32" t="str">
        <f>IF(AD$3="","",IF(COUNTIFS(Base!$A$3:$A$5001,AD$3,Base!$B$3:$B$5001,$A$23,Base!$Y$3:$Y$5001,"&lt;&gt;")=0,"",SUMIFS(Base!$Y$3:$Y$5001,Base!$A$3:$A$5001,AD$3,Base!$B$3:$B$5001,$A$23)))</f>
        <v/>
      </c>
      <c r="AE33" s="32" t="str">
        <f>IF(AE$3="","",IF(COUNTIFS(Base!$A$3:$A$5001,AE$3,Base!$B$3:$B$5001,$A$23,Base!$Y$3:$Y$5001,"&lt;&gt;")=0,"",SUMIFS(Base!$Y$3:$Y$5001,Base!$A$3:$A$5001,AE$3,Base!$B$3:$B$5001,$A$23)))</f>
        <v/>
      </c>
      <c r="AF33" s="32" t="str">
        <f>IF(AF$3="","",IF(COUNTIFS(Base!$A$3:$A$5001,AF$3,Base!$B$3:$B$5001,$A$23,Base!$Y$3:$Y$5001,"&lt;&gt;")=0,"",SUMIFS(Base!$Y$3:$Y$5001,Base!$A$3:$A$5001,AF$3,Base!$B$3:$B$5001,$A$23)))</f>
        <v/>
      </c>
      <c r="AG33" s="32" t="str">
        <f>IF(AG$3="","",IF(COUNTIFS(Base!$A$3:$A$5001,AG$3,Base!$B$3:$B$5001,$A$23,Base!$Y$3:$Y$5001,"&lt;&gt;")=0,"",SUMIFS(Base!$Y$3:$Y$5001,Base!$A$3:$A$5001,AG$3,Base!$B$3:$B$5001,$A$23)))</f>
        <v/>
      </c>
      <c r="AH33" s="32" t="str">
        <f>IF(AH$3="","",IF(COUNTIFS(Base!$A$3:$A$5001,AH$3,Base!$B$3:$B$5001,$A$23,Base!$Y$3:$Y$5001,"&lt;&gt;")=0,"",SUMIFS(Base!$Y$3:$Y$5001,Base!$A$3:$A$5001,AH$3,Base!$B$3:$B$5001,$A$23)))</f>
        <v/>
      </c>
      <c r="AI33" s="32" t="str">
        <f>IF(AI$3="","",IF(COUNTIFS(Base!$A$3:$A$5001,AI$3,Base!$B$3:$B$5001,$A$23,Base!$Y$3:$Y$5001,"&lt;&gt;")=0,"",SUMIFS(Base!$Y$3:$Y$5001,Base!$A$3:$A$5001,AI$3,Base!$B$3:$B$5001,$A$23)))</f>
        <v/>
      </c>
      <c r="AJ33" s="33" t="str">
        <f>IF(AJ$3="","",IF(COUNTIFS(Base!$A$3:$A$5001,AJ$3,Base!$B$3:$B$5001,$A$23,Base!$Y$3:$Y$5001,"&lt;&gt;")=0,"",SUMIFS(Base!$Y$3:$Y$5001,Base!$A$3:$A$5001,AJ$3,Base!$B$3:$B$5001,$A$23)))</f>
        <v/>
      </c>
      <c r="AK33" s="34" t="str">
        <f>IFERROR(LOOKUP(9.99E+307,F33:AJ33),"")</f>
        <v/>
      </c>
    </row>
    <row r="34" ht="15.75" customHeight="1">
      <c r="A34" s="118"/>
      <c r="B34" s="107"/>
      <c r="C34" s="35" t="inlineStr">
        <is>
          <t xml:space="preserve">Taxa de Ocupação</t>
        </is>
      </c>
      <c r="D34" s="81" t="str">
        <f>IFERROR(1/(1/INDEX(calculos!$C$55:$K$83,MATCH("Taxa de Ocupação",calculos!$A$55:$A$83,0),MATCH($A$23,calculos!$C$54:$K$54,0))),"")</f>
        <v/>
      </c>
      <c r="E34" s="37"/>
      <c r="F34" s="82" t="str">
        <f>IF(AND(ISNUMBER(F32),ISNUMBER(F33)),IF(F32&gt;0,F33/F32,""),"")</f>
        <v/>
      </c>
      <c r="G34" s="83" t="str">
        <f>IF(AND(ISNUMBER(G32),ISNUMBER(G33)),IF(G32&gt;0,G33/G32,""),"")</f>
        <v/>
      </c>
      <c r="H34" s="83" t="str">
        <f>IF(AND(ISNUMBER(H32),ISNUMBER(H33)),IF(H32&gt;0,H33/H32,""),"")</f>
        <v/>
      </c>
      <c r="I34" s="83" t="str">
        <f>IF(AND(ISNUMBER(I32),ISNUMBER(I33)),IF(I32&gt;0,I33/I32,""),"")</f>
        <v/>
      </c>
      <c r="J34" s="83" t="str">
        <f>IF(AND(ISNUMBER(J32),ISNUMBER(J33)),IF(J32&gt;0,J33/J32,""),"")</f>
        <v/>
      </c>
      <c r="K34" s="83" t="str">
        <f>IF(AND(ISNUMBER(K32),ISNUMBER(K33)),IF(K32&gt;0,K33/K32,""),"")</f>
        <v/>
      </c>
      <c r="L34" s="83" t="str">
        <f>IF(AND(ISNUMBER(L32),ISNUMBER(L33)),IF(L32&gt;0,L33/L32,""),"")</f>
        <v/>
      </c>
      <c r="M34" s="83" t="str">
        <f>IF(AND(ISNUMBER(M32),ISNUMBER(M33)),IF(M32&gt;0,M33/M32,""),"")</f>
        <v/>
      </c>
      <c r="N34" s="83" t="str">
        <f>IF(AND(ISNUMBER(N32),ISNUMBER(N33)),IF(N32&gt;0,N33/N32,""),"")</f>
        <v/>
      </c>
      <c r="O34" s="83" t="str">
        <f>IF(AND(ISNUMBER(O32),ISNUMBER(O33)),IF(O32&gt;0,O33/O32,""),"")</f>
        <v/>
      </c>
      <c r="P34" s="83" t="str">
        <f>IF(AND(ISNUMBER(P32),ISNUMBER(P33)),IF(P32&gt;0,P33/P32,""),"")</f>
        <v/>
      </c>
      <c r="Q34" s="83" t="str">
        <f>IF(AND(ISNUMBER(Q32),ISNUMBER(Q33)),IF(Q32&gt;0,Q33/Q32,""),"")</f>
        <v/>
      </c>
      <c r="R34" s="83" t="str">
        <f>IF(AND(ISNUMBER(R32),ISNUMBER(R33)),IF(R32&gt;0,R33/R32,""),"")</f>
        <v/>
      </c>
      <c r="S34" s="83" t="str">
        <f>IF(AND(ISNUMBER(S32),ISNUMBER(S33)),IF(S32&gt;0,S33/S32,""),"")</f>
        <v/>
      </c>
      <c r="T34" s="83" t="str">
        <f>IF(AND(ISNUMBER(T32),ISNUMBER(T33)),IF(T32&gt;0,T33/T32,""),"")</f>
        <v/>
      </c>
      <c r="U34" s="83" t="str">
        <f>IF(AND(ISNUMBER(U32),ISNUMBER(U33)),IF(U32&gt;0,U33/U32,""),"")</f>
        <v/>
      </c>
      <c r="V34" s="83" t="str">
        <f>IF(AND(ISNUMBER(V32),ISNUMBER(V33)),IF(V32&gt;0,V33/V32,""),"")</f>
        <v/>
      </c>
      <c r="W34" s="83" t="str">
        <f>IF(AND(ISNUMBER(W32),ISNUMBER(W33)),IF(W32&gt;0,W33/W32,""),"")</f>
        <v/>
      </c>
      <c r="X34" s="83" t="str">
        <f>IF(AND(ISNUMBER(X32),ISNUMBER(X33)),IF(X32&gt;0,X33/X32,""),"")</f>
        <v/>
      </c>
      <c r="Y34" s="83" t="str">
        <f>IF(AND(ISNUMBER(Y32),ISNUMBER(Y33)),IF(Y32&gt;0,Y33/Y32,""),"")</f>
        <v/>
      </c>
      <c r="Z34" s="83" t="str">
        <f>IF(AND(ISNUMBER(Z32),ISNUMBER(Z33)),IF(Z32&gt;0,Z33/Z32,""),"")</f>
        <v/>
      </c>
      <c r="AA34" s="83" t="str">
        <f>IF(AND(ISNUMBER(AA32),ISNUMBER(AA33)),IF(AA32&gt;0,AA33/AA32,""),"")</f>
        <v/>
      </c>
      <c r="AB34" s="83" t="str">
        <f>IF(AND(ISNUMBER(AB32),ISNUMBER(AB33)),IF(AB32&gt;0,AB33/AB32,""),"")</f>
        <v/>
      </c>
      <c r="AC34" s="83" t="str">
        <f>IF(AND(ISNUMBER(AC32),ISNUMBER(AC33)),IF(AC32&gt;0,AC33/AC32,""),"")</f>
        <v/>
      </c>
      <c r="AD34" s="83" t="str">
        <f>IF(AND(ISNUMBER(AD32),ISNUMBER(AD33)),IF(AD32&gt;0,AD33/AD32,""),"")</f>
        <v/>
      </c>
      <c r="AE34" s="83" t="str">
        <f>IF(AND(ISNUMBER(AE32),ISNUMBER(AE33)),IF(AE32&gt;0,AE33/AE32,""),"")</f>
        <v/>
      </c>
      <c r="AF34" s="83" t="str">
        <f>IF(AND(ISNUMBER(AF32),ISNUMBER(AF33)),IF(AF32&gt;0,AF33/AF32,""),"")</f>
        <v/>
      </c>
      <c r="AG34" s="83" t="str">
        <f>IF(AND(ISNUMBER(AG32),ISNUMBER(AG33)),IF(AG32&gt;0,AG33/AG32,""),"")</f>
        <v/>
      </c>
      <c r="AH34" s="83" t="str">
        <f>IF(AND(ISNUMBER(AH32),ISNUMBER(AH33)),IF(AH32&gt;0,AH33/AH32,""),"")</f>
        <v/>
      </c>
      <c r="AI34" s="83" t="str">
        <f>IF(AND(ISNUMBER(AI32),ISNUMBER(AI33)),IF(AI32&gt;0,AI33/AI32,""),"")</f>
        <v/>
      </c>
      <c r="AJ34" s="84" t="str">
        <f>IF(AND(ISNUMBER(AJ32),ISNUMBER(AJ33)),IF(AJ32&gt;0,AJ33/AJ32,""),"")</f>
        <v/>
      </c>
      <c r="AK34" s="81" t="str">
        <f>IF(AND(ISNUMBER(AK32),ISNUMBER(AK33)),IF(AK32&gt;0,AK33/AK32,""),"")</f>
        <v/>
      </c>
    </row>
    <row r="35" ht="15.75" customHeight="1">
      <c r="A35" s="118"/>
      <c r="B35" s="114" t="inlineStr">
        <is>
          <t xml:space="preserve">GENTE</t>
        </is>
      </c>
      <c r="C35" s="85" t="inlineStr">
        <is>
          <t xml:space="preserve">Efetivo</t>
        </is>
      </c>
      <c r="D35" s="86" t="str">
        <f>IFERROR(1/(1/INDEX(calculos!$C$55:$K$83,MATCH("Efetivo",calculos!$A$55:$A$83,0),MATCH($A$23,calculos!$C$54:$K$54,0))),"")</f>
        <v/>
      </c>
      <c r="E35" s="87"/>
      <c r="F35" s="88" t="str">
        <f>IF(F$3="","",IF(COUNTIFS(Base!$A$3:$A$5001,F$3,Base!$B$3:$B$5001,$A$23,Base!$Z$3:$Z$5001,"&lt;&gt;")=0,"",SUMIFS(Base!$Z$3:$Z$5001,Base!$A$3:$A$5001,F$3,Base!$B$3:$B$5001,$A$23)))</f>
        <v/>
      </c>
      <c r="G35" s="89" t="str">
        <f>IF(G$3="","",IF(COUNTIFS(Base!$A$3:$A$5001,G$3,Base!$B$3:$B$5001,$A$23,Base!$Z$3:$Z$5001,"&lt;&gt;")=0,"",SUMIFS(Base!$Z$3:$Z$5001,Base!$A$3:$A$5001,G$3,Base!$B$3:$B$5001,$A$23)))</f>
        <v/>
      </c>
      <c r="H35" s="89" t="str">
        <f>IF(H$3="","",IF(COUNTIFS(Base!$A$3:$A$5001,H$3,Base!$B$3:$B$5001,$A$23,Base!$Z$3:$Z$5001,"&lt;&gt;")=0,"",SUMIFS(Base!$Z$3:$Z$5001,Base!$A$3:$A$5001,H$3,Base!$B$3:$B$5001,$A$23)))</f>
        <v/>
      </c>
      <c r="I35" s="89" t="str">
        <f>IF(I$3="","",IF(COUNTIFS(Base!$A$3:$A$5001,I$3,Base!$B$3:$B$5001,$A$23,Base!$Z$3:$Z$5001,"&lt;&gt;")=0,"",SUMIFS(Base!$Z$3:$Z$5001,Base!$A$3:$A$5001,I$3,Base!$B$3:$B$5001,$A$23)))</f>
        <v/>
      </c>
      <c r="J35" s="89" t="str">
        <f>IF(J$3="","",IF(COUNTIFS(Base!$A$3:$A$5001,J$3,Base!$B$3:$B$5001,$A$23,Base!$Z$3:$Z$5001,"&lt;&gt;")=0,"",SUMIFS(Base!$Z$3:$Z$5001,Base!$A$3:$A$5001,J$3,Base!$B$3:$B$5001,$A$23)))</f>
        <v/>
      </c>
      <c r="K35" s="89" t="str">
        <f>IF(K$3="","",IF(COUNTIFS(Base!$A$3:$A$5001,K$3,Base!$B$3:$B$5001,$A$23,Base!$Z$3:$Z$5001,"&lt;&gt;")=0,"",SUMIFS(Base!$Z$3:$Z$5001,Base!$A$3:$A$5001,K$3,Base!$B$3:$B$5001,$A$23)))</f>
        <v/>
      </c>
      <c r="L35" s="89" t="str">
        <f>IF(L$3="","",IF(COUNTIFS(Base!$A$3:$A$5001,L$3,Base!$B$3:$B$5001,$A$23,Base!$Z$3:$Z$5001,"&lt;&gt;")=0,"",SUMIFS(Base!$Z$3:$Z$5001,Base!$A$3:$A$5001,L$3,Base!$B$3:$B$5001,$A$23)))</f>
        <v/>
      </c>
      <c r="M35" s="89" t="str">
        <f>IF(M$3="","",IF(COUNTIFS(Base!$A$3:$A$5001,M$3,Base!$B$3:$B$5001,$A$23,Base!$Z$3:$Z$5001,"&lt;&gt;")=0,"",SUMIFS(Base!$Z$3:$Z$5001,Base!$A$3:$A$5001,M$3,Base!$B$3:$B$5001,$A$23)))</f>
        <v/>
      </c>
      <c r="N35" s="89" t="str">
        <f>IF(N$3="","",IF(COUNTIFS(Base!$A$3:$A$5001,N$3,Base!$B$3:$B$5001,$A$23,Base!$Z$3:$Z$5001,"&lt;&gt;")=0,"",SUMIFS(Base!$Z$3:$Z$5001,Base!$A$3:$A$5001,N$3,Base!$B$3:$B$5001,$A$23)))</f>
        <v/>
      </c>
      <c r="O35" s="89" t="str">
        <f>IF(O$3="","",IF(COUNTIFS(Base!$A$3:$A$5001,O$3,Base!$B$3:$B$5001,$A$23,Base!$Z$3:$Z$5001,"&lt;&gt;")=0,"",SUMIFS(Base!$Z$3:$Z$5001,Base!$A$3:$A$5001,O$3,Base!$B$3:$B$5001,$A$23)))</f>
        <v/>
      </c>
      <c r="P35" s="89" t="str">
        <f>IF(P$3="","",IF(COUNTIFS(Base!$A$3:$A$5001,P$3,Base!$B$3:$B$5001,$A$23,Base!$Z$3:$Z$5001,"&lt;&gt;")=0,"",SUMIFS(Base!$Z$3:$Z$5001,Base!$A$3:$A$5001,P$3,Base!$B$3:$B$5001,$A$23)))</f>
        <v/>
      </c>
      <c r="Q35" s="89" t="str">
        <f>IF(Q$3="","",IF(COUNTIFS(Base!$A$3:$A$5001,Q$3,Base!$B$3:$B$5001,$A$23,Base!$Z$3:$Z$5001,"&lt;&gt;")=0,"",SUMIFS(Base!$Z$3:$Z$5001,Base!$A$3:$A$5001,Q$3,Base!$B$3:$B$5001,$A$23)))</f>
        <v/>
      </c>
      <c r="R35" s="89" t="str">
        <f>IF(R$3="","",IF(COUNTIFS(Base!$A$3:$A$5001,R$3,Base!$B$3:$B$5001,$A$23,Base!$Z$3:$Z$5001,"&lt;&gt;")=0,"",SUMIFS(Base!$Z$3:$Z$5001,Base!$A$3:$A$5001,R$3,Base!$B$3:$B$5001,$A$23)))</f>
        <v/>
      </c>
      <c r="S35" s="89" t="str">
        <f>IF(S$3="","",IF(COUNTIFS(Base!$A$3:$A$5001,S$3,Base!$B$3:$B$5001,$A$23,Base!$Z$3:$Z$5001,"&lt;&gt;")=0,"",SUMIFS(Base!$Z$3:$Z$5001,Base!$A$3:$A$5001,S$3,Base!$B$3:$B$5001,$A$23)))</f>
        <v/>
      </c>
      <c r="T35" s="89" t="str">
        <f>IF(T$3="","",IF(COUNTIFS(Base!$A$3:$A$5001,T$3,Base!$B$3:$B$5001,$A$23,Base!$Z$3:$Z$5001,"&lt;&gt;")=0,"",SUMIFS(Base!$Z$3:$Z$5001,Base!$A$3:$A$5001,T$3,Base!$B$3:$B$5001,$A$23)))</f>
        <v/>
      </c>
      <c r="U35" s="89" t="str">
        <f>IF(U$3="","",IF(COUNTIFS(Base!$A$3:$A$5001,U$3,Base!$B$3:$B$5001,$A$23,Base!$Z$3:$Z$5001,"&lt;&gt;")=0,"",SUMIFS(Base!$Z$3:$Z$5001,Base!$A$3:$A$5001,U$3,Base!$B$3:$B$5001,$A$23)))</f>
        <v/>
      </c>
      <c r="V35" s="89" t="str">
        <f>IF(V$3="","",IF(COUNTIFS(Base!$A$3:$A$5001,V$3,Base!$B$3:$B$5001,$A$23,Base!$Z$3:$Z$5001,"&lt;&gt;")=0,"",SUMIFS(Base!$Z$3:$Z$5001,Base!$A$3:$A$5001,V$3,Base!$B$3:$B$5001,$A$23)))</f>
        <v/>
      </c>
      <c r="W35" s="89" t="str">
        <f>IF(W$3="","",IF(COUNTIFS(Base!$A$3:$A$5001,W$3,Base!$B$3:$B$5001,$A$23,Base!$Z$3:$Z$5001,"&lt;&gt;")=0,"",SUMIFS(Base!$Z$3:$Z$5001,Base!$A$3:$A$5001,W$3,Base!$B$3:$B$5001,$A$23)))</f>
        <v/>
      </c>
      <c r="X35" s="89" t="str">
        <f>IF(X$3="","",IF(COUNTIFS(Base!$A$3:$A$5001,X$3,Base!$B$3:$B$5001,$A$23,Base!$Z$3:$Z$5001,"&lt;&gt;")=0,"",SUMIFS(Base!$Z$3:$Z$5001,Base!$A$3:$A$5001,X$3,Base!$B$3:$B$5001,$A$23)))</f>
        <v/>
      </c>
      <c r="Y35" s="89" t="str">
        <f>IF(Y$3="","",IF(COUNTIFS(Base!$A$3:$A$5001,Y$3,Base!$B$3:$B$5001,$A$23,Base!$Z$3:$Z$5001,"&lt;&gt;")=0,"",SUMIFS(Base!$Z$3:$Z$5001,Base!$A$3:$A$5001,Y$3,Base!$B$3:$B$5001,$A$23)))</f>
        <v/>
      </c>
      <c r="Z35" s="89" t="str">
        <f>IF(Z$3="","",IF(COUNTIFS(Base!$A$3:$A$5001,Z$3,Base!$B$3:$B$5001,$A$23,Base!$Z$3:$Z$5001,"&lt;&gt;")=0,"",SUMIFS(Base!$Z$3:$Z$5001,Base!$A$3:$A$5001,Z$3,Base!$B$3:$B$5001,$A$23)))</f>
        <v/>
      </c>
      <c r="AA35" s="89" t="str">
        <f>IF(AA$3="","",IF(COUNTIFS(Base!$A$3:$A$5001,AA$3,Base!$B$3:$B$5001,$A$23,Base!$Z$3:$Z$5001,"&lt;&gt;")=0,"",SUMIFS(Base!$Z$3:$Z$5001,Base!$A$3:$A$5001,AA$3,Base!$B$3:$B$5001,$A$23)))</f>
        <v/>
      </c>
      <c r="AB35" s="89" t="str">
        <f>IF(AB$3="","",IF(COUNTIFS(Base!$A$3:$A$5001,AB$3,Base!$B$3:$B$5001,$A$23,Base!$Z$3:$Z$5001,"&lt;&gt;")=0,"",SUMIFS(Base!$Z$3:$Z$5001,Base!$A$3:$A$5001,AB$3,Base!$B$3:$B$5001,$A$23)))</f>
        <v/>
      </c>
      <c r="AC35" s="89" t="str">
        <f>IF(AC$3="","",IF(COUNTIFS(Base!$A$3:$A$5001,AC$3,Base!$B$3:$B$5001,$A$23,Base!$Z$3:$Z$5001,"&lt;&gt;")=0,"",SUMIFS(Base!$Z$3:$Z$5001,Base!$A$3:$A$5001,AC$3,Base!$B$3:$B$5001,$A$23)))</f>
        <v/>
      </c>
      <c r="AD35" s="89" t="str">
        <f>IF(AD$3="","",IF(COUNTIFS(Base!$A$3:$A$5001,AD$3,Base!$B$3:$B$5001,$A$23,Base!$Z$3:$Z$5001,"&lt;&gt;")=0,"",SUMIFS(Base!$Z$3:$Z$5001,Base!$A$3:$A$5001,AD$3,Base!$B$3:$B$5001,$A$23)))</f>
        <v/>
      </c>
      <c r="AE35" s="89" t="str">
        <f>IF(AE$3="","",IF(COUNTIFS(Base!$A$3:$A$5001,AE$3,Base!$B$3:$B$5001,$A$23,Base!$Z$3:$Z$5001,"&lt;&gt;")=0,"",SUMIFS(Base!$Z$3:$Z$5001,Base!$A$3:$A$5001,AE$3,Base!$B$3:$B$5001,$A$23)))</f>
        <v/>
      </c>
      <c r="AF35" s="89" t="str">
        <f>IF(AF$3="","",IF(COUNTIFS(Base!$A$3:$A$5001,AF$3,Base!$B$3:$B$5001,$A$23,Base!$Z$3:$Z$5001,"&lt;&gt;")=0,"",SUMIFS(Base!$Z$3:$Z$5001,Base!$A$3:$A$5001,AF$3,Base!$B$3:$B$5001,$A$23)))</f>
        <v/>
      </c>
      <c r="AG35" s="89" t="str">
        <f>IF(AG$3="","",IF(COUNTIFS(Base!$A$3:$A$5001,AG$3,Base!$B$3:$B$5001,$A$23,Base!$Z$3:$Z$5001,"&lt;&gt;")=0,"",SUMIFS(Base!$Z$3:$Z$5001,Base!$A$3:$A$5001,AG$3,Base!$B$3:$B$5001,$A$23)))</f>
        <v/>
      </c>
      <c r="AH35" s="89" t="str">
        <f>IF(AH$3="","",IF(COUNTIFS(Base!$A$3:$A$5001,AH$3,Base!$B$3:$B$5001,$A$23,Base!$Z$3:$Z$5001,"&lt;&gt;")=0,"",SUMIFS(Base!$Z$3:$Z$5001,Base!$A$3:$A$5001,AH$3,Base!$B$3:$B$5001,$A$23)))</f>
        <v/>
      </c>
      <c r="AI35" s="89" t="str">
        <f>IF(AI$3="","",IF(COUNTIFS(Base!$A$3:$A$5001,AI$3,Base!$B$3:$B$5001,$A$23,Base!$Z$3:$Z$5001,"&lt;&gt;")=0,"",SUMIFS(Base!$Z$3:$Z$5001,Base!$A$3:$A$5001,AI$3,Base!$B$3:$B$5001,$A$23)))</f>
        <v/>
      </c>
      <c r="AJ35" s="90" t="str">
        <f>IF(AJ$3="","",IF(COUNTIFS(Base!$A$3:$A$5001,AJ$3,Base!$B$3:$B$5001,$A$23,Base!$Z$3:$Z$5001,"&lt;&gt;")=0,"",SUMIFS(Base!$Z$3:$Z$5001,Base!$A$3:$A$5001,AJ$3,Base!$B$3:$B$5001,$A$23)))</f>
        <v/>
      </c>
      <c r="AK35" s="91" t="str">
        <f>IFERROR(LOOKUP(9.99E+307,F35:AJ35),"")</f>
        <v/>
      </c>
    </row>
    <row r="36" ht="15.75" customHeight="1">
      <c r="A36" s="118"/>
      <c r="B36" s="115"/>
      <c r="C36" s="92" t="inlineStr">
        <is>
          <t xml:space="preserve">Falta</t>
        </is>
      </c>
      <c r="D36" s="93" t="str">
        <f>IFERROR(1/(1/INDEX(calculos!$C$55:$K$83,MATCH("Falta",calculos!$A$55:$A$83,0),MATCH($A$23,calculos!$C$54:$K$54,0))),"")</f>
        <v/>
      </c>
      <c r="E36" s="94"/>
      <c r="F36" s="95" t="str">
        <f>IF(F$3="","",IF(COUNTIFS(Base!$A$3:$A$5001,F$3,Base!$B$3:$B$5001,$A$23,Base!$AA$3:$AA$5001,"&lt;&gt;")=0,"",SUMIFS(Base!$AA$3:$AA$5001,Base!$A$3:$A$5001,F$3,Base!$B$3:$B$5001,$A$23)))</f>
        <v/>
      </c>
      <c r="G36" s="96" t="str">
        <f>IF(G$3="","",IF(COUNTIFS(Base!$A$3:$A$5001,G$3,Base!$B$3:$B$5001,$A$23,Base!$AA$3:$AA$5001,"&lt;&gt;")=0,"",SUMIFS(Base!$AA$3:$AA$5001,Base!$A$3:$A$5001,G$3,Base!$B$3:$B$5001,$A$23)))</f>
        <v/>
      </c>
      <c r="H36" s="96" t="str">
        <f>IF(H$3="","",IF(COUNTIFS(Base!$A$3:$A$5001,H$3,Base!$B$3:$B$5001,$A$23,Base!$AA$3:$AA$5001,"&lt;&gt;")=0,"",SUMIFS(Base!$AA$3:$AA$5001,Base!$A$3:$A$5001,H$3,Base!$B$3:$B$5001,$A$23)))</f>
        <v/>
      </c>
      <c r="I36" s="96" t="str">
        <f>IF(I$3="","",IF(COUNTIFS(Base!$A$3:$A$5001,I$3,Base!$B$3:$B$5001,$A$23,Base!$AA$3:$AA$5001,"&lt;&gt;")=0,"",SUMIFS(Base!$AA$3:$AA$5001,Base!$A$3:$A$5001,I$3,Base!$B$3:$B$5001,$A$23)))</f>
        <v/>
      </c>
      <c r="J36" s="96" t="str">
        <f>IF(J$3="","",IF(COUNTIFS(Base!$A$3:$A$5001,J$3,Base!$B$3:$B$5001,$A$23,Base!$AA$3:$AA$5001,"&lt;&gt;")=0,"",SUMIFS(Base!$AA$3:$AA$5001,Base!$A$3:$A$5001,J$3,Base!$B$3:$B$5001,$A$23)))</f>
        <v/>
      </c>
      <c r="K36" s="96" t="str">
        <f>IF(K$3="","",IF(COUNTIFS(Base!$A$3:$A$5001,K$3,Base!$B$3:$B$5001,$A$23,Base!$AA$3:$AA$5001,"&lt;&gt;")=0,"",SUMIFS(Base!$AA$3:$AA$5001,Base!$A$3:$A$5001,K$3,Base!$B$3:$B$5001,$A$23)))</f>
        <v/>
      </c>
      <c r="L36" s="96" t="str">
        <f>IF(L$3="","",IF(COUNTIFS(Base!$A$3:$A$5001,L$3,Base!$B$3:$B$5001,$A$23,Base!$AA$3:$AA$5001,"&lt;&gt;")=0,"",SUMIFS(Base!$AA$3:$AA$5001,Base!$A$3:$A$5001,L$3,Base!$B$3:$B$5001,$A$23)))</f>
        <v/>
      </c>
      <c r="M36" s="96" t="str">
        <f>IF(M$3="","",IF(COUNTIFS(Base!$A$3:$A$5001,M$3,Base!$B$3:$B$5001,$A$23,Base!$AA$3:$AA$5001,"&lt;&gt;")=0,"",SUMIFS(Base!$AA$3:$AA$5001,Base!$A$3:$A$5001,M$3,Base!$B$3:$B$5001,$A$23)))</f>
        <v/>
      </c>
      <c r="N36" s="96" t="str">
        <f>IF(N$3="","",IF(COUNTIFS(Base!$A$3:$A$5001,N$3,Base!$B$3:$B$5001,$A$23,Base!$AA$3:$AA$5001,"&lt;&gt;")=0,"",SUMIFS(Base!$AA$3:$AA$5001,Base!$A$3:$A$5001,N$3,Base!$B$3:$B$5001,$A$23)))</f>
        <v/>
      </c>
      <c r="O36" s="96" t="str">
        <f>IF(O$3="","",IF(COUNTIFS(Base!$A$3:$A$5001,O$3,Base!$B$3:$B$5001,$A$23,Base!$AA$3:$AA$5001,"&lt;&gt;")=0,"",SUMIFS(Base!$AA$3:$AA$5001,Base!$A$3:$A$5001,O$3,Base!$B$3:$B$5001,$A$23)))</f>
        <v/>
      </c>
      <c r="P36" s="96" t="str">
        <f>IF(P$3="","",IF(COUNTIFS(Base!$A$3:$A$5001,P$3,Base!$B$3:$B$5001,$A$23,Base!$AA$3:$AA$5001,"&lt;&gt;")=0,"",SUMIFS(Base!$AA$3:$AA$5001,Base!$A$3:$A$5001,P$3,Base!$B$3:$B$5001,$A$23)))</f>
        <v/>
      </c>
      <c r="Q36" s="96" t="str">
        <f>IF(Q$3="","",IF(COUNTIFS(Base!$A$3:$A$5001,Q$3,Base!$B$3:$B$5001,$A$23,Base!$AA$3:$AA$5001,"&lt;&gt;")=0,"",SUMIFS(Base!$AA$3:$AA$5001,Base!$A$3:$A$5001,Q$3,Base!$B$3:$B$5001,$A$23)))</f>
        <v/>
      </c>
      <c r="R36" s="96" t="str">
        <f>IF(R$3="","",IF(COUNTIFS(Base!$A$3:$A$5001,R$3,Base!$B$3:$B$5001,$A$23,Base!$AA$3:$AA$5001,"&lt;&gt;")=0,"",SUMIFS(Base!$AA$3:$AA$5001,Base!$A$3:$A$5001,R$3,Base!$B$3:$B$5001,$A$23)))</f>
        <v/>
      </c>
      <c r="S36" s="96" t="str">
        <f>IF(S$3="","",IF(COUNTIFS(Base!$A$3:$A$5001,S$3,Base!$B$3:$B$5001,$A$23,Base!$AA$3:$AA$5001,"&lt;&gt;")=0,"",SUMIFS(Base!$AA$3:$AA$5001,Base!$A$3:$A$5001,S$3,Base!$B$3:$B$5001,$A$23)))</f>
        <v/>
      </c>
      <c r="T36" s="96" t="str">
        <f>IF(T$3="","",IF(COUNTIFS(Base!$A$3:$A$5001,T$3,Base!$B$3:$B$5001,$A$23,Base!$AA$3:$AA$5001,"&lt;&gt;")=0,"",SUMIFS(Base!$AA$3:$AA$5001,Base!$A$3:$A$5001,T$3,Base!$B$3:$B$5001,$A$23)))</f>
        <v/>
      </c>
      <c r="U36" s="96" t="str">
        <f>IF(U$3="","",IF(COUNTIFS(Base!$A$3:$A$5001,U$3,Base!$B$3:$B$5001,$A$23,Base!$AA$3:$AA$5001,"&lt;&gt;")=0,"",SUMIFS(Base!$AA$3:$AA$5001,Base!$A$3:$A$5001,U$3,Base!$B$3:$B$5001,$A$23)))</f>
        <v/>
      </c>
      <c r="V36" s="96" t="str">
        <f>IF(V$3="","",IF(COUNTIFS(Base!$A$3:$A$5001,V$3,Base!$B$3:$B$5001,$A$23,Base!$AA$3:$AA$5001,"&lt;&gt;")=0,"",SUMIFS(Base!$AA$3:$AA$5001,Base!$A$3:$A$5001,V$3,Base!$B$3:$B$5001,$A$23)))</f>
        <v/>
      </c>
      <c r="W36" s="96" t="str">
        <f>IF(W$3="","",IF(COUNTIFS(Base!$A$3:$A$5001,W$3,Base!$B$3:$B$5001,$A$23,Base!$AA$3:$AA$5001,"&lt;&gt;")=0,"",SUMIFS(Base!$AA$3:$AA$5001,Base!$A$3:$A$5001,W$3,Base!$B$3:$B$5001,$A$23)))</f>
        <v/>
      </c>
      <c r="X36" s="96" t="str">
        <f>IF(X$3="","",IF(COUNTIFS(Base!$A$3:$A$5001,X$3,Base!$B$3:$B$5001,$A$23,Base!$AA$3:$AA$5001,"&lt;&gt;")=0,"",SUMIFS(Base!$AA$3:$AA$5001,Base!$A$3:$A$5001,X$3,Base!$B$3:$B$5001,$A$23)))</f>
        <v/>
      </c>
      <c r="Y36" s="96" t="str">
        <f>IF(Y$3="","",IF(COUNTIFS(Base!$A$3:$A$5001,Y$3,Base!$B$3:$B$5001,$A$23,Base!$AA$3:$AA$5001,"&lt;&gt;")=0,"",SUMIFS(Base!$AA$3:$AA$5001,Base!$A$3:$A$5001,Y$3,Base!$B$3:$B$5001,$A$23)))</f>
        <v/>
      </c>
      <c r="Z36" s="96" t="str">
        <f>IF(Z$3="","",IF(COUNTIFS(Base!$A$3:$A$5001,Z$3,Base!$B$3:$B$5001,$A$23,Base!$AA$3:$AA$5001,"&lt;&gt;")=0,"",SUMIFS(Base!$AA$3:$AA$5001,Base!$A$3:$A$5001,Z$3,Base!$B$3:$B$5001,$A$23)))</f>
        <v/>
      </c>
      <c r="AA36" s="96" t="str">
        <f>IF(AA$3="","",IF(COUNTIFS(Base!$A$3:$A$5001,AA$3,Base!$B$3:$B$5001,$A$23,Base!$AA$3:$AA$5001,"&lt;&gt;")=0,"",SUMIFS(Base!$AA$3:$AA$5001,Base!$A$3:$A$5001,AA$3,Base!$B$3:$B$5001,$A$23)))</f>
        <v/>
      </c>
      <c r="AB36" s="96" t="str">
        <f>IF(AB$3="","",IF(COUNTIFS(Base!$A$3:$A$5001,AB$3,Base!$B$3:$B$5001,$A$23,Base!$AA$3:$AA$5001,"&lt;&gt;")=0,"",SUMIFS(Base!$AA$3:$AA$5001,Base!$A$3:$A$5001,AB$3,Base!$B$3:$B$5001,$A$23)))</f>
        <v/>
      </c>
      <c r="AC36" s="96" t="str">
        <f>IF(AC$3="","",IF(COUNTIFS(Base!$A$3:$A$5001,AC$3,Base!$B$3:$B$5001,$A$23,Base!$AA$3:$AA$5001,"&lt;&gt;")=0,"",SUMIFS(Base!$AA$3:$AA$5001,Base!$A$3:$A$5001,AC$3,Base!$B$3:$B$5001,$A$23)))</f>
        <v/>
      </c>
      <c r="AD36" s="96" t="str">
        <f>IF(AD$3="","",IF(COUNTIFS(Base!$A$3:$A$5001,AD$3,Base!$B$3:$B$5001,$A$23,Base!$AA$3:$AA$5001,"&lt;&gt;")=0,"",SUMIFS(Base!$AA$3:$AA$5001,Base!$A$3:$A$5001,AD$3,Base!$B$3:$B$5001,$A$23)))</f>
        <v/>
      </c>
      <c r="AE36" s="96" t="str">
        <f>IF(AE$3="","",IF(COUNTIFS(Base!$A$3:$A$5001,AE$3,Base!$B$3:$B$5001,$A$23,Base!$AA$3:$AA$5001,"&lt;&gt;")=0,"",SUMIFS(Base!$AA$3:$AA$5001,Base!$A$3:$A$5001,AE$3,Base!$B$3:$B$5001,$A$23)))</f>
        <v/>
      </c>
      <c r="AF36" s="96" t="str">
        <f>IF(AF$3="","",IF(COUNTIFS(Base!$A$3:$A$5001,AF$3,Base!$B$3:$B$5001,$A$23,Base!$AA$3:$AA$5001,"&lt;&gt;")=0,"",SUMIFS(Base!$AA$3:$AA$5001,Base!$A$3:$A$5001,AF$3,Base!$B$3:$B$5001,$A$23)))</f>
        <v/>
      </c>
      <c r="AG36" s="96" t="str">
        <f>IF(AG$3="","",IF(COUNTIFS(Base!$A$3:$A$5001,AG$3,Base!$B$3:$B$5001,$A$23,Base!$AA$3:$AA$5001,"&lt;&gt;")=0,"",SUMIFS(Base!$AA$3:$AA$5001,Base!$A$3:$A$5001,AG$3,Base!$B$3:$B$5001,$A$23)))</f>
        <v/>
      </c>
      <c r="AH36" s="96" t="str">
        <f>IF(AH$3="","",IF(COUNTIFS(Base!$A$3:$A$5001,AH$3,Base!$B$3:$B$5001,$A$23,Base!$AA$3:$AA$5001,"&lt;&gt;")=0,"",SUMIFS(Base!$AA$3:$AA$5001,Base!$A$3:$A$5001,AH$3,Base!$B$3:$B$5001,$A$23)))</f>
        <v/>
      </c>
      <c r="AI36" s="96" t="str">
        <f>IF(AI$3="","",IF(COUNTIFS(Base!$A$3:$A$5001,AI$3,Base!$B$3:$B$5001,$A$23,Base!$AA$3:$AA$5001,"&lt;&gt;")=0,"",SUMIFS(Base!$AA$3:$AA$5001,Base!$A$3:$A$5001,AI$3,Base!$B$3:$B$5001,$A$23)))</f>
        <v/>
      </c>
      <c r="AJ36" s="97" t="str">
        <f>IF(AJ$3="","",IF(COUNTIFS(Base!$A$3:$A$5001,AJ$3,Base!$B$3:$B$5001,$A$23,Base!$AA$3:$AA$5001,"&lt;&gt;")=0,"",SUMIFS(Base!$AA$3:$AA$5001,Base!$A$3:$A$5001,AJ$3,Base!$B$3:$B$5001,$A$23)))</f>
        <v/>
      </c>
      <c r="AK36" s="98" t="str">
        <f>IF(COUNT(F36:AJ36)=0,"",SUM(F36:AJ36))</f>
        <v/>
      </c>
    </row>
    <row r="37" ht="15.75" customHeight="1">
      <c r="A37" s="118"/>
      <c r="B37" s="115"/>
      <c r="C37" s="92" t="inlineStr">
        <is>
          <t xml:space="preserve">Folga</t>
        </is>
      </c>
      <c r="D37" s="93" t="str">
        <f>IFERROR(1/(1/INDEX(calculos!$C$55:$K$83,MATCH("Folga",calculos!$A$55:$A$83,0),MATCH($A$23,calculos!$C$54:$K$54,0))),"")</f>
        <v/>
      </c>
      <c r="E37" s="94"/>
      <c r="F37" s="95" t="str">
        <f>IF(F$3="","",IF(COUNTIFS(Base!$A$3:$A$5001,F$3,Base!$B$3:$B$5001,$A$23,Base!$AB$3:$AB$5001,"&lt;&gt;")=0,"",SUMIFS(Base!$AB$3:$AB$5001,Base!$A$3:$A$5001,F$3,Base!$B$3:$B$5001,$A$23)))</f>
        <v/>
      </c>
      <c r="G37" s="96" t="str">
        <f>IF(G$3="","",IF(COUNTIFS(Base!$A$3:$A$5001,G$3,Base!$B$3:$B$5001,$A$23,Base!$AB$3:$AB$5001,"&lt;&gt;")=0,"",SUMIFS(Base!$AB$3:$AB$5001,Base!$A$3:$A$5001,G$3,Base!$B$3:$B$5001,$A$23)))</f>
        <v/>
      </c>
      <c r="H37" s="96" t="str">
        <f>IF(H$3="","",IF(COUNTIFS(Base!$A$3:$A$5001,H$3,Base!$B$3:$B$5001,$A$23,Base!$AB$3:$AB$5001,"&lt;&gt;")=0,"",SUMIFS(Base!$AB$3:$AB$5001,Base!$A$3:$A$5001,H$3,Base!$B$3:$B$5001,$A$23)))</f>
        <v/>
      </c>
      <c r="I37" s="96" t="str">
        <f>IF(I$3="","",IF(COUNTIFS(Base!$A$3:$A$5001,I$3,Base!$B$3:$B$5001,$A$23,Base!$AB$3:$AB$5001,"&lt;&gt;")=0,"",SUMIFS(Base!$AB$3:$AB$5001,Base!$A$3:$A$5001,I$3,Base!$B$3:$B$5001,$A$23)))</f>
        <v/>
      </c>
      <c r="J37" s="96" t="str">
        <f>IF(J$3="","",IF(COUNTIFS(Base!$A$3:$A$5001,J$3,Base!$B$3:$B$5001,$A$23,Base!$AB$3:$AB$5001,"&lt;&gt;")=0,"",SUMIFS(Base!$AB$3:$AB$5001,Base!$A$3:$A$5001,J$3,Base!$B$3:$B$5001,$A$23)))</f>
        <v/>
      </c>
      <c r="K37" s="96" t="str">
        <f>IF(K$3="","",IF(COUNTIFS(Base!$A$3:$A$5001,K$3,Base!$B$3:$B$5001,$A$23,Base!$AB$3:$AB$5001,"&lt;&gt;")=0,"",SUMIFS(Base!$AB$3:$AB$5001,Base!$A$3:$A$5001,K$3,Base!$B$3:$B$5001,$A$23)))</f>
        <v/>
      </c>
      <c r="L37" s="96" t="str">
        <f>IF(L$3="","",IF(COUNTIFS(Base!$A$3:$A$5001,L$3,Base!$B$3:$B$5001,$A$23,Base!$AB$3:$AB$5001,"&lt;&gt;")=0,"",SUMIFS(Base!$AB$3:$AB$5001,Base!$A$3:$A$5001,L$3,Base!$B$3:$B$5001,$A$23)))</f>
        <v/>
      </c>
      <c r="M37" s="96" t="str">
        <f>IF(M$3="","",IF(COUNTIFS(Base!$A$3:$A$5001,M$3,Base!$B$3:$B$5001,$A$23,Base!$AB$3:$AB$5001,"&lt;&gt;")=0,"",SUMIFS(Base!$AB$3:$AB$5001,Base!$A$3:$A$5001,M$3,Base!$B$3:$B$5001,$A$23)))</f>
        <v/>
      </c>
      <c r="N37" s="96" t="str">
        <f>IF(N$3="","",IF(COUNTIFS(Base!$A$3:$A$5001,N$3,Base!$B$3:$B$5001,$A$23,Base!$AB$3:$AB$5001,"&lt;&gt;")=0,"",SUMIFS(Base!$AB$3:$AB$5001,Base!$A$3:$A$5001,N$3,Base!$B$3:$B$5001,$A$23)))</f>
        <v/>
      </c>
      <c r="O37" s="96" t="str">
        <f>IF(O$3="","",IF(COUNTIFS(Base!$A$3:$A$5001,O$3,Base!$B$3:$B$5001,$A$23,Base!$AB$3:$AB$5001,"&lt;&gt;")=0,"",SUMIFS(Base!$AB$3:$AB$5001,Base!$A$3:$A$5001,O$3,Base!$B$3:$B$5001,$A$23)))</f>
        <v/>
      </c>
      <c r="P37" s="96" t="str">
        <f>IF(P$3="","",IF(COUNTIFS(Base!$A$3:$A$5001,P$3,Base!$B$3:$B$5001,$A$23,Base!$AB$3:$AB$5001,"&lt;&gt;")=0,"",SUMIFS(Base!$AB$3:$AB$5001,Base!$A$3:$A$5001,P$3,Base!$B$3:$B$5001,$A$23)))</f>
        <v/>
      </c>
      <c r="Q37" s="96" t="str">
        <f>IF(Q$3="","",IF(COUNTIFS(Base!$A$3:$A$5001,Q$3,Base!$B$3:$B$5001,$A$23,Base!$AB$3:$AB$5001,"&lt;&gt;")=0,"",SUMIFS(Base!$AB$3:$AB$5001,Base!$A$3:$A$5001,Q$3,Base!$B$3:$B$5001,$A$23)))</f>
        <v/>
      </c>
      <c r="R37" s="96" t="str">
        <f>IF(R$3="","",IF(COUNTIFS(Base!$A$3:$A$5001,R$3,Base!$B$3:$B$5001,$A$23,Base!$AB$3:$AB$5001,"&lt;&gt;")=0,"",SUMIFS(Base!$AB$3:$AB$5001,Base!$A$3:$A$5001,R$3,Base!$B$3:$B$5001,$A$23)))</f>
        <v/>
      </c>
      <c r="S37" s="96" t="str">
        <f>IF(S$3="","",IF(COUNTIFS(Base!$A$3:$A$5001,S$3,Base!$B$3:$B$5001,$A$23,Base!$AB$3:$AB$5001,"&lt;&gt;")=0,"",SUMIFS(Base!$AB$3:$AB$5001,Base!$A$3:$A$5001,S$3,Base!$B$3:$B$5001,$A$23)))</f>
        <v/>
      </c>
      <c r="T37" s="96" t="str">
        <f>IF(T$3="","",IF(COUNTIFS(Base!$A$3:$A$5001,T$3,Base!$B$3:$B$5001,$A$23,Base!$AB$3:$AB$5001,"&lt;&gt;")=0,"",SUMIFS(Base!$AB$3:$AB$5001,Base!$A$3:$A$5001,T$3,Base!$B$3:$B$5001,$A$23)))</f>
        <v/>
      </c>
      <c r="U37" s="96" t="str">
        <f>IF(U$3="","",IF(COUNTIFS(Base!$A$3:$A$5001,U$3,Base!$B$3:$B$5001,$A$23,Base!$AB$3:$AB$5001,"&lt;&gt;")=0,"",SUMIFS(Base!$AB$3:$AB$5001,Base!$A$3:$A$5001,U$3,Base!$B$3:$B$5001,$A$23)))</f>
        <v/>
      </c>
      <c r="V37" s="96" t="str">
        <f>IF(V$3="","",IF(COUNTIFS(Base!$A$3:$A$5001,V$3,Base!$B$3:$B$5001,$A$23,Base!$AB$3:$AB$5001,"&lt;&gt;")=0,"",SUMIFS(Base!$AB$3:$AB$5001,Base!$A$3:$A$5001,V$3,Base!$B$3:$B$5001,$A$23)))</f>
        <v/>
      </c>
      <c r="W37" s="96" t="str">
        <f>IF(W$3="","",IF(COUNTIFS(Base!$A$3:$A$5001,W$3,Base!$B$3:$B$5001,$A$23,Base!$AB$3:$AB$5001,"&lt;&gt;")=0,"",SUMIFS(Base!$AB$3:$AB$5001,Base!$A$3:$A$5001,W$3,Base!$B$3:$B$5001,$A$23)))</f>
        <v/>
      </c>
      <c r="X37" s="96" t="str">
        <f>IF(X$3="","",IF(COUNTIFS(Base!$A$3:$A$5001,X$3,Base!$B$3:$B$5001,$A$23,Base!$AB$3:$AB$5001,"&lt;&gt;")=0,"",SUMIFS(Base!$AB$3:$AB$5001,Base!$A$3:$A$5001,X$3,Base!$B$3:$B$5001,$A$23)))</f>
        <v/>
      </c>
      <c r="Y37" s="96" t="str">
        <f>IF(Y$3="","",IF(COUNTIFS(Base!$A$3:$A$5001,Y$3,Base!$B$3:$B$5001,$A$23,Base!$AB$3:$AB$5001,"&lt;&gt;")=0,"",SUMIFS(Base!$AB$3:$AB$5001,Base!$A$3:$A$5001,Y$3,Base!$B$3:$B$5001,$A$23)))</f>
        <v/>
      </c>
      <c r="Z37" s="96" t="str">
        <f>IF(Z$3="","",IF(COUNTIFS(Base!$A$3:$A$5001,Z$3,Base!$B$3:$B$5001,$A$23,Base!$AB$3:$AB$5001,"&lt;&gt;")=0,"",SUMIFS(Base!$AB$3:$AB$5001,Base!$A$3:$A$5001,Z$3,Base!$B$3:$B$5001,$A$23)))</f>
        <v/>
      </c>
      <c r="AA37" s="96" t="str">
        <f>IF(AA$3="","",IF(COUNTIFS(Base!$A$3:$A$5001,AA$3,Base!$B$3:$B$5001,$A$23,Base!$AB$3:$AB$5001,"&lt;&gt;")=0,"",SUMIFS(Base!$AB$3:$AB$5001,Base!$A$3:$A$5001,AA$3,Base!$B$3:$B$5001,$A$23)))</f>
        <v/>
      </c>
      <c r="AB37" s="96" t="str">
        <f>IF(AB$3="","",IF(COUNTIFS(Base!$A$3:$A$5001,AB$3,Base!$B$3:$B$5001,$A$23,Base!$AB$3:$AB$5001,"&lt;&gt;")=0,"",SUMIFS(Base!$AB$3:$AB$5001,Base!$A$3:$A$5001,AB$3,Base!$B$3:$B$5001,$A$23)))</f>
        <v/>
      </c>
      <c r="AC37" s="96" t="str">
        <f>IF(AC$3="","",IF(COUNTIFS(Base!$A$3:$A$5001,AC$3,Base!$B$3:$B$5001,$A$23,Base!$AB$3:$AB$5001,"&lt;&gt;")=0,"",SUMIFS(Base!$AB$3:$AB$5001,Base!$A$3:$A$5001,AC$3,Base!$B$3:$B$5001,$A$23)))</f>
        <v/>
      </c>
      <c r="AD37" s="96" t="str">
        <f>IF(AD$3="","",IF(COUNTIFS(Base!$A$3:$A$5001,AD$3,Base!$B$3:$B$5001,$A$23,Base!$AB$3:$AB$5001,"&lt;&gt;")=0,"",SUMIFS(Base!$AB$3:$AB$5001,Base!$A$3:$A$5001,AD$3,Base!$B$3:$B$5001,$A$23)))</f>
        <v/>
      </c>
      <c r="AE37" s="96" t="str">
        <f>IF(AE$3="","",IF(COUNTIFS(Base!$A$3:$A$5001,AE$3,Base!$B$3:$B$5001,$A$23,Base!$AB$3:$AB$5001,"&lt;&gt;")=0,"",SUMIFS(Base!$AB$3:$AB$5001,Base!$A$3:$A$5001,AE$3,Base!$B$3:$B$5001,$A$23)))</f>
        <v/>
      </c>
      <c r="AF37" s="96" t="str">
        <f>IF(AF$3="","",IF(COUNTIFS(Base!$A$3:$A$5001,AF$3,Base!$B$3:$B$5001,$A$23,Base!$AB$3:$AB$5001,"&lt;&gt;")=0,"",SUMIFS(Base!$AB$3:$AB$5001,Base!$A$3:$A$5001,AF$3,Base!$B$3:$B$5001,$A$23)))</f>
        <v/>
      </c>
      <c r="AG37" s="96" t="str">
        <f>IF(AG$3="","",IF(COUNTIFS(Base!$A$3:$A$5001,AG$3,Base!$B$3:$B$5001,$A$23,Base!$AB$3:$AB$5001,"&lt;&gt;")=0,"",SUMIFS(Base!$AB$3:$AB$5001,Base!$A$3:$A$5001,AG$3,Base!$B$3:$B$5001,$A$23)))</f>
        <v/>
      </c>
      <c r="AH37" s="96" t="str">
        <f>IF(AH$3="","",IF(COUNTIFS(Base!$A$3:$A$5001,AH$3,Base!$B$3:$B$5001,$A$23,Base!$AB$3:$AB$5001,"&lt;&gt;")=0,"",SUMIFS(Base!$AB$3:$AB$5001,Base!$A$3:$A$5001,AH$3,Base!$B$3:$B$5001,$A$23)))</f>
        <v/>
      </c>
      <c r="AI37" s="96" t="str">
        <f>IF(AI$3="","",IF(COUNTIFS(Base!$A$3:$A$5001,AI$3,Base!$B$3:$B$5001,$A$23,Base!$AB$3:$AB$5001,"&lt;&gt;")=0,"",SUMIFS(Base!$AB$3:$AB$5001,Base!$A$3:$A$5001,AI$3,Base!$B$3:$B$5001,$A$23)))</f>
        <v/>
      </c>
      <c r="AJ37" s="97" t="str">
        <f>IF(AJ$3="","",IF(COUNTIFS(Base!$A$3:$A$5001,AJ$3,Base!$B$3:$B$5001,$A$23,Base!$AB$3:$AB$5001,"&lt;&gt;")=0,"",SUMIFS(Base!$AB$3:$AB$5001,Base!$A$3:$A$5001,AJ$3,Base!$B$3:$B$5001,$A$23)))</f>
        <v/>
      </c>
      <c r="AK37" s="98" t="str">
        <f>IF(COUNT(F37:AJ37)=0,"",SUM(F37:AJ37))</f>
        <v/>
      </c>
    </row>
    <row r="38" ht="15.75" customHeight="1">
      <c r="A38" s="118"/>
      <c r="B38" s="115"/>
      <c r="C38" s="92" t="inlineStr">
        <is>
          <t xml:space="preserve">Férias</t>
        </is>
      </c>
      <c r="D38" s="93" t="str">
        <f>IFERROR(1/(1/INDEX(calculos!$C$55:$K$83,MATCH("Férias",calculos!$A$55:$A$83,0),MATCH($A$23,calculos!$C$54:$K$54,0))),"")</f>
        <v/>
      </c>
      <c r="E38" s="94"/>
      <c r="F38" s="95" t="str">
        <f>IF(F$3="","",IF(COUNTIFS(Base!$A$3:$A$5001,F$3,Base!$B$3:$B$5001,$A$23,Base!$AC$3:$AC$5001,"&lt;&gt;")=0,"",SUMIFS(Base!$AC$3:$AC$5001,Base!$A$3:$A$5001,F$3,Base!$B$3:$B$5001,$A$23)))</f>
        <v/>
      </c>
      <c r="G38" s="96" t="str">
        <f>IF(G$3="","",IF(COUNTIFS(Base!$A$3:$A$5001,G$3,Base!$B$3:$B$5001,$A$23,Base!$AC$3:$AC$5001,"&lt;&gt;")=0,"",SUMIFS(Base!$AC$3:$AC$5001,Base!$A$3:$A$5001,G$3,Base!$B$3:$B$5001,$A$23)))</f>
        <v/>
      </c>
      <c r="H38" s="96" t="str">
        <f>IF(H$3="","",IF(COUNTIFS(Base!$A$3:$A$5001,H$3,Base!$B$3:$B$5001,$A$23,Base!$AC$3:$AC$5001,"&lt;&gt;")=0,"",SUMIFS(Base!$AC$3:$AC$5001,Base!$A$3:$A$5001,H$3,Base!$B$3:$B$5001,$A$23)))</f>
        <v/>
      </c>
      <c r="I38" s="96" t="str">
        <f>IF(I$3="","",IF(COUNTIFS(Base!$A$3:$A$5001,I$3,Base!$B$3:$B$5001,$A$23,Base!$AC$3:$AC$5001,"&lt;&gt;")=0,"",SUMIFS(Base!$AC$3:$AC$5001,Base!$A$3:$A$5001,I$3,Base!$B$3:$B$5001,$A$23)))</f>
        <v/>
      </c>
      <c r="J38" s="96" t="str">
        <f>IF(J$3="","",IF(COUNTIFS(Base!$A$3:$A$5001,J$3,Base!$B$3:$B$5001,$A$23,Base!$AC$3:$AC$5001,"&lt;&gt;")=0,"",SUMIFS(Base!$AC$3:$AC$5001,Base!$A$3:$A$5001,J$3,Base!$B$3:$B$5001,$A$23)))</f>
        <v/>
      </c>
      <c r="K38" s="96" t="str">
        <f>IF(K$3="","",IF(COUNTIFS(Base!$A$3:$A$5001,K$3,Base!$B$3:$B$5001,$A$23,Base!$AC$3:$AC$5001,"&lt;&gt;")=0,"",SUMIFS(Base!$AC$3:$AC$5001,Base!$A$3:$A$5001,K$3,Base!$B$3:$B$5001,$A$23)))</f>
        <v/>
      </c>
      <c r="L38" s="96" t="str">
        <f>IF(L$3="","",IF(COUNTIFS(Base!$A$3:$A$5001,L$3,Base!$B$3:$B$5001,$A$23,Base!$AC$3:$AC$5001,"&lt;&gt;")=0,"",SUMIFS(Base!$AC$3:$AC$5001,Base!$A$3:$A$5001,L$3,Base!$B$3:$B$5001,$A$23)))</f>
        <v/>
      </c>
      <c r="M38" s="96" t="str">
        <f>IF(M$3="","",IF(COUNTIFS(Base!$A$3:$A$5001,M$3,Base!$B$3:$B$5001,$A$23,Base!$AC$3:$AC$5001,"&lt;&gt;")=0,"",SUMIFS(Base!$AC$3:$AC$5001,Base!$A$3:$A$5001,M$3,Base!$B$3:$B$5001,$A$23)))</f>
        <v/>
      </c>
      <c r="N38" s="96" t="str">
        <f>IF(N$3="","",IF(COUNTIFS(Base!$A$3:$A$5001,N$3,Base!$B$3:$B$5001,$A$23,Base!$AC$3:$AC$5001,"&lt;&gt;")=0,"",SUMIFS(Base!$AC$3:$AC$5001,Base!$A$3:$A$5001,N$3,Base!$B$3:$B$5001,$A$23)))</f>
        <v/>
      </c>
      <c r="O38" s="96" t="str">
        <f>IF(O$3="","",IF(COUNTIFS(Base!$A$3:$A$5001,O$3,Base!$B$3:$B$5001,$A$23,Base!$AC$3:$AC$5001,"&lt;&gt;")=0,"",SUMIFS(Base!$AC$3:$AC$5001,Base!$A$3:$A$5001,O$3,Base!$B$3:$B$5001,$A$23)))</f>
        <v/>
      </c>
      <c r="P38" s="96" t="str">
        <f>IF(P$3="","",IF(COUNTIFS(Base!$A$3:$A$5001,P$3,Base!$B$3:$B$5001,$A$23,Base!$AC$3:$AC$5001,"&lt;&gt;")=0,"",SUMIFS(Base!$AC$3:$AC$5001,Base!$A$3:$A$5001,P$3,Base!$B$3:$B$5001,$A$23)))</f>
        <v/>
      </c>
      <c r="Q38" s="96" t="str">
        <f>IF(Q$3="","",IF(COUNTIFS(Base!$A$3:$A$5001,Q$3,Base!$B$3:$B$5001,$A$23,Base!$AC$3:$AC$5001,"&lt;&gt;")=0,"",SUMIFS(Base!$AC$3:$AC$5001,Base!$A$3:$A$5001,Q$3,Base!$B$3:$B$5001,$A$23)))</f>
        <v/>
      </c>
      <c r="R38" s="96" t="str">
        <f>IF(R$3="","",IF(COUNTIFS(Base!$A$3:$A$5001,R$3,Base!$B$3:$B$5001,$A$23,Base!$AC$3:$AC$5001,"&lt;&gt;")=0,"",SUMIFS(Base!$AC$3:$AC$5001,Base!$A$3:$A$5001,R$3,Base!$B$3:$B$5001,$A$23)))</f>
        <v/>
      </c>
      <c r="S38" s="96" t="str">
        <f>IF(S$3="","",IF(COUNTIFS(Base!$A$3:$A$5001,S$3,Base!$B$3:$B$5001,$A$23,Base!$AC$3:$AC$5001,"&lt;&gt;")=0,"",SUMIFS(Base!$AC$3:$AC$5001,Base!$A$3:$A$5001,S$3,Base!$B$3:$B$5001,$A$23)))</f>
        <v/>
      </c>
      <c r="T38" s="96" t="str">
        <f>IF(T$3="","",IF(COUNTIFS(Base!$A$3:$A$5001,T$3,Base!$B$3:$B$5001,$A$23,Base!$AC$3:$AC$5001,"&lt;&gt;")=0,"",SUMIFS(Base!$AC$3:$AC$5001,Base!$A$3:$A$5001,T$3,Base!$B$3:$B$5001,$A$23)))</f>
        <v/>
      </c>
      <c r="U38" s="96" t="str">
        <f>IF(U$3="","",IF(COUNTIFS(Base!$A$3:$A$5001,U$3,Base!$B$3:$B$5001,$A$23,Base!$AC$3:$AC$5001,"&lt;&gt;")=0,"",SUMIFS(Base!$AC$3:$AC$5001,Base!$A$3:$A$5001,U$3,Base!$B$3:$B$5001,$A$23)))</f>
        <v/>
      </c>
      <c r="V38" s="96" t="str">
        <f>IF(V$3="","",IF(COUNTIFS(Base!$A$3:$A$5001,V$3,Base!$B$3:$B$5001,$A$23,Base!$AC$3:$AC$5001,"&lt;&gt;")=0,"",SUMIFS(Base!$AC$3:$AC$5001,Base!$A$3:$A$5001,V$3,Base!$B$3:$B$5001,$A$23)))</f>
        <v/>
      </c>
      <c r="W38" s="96" t="str">
        <f>IF(W$3="","",IF(COUNTIFS(Base!$A$3:$A$5001,W$3,Base!$B$3:$B$5001,$A$23,Base!$AC$3:$AC$5001,"&lt;&gt;")=0,"",SUMIFS(Base!$AC$3:$AC$5001,Base!$A$3:$A$5001,W$3,Base!$B$3:$B$5001,$A$23)))</f>
        <v/>
      </c>
      <c r="X38" s="96" t="str">
        <f>IF(X$3="","",IF(COUNTIFS(Base!$A$3:$A$5001,X$3,Base!$B$3:$B$5001,$A$23,Base!$AC$3:$AC$5001,"&lt;&gt;")=0,"",SUMIFS(Base!$AC$3:$AC$5001,Base!$A$3:$A$5001,X$3,Base!$B$3:$B$5001,$A$23)))</f>
        <v/>
      </c>
      <c r="Y38" s="96" t="str">
        <f>IF(Y$3="","",IF(COUNTIFS(Base!$A$3:$A$5001,Y$3,Base!$B$3:$B$5001,$A$23,Base!$AC$3:$AC$5001,"&lt;&gt;")=0,"",SUMIFS(Base!$AC$3:$AC$5001,Base!$A$3:$A$5001,Y$3,Base!$B$3:$B$5001,$A$23)))</f>
        <v/>
      </c>
      <c r="Z38" s="96" t="str">
        <f>IF(Z$3="","",IF(COUNTIFS(Base!$A$3:$A$5001,Z$3,Base!$B$3:$B$5001,$A$23,Base!$AC$3:$AC$5001,"&lt;&gt;")=0,"",SUMIFS(Base!$AC$3:$AC$5001,Base!$A$3:$A$5001,Z$3,Base!$B$3:$B$5001,$A$23)))</f>
        <v/>
      </c>
      <c r="AA38" s="96" t="str">
        <f>IF(AA$3="","",IF(COUNTIFS(Base!$A$3:$A$5001,AA$3,Base!$B$3:$B$5001,$A$23,Base!$AC$3:$AC$5001,"&lt;&gt;")=0,"",SUMIFS(Base!$AC$3:$AC$5001,Base!$A$3:$A$5001,AA$3,Base!$B$3:$B$5001,$A$23)))</f>
        <v/>
      </c>
      <c r="AB38" s="96" t="str">
        <f>IF(AB$3="","",IF(COUNTIFS(Base!$A$3:$A$5001,AB$3,Base!$B$3:$B$5001,$A$23,Base!$AC$3:$AC$5001,"&lt;&gt;")=0,"",SUMIFS(Base!$AC$3:$AC$5001,Base!$A$3:$A$5001,AB$3,Base!$B$3:$B$5001,$A$23)))</f>
        <v/>
      </c>
      <c r="AC38" s="96" t="str">
        <f>IF(AC$3="","",IF(COUNTIFS(Base!$A$3:$A$5001,AC$3,Base!$B$3:$B$5001,$A$23,Base!$AC$3:$AC$5001,"&lt;&gt;")=0,"",SUMIFS(Base!$AC$3:$AC$5001,Base!$A$3:$A$5001,AC$3,Base!$B$3:$B$5001,$A$23)))</f>
        <v/>
      </c>
      <c r="AD38" s="96" t="str">
        <f>IF(AD$3="","",IF(COUNTIFS(Base!$A$3:$A$5001,AD$3,Base!$B$3:$B$5001,$A$23,Base!$AC$3:$AC$5001,"&lt;&gt;")=0,"",SUMIFS(Base!$AC$3:$AC$5001,Base!$A$3:$A$5001,AD$3,Base!$B$3:$B$5001,$A$23)))</f>
        <v/>
      </c>
      <c r="AE38" s="96" t="str">
        <f>IF(AE$3="","",IF(COUNTIFS(Base!$A$3:$A$5001,AE$3,Base!$B$3:$B$5001,$A$23,Base!$AC$3:$AC$5001,"&lt;&gt;")=0,"",SUMIFS(Base!$AC$3:$AC$5001,Base!$A$3:$A$5001,AE$3,Base!$B$3:$B$5001,$A$23)))</f>
        <v/>
      </c>
      <c r="AF38" s="96" t="str">
        <f>IF(AF$3="","",IF(COUNTIFS(Base!$A$3:$A$5001,AF$3,Base!$B$3:$B$5001,$A$23,Base!$AC$3:$AC$5001,"&lt;&gt;")=0,"",SUMIFS(Base!$AC$3:$AC$5001,Base!$A$3:$A$5001,AF$3,Base!$B$3:$B$5001,$A$23)))</f>
        <v/>
      </c>
      <c r="AG38" s="96" t="str">
        <f>IF(AG$3="","",IF(COUNTIFS(Base!$A$3:$A$5001,AG$3,Base!$B$3:$B$5001,$A$23,Base!$AC$3:$AC$5001,"&lt;&gt;")=0,"",SUMIFS(Base!$AC$3:$AC$5001,Base!$A$3:$A$5001,AG$3,Base!$B$3:$B$5001,$A$23)))</f>
        <v/>
      </c>
      <c r="AH38" s="96" t="str">
        <f>IF(AH$3="","",IF(COUNTIFS(Base!$A$3:$A$5001,AH$3,Base!$B$3:$B$5001,$A$23,Base!$AC$3:$AC$5001,"&lt;&gt;")=0,"",SUMIFS(Base!$AC$3:$AC$5001,Base!$A$3:$A$5001,AH$3,Base!$B$3:$B$5001,$A$23)))</f>
        <v/>
      </c>
      <c r="AI38" s="96" t="str">
        <f>IF(AI$3="","",IF(COUNTIFS(Base!$A$3:$A$5001,AI$3,Base!$B$3:$B$5001,$A$23,Base!$AC$3:$AC$5001,"&lt;&gt;")=0,"",SUMIFS(Base!$AC$3:$AC$5001,Base!$A$3:$A$5001,AI$3,Base!$B$3:$B$5001,$A$23)))</f>
        <v/>
      </c>
      <c r="AJ38" s="97" t="str">
        <f>IF(AJ$3="","",IF(COUNTIFS(Base!$A$3:$A$5001,AJ$3,Base!$B$3:$B$5001,$A$23,Base!$AC$3:$AC$5001,"&lt;&gt;")=0,"",SUMIFS(Base!$AC$3:$AC$5001,Base!$A$3:$A$5001,AJ$3,Base!$B$3:$B$5001,$A$23)))</f>
        <v/>
      </c>
      <c r="AK38" s="98" t="str">
        <f>IF(COUNT(F38:AJ38)=0,"",SUM(F38:AJ38))</f>
        <v/>
      </c>
    </row>
    <row r="39" ht="15.75" customHeight="1">
      <c r="A39" s="119"/>
      <c r="B39" s="116"/>
      <c r="C39" s="99" t="inlineStr">
        <is>
          <t xml:space="preserve">Desligamentos</t>
        </is>
      </c>
      <c r="D39" s="100" t="str">
        <f>IFERROR(1/(1/INDEX(calculos!$C$55:$K$83,MATCH("Desligamentos",calculos!$A$55:$A$83,0),MATCH($A$23,calculos!$C$54:$K$54,0))),"")</f>
        <v/>
      </c>
      <c r="E39" s="101"/>
      <c r="F39" s="102" t="str">
        <f>IF(F$3="","",IF(COUNTIFS(Base!$A$3:$A$5001,F$3,Base!$B$3:$B$5001,$A$23,Base!$AD$3:$AD$5001,"&lt;&gt;")=0,"",SUMIFS(Base!$AD$3:$AD$5001,Base!$A$3:$A$5001,F$3,Base!$B$3:$B$5001,$A$23)))</f>
        <v/>
      </c>
      <c r="G39" s="103" t="str">
        <f>IF(G$3="","",IF(COUNTIFS(Base!$A$3:$A$5001,G$3,Base!$B$3:$B$5001,$A$23,Base!$AD$3:$AD$5001,"&lt;&gt;")=0,"",SUMIFS(Base!$AD$3:$AD$5001,Base!$A$3:$A$5001,G$3,Base!$B$3:$B$5001,$A$23)))</f>
        <v/>
      </c>
      <c r="H39" s="103" t="str">
        <f>IF(H$3="","",IF(COUNTIFS(Base!$A$3:$A$5001,H$3,Base!$B$3:$B$5001,$A$23,Base!$AD$3:$AD$5001,"&lt;&gt;")=0,"",SUMIFS(Base!$AD$3:$AD$5001,Base!$A$3:$A$5001,H$3,Base!$B$3:$B$5001,$A$23)))</f>
        <v/>
      </c>
      <c r="I39" s="103" t="str">
        <f>IF(I$3="","",IF(COUNTIFS(Base!$A$3:$A$5001,I$3,Base!$B$3:$B$5001,$A$23,Base!$AD$3:$AD$5001,"&lt;&gt;")=0,"",SUMIFS(Base!$AD$3:$AD$5001,Base!$A$3:$A$5001,I$3,Base!$B$3:$B$5001,$A$23)))</f>
        <v/>
      </c>
      <c r="J39" s="103" t="str">
        <f>IF(J$3="","",IF(COUNTIFS(Base!$A$3:$A$5001,J$3,Base!$B$3:$B$5001,$A$23,Base!$AD$3:$AD$5001,"&lt;&gt;")=0,"",SUMIFS(Base!$AD$3:$AD$5001,Base!$A$3:$A$5001,J$3,Base!$B$3:$B$5001,$A$23)))</f>
        <v/>
      </c>
      <c r="K39" s="103" t="str">
        <f>IF(K$3="","",IF(COUNTIFS(Base!$A$3:$A$5001,K$3,Base!$B$3:$B$5001,$A$23,Base!$AD$3:$AD$5001,"&lt;&gt;")=0,"",SUMIFS(Base!$AD$3:$AD$5001,Base!$A$3:$A$5001,K$3,Base!$B$3:$B$5001,$A$23)))</f>
        <v/>
      </c>
      <c r="L39" s="103" t="str">
        <f>IF(L$3="","",IF(COUNTIFS(Base!$A$3:$A$5001,L$3,Base!$B$3:$B$5001,$A$23,Base!$AD$3:$AD$5001,"&lt;&gt;")=0,"",SUMIFS(Base!$AD$3:$AD$5001,Base!$A$3:$A$5001,L$3,Base!$B$3:$B$5001,$A$23)))</f>
        <v/>
      </c>
      <c r="M39" s="103" t="str">
        <f>IF(M$3="","",IF(COUNTIFS(Base!$A$3:$A$5001,M$3,Base!$B$3:$B$5001,$A$23,Base!$AD$3:$AD$5001,"&lt;&gt;")=0,"",SUMIFS(Base!$AD$3:$AD$5001,Base!$A$3:$A$5001,M$3,Base!$B$3:$B$5001,$A$23)))</f>
        <v/>
      </c>
      <c r="N39" s="103" t="str">
        <f>IF(N$3="","",IF(COUNTIFS(Base!$A$3:$A$5001,N$3,Base!$B$3:$B$5001,$A$23,Base!$AD$3:$AD$5001,"&lt;&gt;")=0,"",SUMIFS(Base!$AD$3:$AD$5001,Base!$A$3:$A$5001,N$3,Base!$B$3:$B$5001,$A$23)))</f>
        <v/>
      </c>
      <c r="O39" s="103" t="str">
        <f>IF(O$3="","",IF(COUNTIFS(Base!$A$3:$A$5001,O$3,Base!$B$3:$B$5001,$A$23,Base!$AD$3:$AD$5001,"&lt;&gt;")=0,"",SUMIFS(Base!$AD$3:$AD$5001,Base!$A$3:$A$5001,O$3,Base!$B$3:$B$5001,$A$23)))</f>
        <v/>
      </c>
      <c r="P39" s="103" t="str">
        <f>IF(P$3="","",IF(COUNTIFS(Base!$A$3:$A$5001,P$3,Base!$B$3:$B$5001,$A$23,Base!$AD$3:$AD$5001,"&lt;&gt;")=0,"",SUMIFS(Base!$AD$3:$AD$5001,Base!$A$3:$A$5001,P$3,Base!$B$3:$B$5001,$A$23)))</f>
        <v/>
      </c>
      <c r="Q39" s="103" t="str">
        <f>IF(Q$3="","",IF(COUNTIFS(Base!$A$3:$A$5001,Q$3,Base!$B$3:$B$5001,$A$23,Base!$AD$3:$AD$5001,"&lt;&gt;")=0,"",SUMIFS(Base!$AD$3:$AD$5001,Base!$A$3:$A$5001,Q$3,Base!$B$3:$B$5001,$A$23)))</f>
        <v/>
      </c>
      <c r="R39" s="103" t="str">
        <f>IF(R$3="","",IF(COUNTIFS(Base!$A$3:$A$5001,R$3,Base!$B$3:$B$5001,$A$23,Base!$AD$3:$AD$5001,"&lt;&gt;")=0,"",SUMIFS(Base!$AD$3:$AD$5001,Base!$A$3:$A$5001,R$3,Base!$B$3:$B$5001,$A$23)))</f>
        <v/>
      </c>
      <c r="S39" s="103" t="str">
        <f>IF(S$3="","",IF(COUNTIFS(Base!$A$3:$A$5001,S$3,Base!$B$3:$B$5001,$A$23,Base!$AD$3:$AD$5001,"&lt;&gt;")=0,"",SUMIFS(Base!$AD$3:$AD$5001,Base!$A$3:$A$5001,S$3,Base!$B$3:$B$5001,$A$23)))</f>
        <v/>
      </c>
      <c r="T39" s="103" t="str">
        <f>IF(T$3="","",IF(COUNTIFS(Base!$A$3:$A$5001,T$3,Base!$B$3:$B$5001,$A$23,Base!$AD$3:$AD$5001,"&lt;&gt;")=0,"",SUMIFS(Base!$AD$3:$AD$5001,Base!$A$3:$A$5001,T$3,Base!$B$3:$B$5001,$A$23)))</f>
        <v/>
      </c>
      <c r="U39" s="103" t="str">
        <f>IF(U$3="","",IF(COUNTIFS(Base!$A$3:$A$5001,U$3,Base!$B$3:$B$5001,$A$23,Base!$AD$3:$AD$5001,"&lt;&gt;")=0,"",SUMIFS(Base!$AD$3:$AD$5001,Base!$A$3:$A$5001,U$3,Base!$B$3:$B$5001,$A$23)))</f>
        <v/>
      </c>
      <c r="V39" s="103" t="str">
        <f>IF(V$3="","",IF(COUNTIFS(Base!$A$3:$A$5001,V$3,Base!$B$3:$B$5001,$A$23,Base!$AD$3:$AD$5001,"&lt;&gt;")=0,"",SUMIFS(Base!$AD$3:$AD$5001,Base!$A$3:$A$5001,V$3,Base!$B$3:$B$5001,$A$23)))</f>
        <v/>
      </c>
      <c r="W39" s="103" t="str">
        <f>IF(W$3="","",IF(COUNTIFS(Base!$A$3:$A$5001,W$3,Base!$B$3:$B$5001,$A$23,Base!$AD$3:$AD$5001,"&lt;&gt;")=0,"",SUMIFS(Base!$AD$3:$AD$5001,Base!$A$3:$A$5001,W$3,Base!$B$3:$B$5001,$A$23)))</f>
        <v/>
      </c>
      <c r="X39" s="103" t="str">
        <f>IF(X$3="","",IF(COUNTIFS(Base!$A$3:$A$5001,X$3,Base!$B$3:$B$5001,$A$23,Base!$AD$3:$AD$5001,"&lt;&gt;")=0,"",SUMIFS(Base!$AD$3:$AD$5001,Base!$A$3:$A$5001,X$3,Base!$B$3:$B$5001,$A$23)))</f>
        <v/>
      </c>
      <c r="Y39" s="103" t="str">
        <f>IF(Y$3="","",IF(COUNTIFS(Base!$A$3:$A$5001,Y$3,Base!$B$3:$B$5001,$A$23,Base!$AD$3:$AD$5001,"&lt;&gt;")=0,"",SUMIFS(Base!$AD$3:$AD$5001,Base!$A$3:$A$5001,Y$3,Base!$B$3:$B$5001,$A$23)))</f>
        <v/>
      </c>
      <c r="Z39" s="103" t="str">
        <f>IF(Z$3="","",IF(COUNTIFS(Base!$A$3:$A$5001,Z$3,Base!$B$3:$B$5001,$A$23,Base!$AD$3:$AD$5001,"&lt;&gt;")=0,"",SUMIFS(Base!$AD$3:$AD$5001,Base!$A$3:$A$5001,Z$3,Base!$B$3:$B$5001,$A$23)))</f>
        <v/>
      </c>
      <c r="AA39" s="103" t="str">
        <f>IF(AA$3="","",IF(COUNTIFS(Base!$A$3:$A$5001,AA$3,Base!$B$3:$B$5001,$A$23,Base!$AD$3:$AD$5001,"&lt;&gt;")=0,"",SUMIFS(Base!$AD$3:$AD$5001,Base!$A$3:$A$5001,AA$3,Base!$B$3:$B$5001,$A$23)))</f>
        <v/>
      </c>
      <c r="AB39" s="103" t="str">
        <f>IF(AB$3="","",IF(COUNTIFS(Base!$A$3:$A$5001,AB$3,Base!$B$3:$B$5001,$A$23,Base!$AD$3:$AD$5001,"&lt;&gt;")=0,"",SUMIFS(Base!$AD$3:$AD$5001,Base!$A$3:$A$5001,AB$3,Base!$B$3:$B$5001,$A$23)))</f>
        <v/>
      </c>
      <c r="AC39" s="103" t="str">
        <f>IF(AC$3="","",IF(COUNTIFS(Base!$A$3:$A$5001,AC$3,Base!$B$3:$B$5001,$A$23,Base!$AD$3:$AD$5001,"&lt;&gt;")=0,"",SUMIFS(Base!$AD$3:$AD$5001,Base!$A$3:$A$5001,AC$3,Base!$B$3:$B$5001,$A$23)))</f>
        <v/>
      </c>
      <c r="AD39" s="103" t="str">
        <f>IF(AD$3="","",IF(COUNTIFS(Base!$A$3:$A$5001,AD$3,Base!$B$3:$B$5001,$A$23,Base!$AD$3:$AD$5001,"&lt;&gt;")=0,"",SUMIFS(Base!$AD$3:$AD$5001,Base!$A$3:$A$5001,AD$3,Base!$B$3:$B$5001,$A$23)))</f>
        <v/>
      </c>
      <c r="AE39" s="103" t="str">
        <f>IF(AE$3="","",IF(COUNTIFS(Base!$A$3:$A$5001,AE$3,Base!$B$3:$B$5001,$A$23,Base!$AD$3:$AD$5001,"&lt;&gt;")=0,"",SUMIFS(Base!$AD$3:$AD$5001,Base!$A$3:$A$5001,AE$3,Base!$B$3:$B$5001,$A$23)))</f>
        <v/>
      </c>
      <c r="AF39" s="103" t="str">
        <f>IF(AF$3="","",IF(COUNTIFS(Base!$A$3:$A$5001,AF$3,Base!$B$3:$B$5001,$A$23,Base!$AD$3:$AD$5001,"&lt;&gt;")=0,"",SUMIFS(Base!$AD$3:$AD$5001,Base!$A$3:$A$5001,AF$3,Base!$B$3:$B$5001,$A$23)))</f>
        <v/>
      </c>
      <c r="AG39" s="103" t="str">
        <f>IF(AG$3="","",IF(COUNTIFS(Base!$A$3:$A$5001,AG$3,Base!$B$3:$B$5001,$A$23,Base!$AD$3:$AD$5001,"&lt;&gt;")=0,"",SUMIFS(Base!$AD$3:$AD$5001,Base!$A$3:$A$5001,AG$3,Base!$B$3:$B$5001,$A$23)))</f>
        <v/>
      </c>
      <c r="AH39" s="103" t="str">
        <f>IF(AH$3="","",IF(COUNTIFS(Base!$A$3:$A$5001,AH$3,Base!$B$3:$B$5001,$A$23,Base!$AD$3:$AD$5001,"&lt;&gt;")=0,"",SUMIFS(Base!$AD$3:$AD$5001,Base!$A$3:$A$5001,AH$3,Base!$B$3:$B$5001,$A$23)))</f>
        <v/>
      </c>
      <c r="AI39" s="103" t="str">
        <f>IF(AI$3="","",IF(COUNTIFS(Base!$A$3:$A$5001,AI$3,Base!$B$3:$B$5001,$A$23,Base!$AD$3:$AD$5001,"&lt;&gt;")=0,"",SUMIFS(Base!$AD$3:$AD$5001,Base!$A$3:$A$5001,AI$3,Base!$B$3:$B$5001,$A$23)))</f>
        <v/>
      </c>
      <c r="AJ39" s="104" t="str">
        <f>IF(AJ$3="","",IF(COUNTIFS(Base!$A$3:$A$5001,AJ$3,Base!$B$3:$B$5001,$A$23,Base!$AD$3:$AD$5001,"&lt;&gt;")=0,"",SUMIFS(Base!$AD$3:$AD$5001,Base!$A$3:$A$5001,AJ$3,Base!$B$3:$B$5001,$A$23)))</f>
        <v/>
      </c>
      <c r="AK39" s="100" t="str">
        <f>IF(COUNT(F39:AJ39)=0,"",SUM(F39:AJ39))</f>
        <v/>
      </c>
    </row>
    <row r="41" ht="15.75" customHeight="1">
      <c r="A41" s="117" t="inlineStr">
        <is>
          <t xml:space="preserve">BOTICÁRIO</t>
        </is>
      </c>
      <c r="B41" s="105" t="inlineStr">
        <is>
          <t xml:space="preserve">IN</t>
        </is>
      </c>
      <c r="C41" s="21" t="inlineStr">
        <is>
          <t xml:space="preserve">Veículos Recebidos</t>
        </is>
      </c>
      <c r="D41" s="22" t="str">
        <f>IFERROR(1/(1/INDEX(calculos!$C$55:$K$83,MATCH("IN Veículos Recebidos",calculos!$A$55:$A$83,0),MATCH($A$41,calculos!$C$54:$K$54,0))),"")</f>
        <v/>
      </c>
      <c r="E41" s="23"/>
      <c r="F41" s="24" t="str">
        <f>IF(F$3="","",IF(COUNTIFS(Base!$A$3:$A$5001,F$3,Base!$B$3:$B$5001,$A$41,Base!$C$3:$C$5001,"&lt;&gt;")=0,"",SUMIFS(Base!$C$3:$C$5001,Base!$A$3:$A$5001,F$3,Base!$B$3:$B$5001,$A$41)))</f>
        <v/>
      </c>
      <c r="G41" s="25" t="str">
        <f>IF(G$3="","",IF(COUNTIFS(Base!$A$3:$A$5001,G$3,Base!$B$3:$B$5001,$A$41,Base!$C$3:$C$5001,"&lt;&gt;")=0,"",SUMIFS(Base!$C$3:$C$5001,Base!$A$3:$A$5001,G$3,Base!$B$3:$B$5001,$A$41)))</f>
        <v/>
      </c>
      <c r="H41" s="25" t="str">
        <f>IF(H$3="","",IF(COUNTIFS(Base!$A$3:$A$5001,H$3,Base!$B$3:$B$5001,$A$41,Base!$C$3:$C$5001,"&lt;&gt;")=0,"",SUMIFS(Base!$C$3:$C$5001,Base!$A$3:$A$5001,H$3,Base!$B$3:$B$5001,$A$41)))</f>
        <v/>
      </c>
      <c r="I41" s="25" t="str">
        <f>IF(I$3="","",IF(COUNTIFS(Base!$A$3:$A$5001,I$3,Base!$B$3:$B$5001,$A$41,Base!$C$3:$C$5001,"&lt;&gt;")=0,"",SUMIFS(Base!$C$3:$C$5001,Base!$A$3:$A$5001,I$3,Base!$B$3:$B$5001,$A$41)))</f>
        <v/>
      </c>
      <c r="J41" s="25" t="str">
        <f>IF(J$3="","",IF(COUNTIFS(Base!$A$3:$A$5001,J$3,Base!$B$3:$B$5001,$A$41,Base!$C$3:$C$5001,"&lt;&gt;")=0,"",SUMIFS(Base!$C$3:$C$5001,Base!$A$3:$A$5001,J$3,Base!$B$3:$B$5001,$A$41)))</f>
        <v/>
      </c>
      <c r="K41" s="25" t="str">
        <f>IF(K$3="","",IF(COUNTIFS(Base!$A$3:$A$5001,K$3,Base!$B$3:$B$5001,$A$41,Base!$C$3:$C$5001,"&lt;&gt;")=0,"",SUMIFS(Base!$C$3:$C$5001,Base!$A$3:$A$5001,K$3,Base!$B$3:$B$5001,$A$41)))</f>
        <v/>
      </c>
      <c r="L41" s="25" t="str">
        <f>IF(L$3="","",IF(COUNTIFS(Base!$A$3:$A$5001,L$3,Base!$B$3:$B$5001,$A$41,Base!$C$3:$C$5001,"&lt;&gt;")=0,"",SUMIFS(Base!$C$3:$C$5001,Base!$A$3:$A$5001,L$3,Base!$B$3:$B$5001,$A$41)))</f>
        <v/>
      </c>
      <c r="M41" s="25" t="str">
        <f>IF(M$3="","",IF(COUNTIFS(Base!$A$3:$A$5001,M$3,Base!$B$3:$B$5001,$A$41,Base!$C$3:$C$5001,"&lt;&gt;")=0,"",SUMIFS(Base!$C$3:$C$5001,Base!$A$3:$A$5001,M$3,Base!$B$3:$B$5001,$A$41)))</f>
        <v/>
      </c>
      <c r="N41" s="25" t="str">
        <f>IF(N$3="","",IF(COUNTIFS(Base!$A$3:$A$5001,N$3,Base!$B$3:$B$5001,$A$41,Base!$C$3:$C$5001,"&lt;&gt;")=0,"",SUMIFS(Base!$C$3:$C$5001,Base!$A$3:$A$5001,N$3,Base!$B$3:$B$5001,$A$41)))</f>
        <v/>
      </c>
      <c r="O41" s="25" t="str">
        <f>IF(O$3="","",IF(COUNTIFS(Base!$A$3:$A$5001,O$3,Base!$B$3:$B$5001,$A$41,Base!$C$3:$C$5001,"&lt;&gt;")=0,"",SUMIFS(Base!$C$3:$C$5001,Base!$A$3:$A$5001,O$3,Base!$B$3:$B$5001,$A$41)))</f>
        <v/>
      </c>
      <c r="P41" s="25" t="str">
        <f>IF(P$3="","",IF(COUNTIFS(Base!$A$3:$A$5001,P$3,Base!$B$3:$B$5001,$A$41,Base!$C$3:$C$5001,"&lt;&gt;")=0,"",SUMIFS(Base!$C$3:$C$5001,Base!$A$3:$A$5001,P$3,Base!$B$3:$B$5001,$A$41)))</f>
        <v/>
      </c>
      <c r="Q41" s="25" t="str">
        <f>IF(Q$3="","",IF(COUNTIFS(Base!$A$3:$A$5001,Q$3,Base!$B$3:$B$5001,$A$41,Base!$C$3:$C$5001,"&lt;&gt;")=0,"",SUMIFS(Base!$C$3:$C$5001,Base!$A$3:$A$5001,Q$3,Base!$B$3:$B$5001,$A$41)))</f>
        <v/>
      </c>
      <c r="R41" s="25" t="str">
        <f>IF(R$3="","",IF(COUNTIFS(Base!$A$3:$A$5001,R$3,Base!$B$3:$B$5001,$A$41,Base!$C$3:$C$5001,"&lt;&gt;")=0,"",SUMIFS(Base!$C$3:$C$5001,Base!$A$3:$A$5001,R$3,Base!$B$3:$B$5001,$A$41)))</f>
        <v/>
      </c>
      <c r="S41" s="25" t="str">
        <f>IF(S$3="","",IF(COUNTIFS(Base!$A$3:$A$5001,S$3,Base!$B$3:$B$5001,$A$41,Base!$C$3:$C$5001,"&lt;&gt;")=0,"",SUMIFS(Base!$C$3:$C$5001,Base!$A$3:$A$5001,S$3,Base!$B$3:$B$5001,$A$41)))</f>
        <v/>
      </c>
      <c r="T41" s="25" t="str">
        <f>IF(T$3="","",IF(COUNTIFS(Base!$A$3:$A$5001,T$3,Base!$B$3:$B$5001,$A$41,Base!$C$3:$C$5001,"&lt;&gt;")=0,"",SUMIFS(Base!$C$3:$C$5001,Base!$A$3:$A$5001,T$3,Base!$B$3:$B$5001,$A$41)))</f>
        <v/>
      </c>
      <c r="U41" s="25" t="str">
        <f>IF(U$3="","",IF(COUNTIFS(Base!$A$3:$A$5001,U$3,Base!$B$3:$B$5001,$A$41,Base!$C$3:$C$5001,"&lt;&gt;")=0,"",SUMIFS(Base!$C$3:$C$5001,Base!$A$3:$A$5001,U$3,Base!$B$3:$B$5001,$A$41)))</f>
        <v/>
      </c>
      <c r="V41" s="25" t="str">
        <f>IF(V$3="","",IF(COUNTIFS(Base!$A$3:$A$5001,V$3,Base!$B$3:$B$5001,$A$41,Base!$C$3:$C$5001,"&lt;&gt;")=0,"",SUMIFS(Base!$C$3:$C$5001,Base!$A$3:$A$5001,V$3,Base!$B$3:$B$5001,$A$41)))</f>
        <v/>
      </c>
      <c r="W41" s="25" t="str">
        <f>IF(W$3="","",IF(COUNTIFS(Base!$A$3:$A$5001,W$3,Base!$B$3:$B$5001,$A$41,Base!$C$3:$C$5001,"&lt;&gt;")=0,"",SUMIFS(Base!$C$3:$C$5001,Base!$A$3:$A$5001,W$3,Base!$B$3:$B$5001,$A$41)))</f>
        <v/>
      </c>
      <c r="X41" s="25" t="str">
        <f>IF(X$3="","",IF(COUNTIFS(Base!$A$3:$A$5001,X$3,Base!$B$3:$B$5001,$A$41,Base!$C$3:$C$5001,"&lt;&gt;")=0,"",SUMIFS(Base!$C$3:$C$5001,Base!$A$3:$A$5001,X$3,Base!$B$3:$B$5001,$A$41)))</f>
        <v/>
      </c>
      <c r="Y41" s="25" t="str">
        <f>IF(Y$3="","",IF(COUNTIFS(Base!$A$3:$A$5001,Y$3,Base!$B$3:$B$5001,$A$41,Base!$C$3:$C$5001,"&lt;&gt;")=0,"",SUMIFS(Base!$C$3:$C$5001,Base!$A$3:$A$5001,Y$3,Base!$B$3:$B$5001,$A$41)))</f>
        <v/>
      </c>
      <c r="Z41" s="25" t="str">
        <f>IF(Z$3="","",IF(COUNTIFS(Base!$A$3:$A$5001,Z$3,Base!$B$3:$B$5001,$A$41,Base!$C$3:$C$5001,"&lt;&gt;")=0,"",SUMIFS(Base!$C$3:$C$5001,Base!$A$3:$A$5001,Z$3,Base!$B$3:$B$5001,$A$41)))</f>
        <v/>
      </c>
      <c r="AA41" s="25" t="str">
        <f>IF(AA$3="","",IF(COUNTIFS(Base!$A$3:$A$5001,AA$3,Base!$B$3:$B$5001,$A$41,Base!$C$3:$C$5001,"&lt;&gt;")=0,"",SUMIFS(Base!$C$3:$C$5001,Base!$A$3:$A$5001,AA$3,Base!$B$3:$B$5001,$A$41)))</f>
        <v/>
      </c>
      <c r="AB41" s="25" t="str">
        <f>IF(AB$3="","",IF(COUNTIFS(Base!$A$3:$A$5001,AB$3,Base!$B$3:$B$5001,$A$41,Base!$C$3:$C$5001,"&lt;&gt;")=0,"",SUMIFS(Base!$C$3:$C$5001,Base!$A$3:$A$5001,AB$3,Base!$B$3:$B$5001,$A$41)))</f>
        <v/>
      </c>
      <c r="AC41" s="25" t="str">
        <f>IF(AC$3="","",IF(COUNTIFS(Base!$A$3:$A$5001,AC$3,Base!$B$3:$B$5001,$A$41,Base!$C$3:$C$5001,"&lt;&gt;")=0,"",SUMIFS(Base!$C$3:$C$5001,Base!$A$3:$A$5001,AC$3,Base!$B$3:$B$5001,$A$41)))</f>
        <v/>
      </c>
      <c r="AD41" s="25" t="str">
        <f>IF(AD$3="","",IF(COUNTIFS(Base!$A$3:$A$5001,AD$3,Base!$B$3:$B$5001,$A$41,Base!$C$3:$C$5001,"&lt;&gt;")=0,"",SUMIFS(Base!$C$3:$C$5001,Base!$A$3:$A$5001,AD$3,Base!$B$3:$B$5001,$A$41)))</f>
        <v/>
      </c>
      <c r="AE41" s="25" t="str">
        <f>IF(AE$3="","",IF(COUNTIFS(Base!$A$3:$A$5001,AE$3,Base!$B$3:$B$5001,$A$41,Base!$C$3:$C$5001,"&lt;&gt;")=0,"",SUMIFS(Base!$C$3:$C$5001,Base!$A$3:$A$5001,AE$3,Base!$B$3:$B$5001,$A$41)))</f>
        <v/>
      </c>
      <c r="AF41" s="25" t="str">
        <f>IF(AF$3="","",IF(COUNTIFS(Base!$A$3:$A$5001,AF$3,Base!$B$3:$B$5001,$A$41,Base!$C$3:$C$5001,"&lt;&gt;")=0,"",SUMIFS(Base!$C$3:$C$5001,Base!$A$3:$A$5001,AF$3,Base!$B$3:$B$5001,$A$41)))</f>
        <v/>
      </c>
      <c r="AG41" s="25" t="str">
        <f>IF(AG$3="","",IF(COUNTIFS(Base!$A$3:$A$5001,AG$3,Base!$B$3:$B$5001,$A$41,Base!$C$3:$C$5001,"&lt;&gt;")=0,"",SUMIFS(Base!$C$3:$C$5001,Base!$A$3:$A$5001,AG$3,Base!$B$3:$B$5001,$A$41)))</f>
        <v/>
      </c>
      <c r="AH41" s="25" t="str">
        <f>IF(AH$3="","",IF(COUNTIFS(Base!$A$3:$A$5001,AH$3,Base!$B$3:$B$5001,$A$41,Base!$C$3:$C$5001,"&lt;&gt;")=0,"",SUMIFS(Base!$C$3:$C$5001,Base!$A$3:$A$5001,AH$3,Base!$B$3:$B$5001,$A$41)))</f>
        <v/>
      </c>
      <c r="AI41" s="25" t="str">
        <f>IF(AI$3="","",IF(COUNTIFS(Base!$A$3:$A$5001,AI$3,Base!$B$3:$B$5001,$A$41,Base!$C$3:$C$5001,"&lt;&gt;")=0,"",SUMIFS(Base!$C$3:$C$5001,Base!$A$3:$A$5001,AI$3,Base!$B$3:$B$5001,$A$41)))</f>
        <v/>
      </c>
      <c r="AJ41" s="26" t="str">
        <f>IF(AJ$3="","",IF(COUNTIFS(Base!$A$3:$A$5001,AJ$3,Base!$B$3:$B$5001,$A$41,Base!$C$3:$C$5001,"&lt;&gt;")=0,"",SUMIFS(Base!$C$3:$C$5001,Base!$A$3:$A$5001,AJ$3,Base!$B$3:$B$5001,$A$41)))</f>
        <v/>
      </c>
      <c r="AK41" s="27" t="str">
        <f>IF(COUNT(F41:AJ41)=0,"",SUM(F41:AJ41))</f>
        <v/>
      </c>
    </row>
    <row r="42" ht="15.75" customHeight="1">
      <c r="A42" s="118"/>
      <c r="B42" s="106"/>
      <c r="C42" s="28" t="inlineStr">
        <is>
          <t xml:space="preserve">Itens Recebidos CX Mista</t>
        </is>
      </c>
      <c r="D42" s="29" t="str">
        <f>IFERROR(1/(1/INDEX(calculos!$C$55:$K$83,MATCH("IN Itens Recebidos CX Mista",calculos!$A$55:$A$83,0),MATCH($A$41,calculos!$C$54:$K$54,0))),"")</f>
        <v/>
      </c>
      <c r="E42" s="30"/>
      <c r="F42" s="31" t="str">
        <f>IF(F$3="","",IF(COUNTIFS(Base!$A$3:$A$5001,F$3,Base!$B$3:$B$5001,$A$41,Base!$G$3:$G$5001,"&lt;&gt;")=0,"",SUMIFS(Base!$G$3:$G$5001,Base!$A$3:$A$5001,F$3,Base!$B$3:$B$5001,$A$41)))</f>
        <v/>
      </c>
      <c r="G42" s="32" t="str">
        <f>IF(G$3="","",IF(COUNTIFS(Base!$A$3:$A$5001,G$3,Base!$B$3:$B$5001,$A$41,Base!$G$3:$G$5001,"&lt;&gt;")=0,"",SUMIFS(Base!$G$3:$G$5001,Base!$A$3:$A$5001,G$3,Base!$B$3:$B$5001,$A$41)))</f>
        <v/>
      </c>
      <c r="H42" s="32" t="str">
        <f>IF(H$3="","",IF(COUNTIFS(Base!$A$3:$A$5001,H$3,Base!$B$3:$B$5001,$A$41,Base!$G$3:$G$5001,"&lt;&gt;")=0,"",SUMIFS(Base!$G$3:$G$5001,Base!$A$3:$A$5001,H$3,Base!$B$3:$B$5001,$A$41)))</f>
        <v/>
      </c>
      <c r="I42" s="32" t="str">
        <f>IF(I$3="","",IF(COUNTIFS(Base!$A$3:$A$5001,I$3,Base!$B$3:$B$5001,$A$41,Base!$G$3:$G$5001,"&lt;&gt;")=0,"",SUMIFS(Base!$G$3:$G$5001,Base!$A$3:$A$5001,I$3,Base!$B$3:$B$5001,$A$41)))</f>
        <v/>
      </c>
      <c r="J42" s="32" t="str">
        <f>IF(J$3="","",IF(COUNTIFS(Base!$A$3:$A$5001,J$3,Base!$B$3:$B$5001,$A$41,Base!$G$3:$G$5001,"&lt;&gt;")=0,"",SUMIFS(Base!$G$3:$G$5001,Base!$A$3:$A$5001,J$3,Base!$B$3:$B$5001,$A$41)))</f>
        <v/>
      </c>
      <c r="K42" s="32" t="str">
        <f>IF(K$3="","",IF(COUNTIFS(Base!$A$3:$A$5001,K$3,Base!$B$3:$B$5001,$A$41,Base!$G$3:$G$5001,"&lt;&gt;")=0,"",SUMIFS(Base!$G$3:$G$5001,Base!$A$3:$A$5001,K$3,Base!$B$3:$B$5001,$A$41)))</f>
        <v/>
      </c>
      <c r="L42" s="32" t="str">
        <f>IF(L$3="","",IF(COUNTIFS(Base!$A$3:$A$5001,L$3,Base!$B$3:$B$5001,$A$41,Base!$G$3:$G$5001,"&lt;&gt;")=0,"",SUMIFS(Base!$G$3:$G$5001,Base!$A$3:$A$5001,L$3,Base!$B$3:$B$5001,$A$41)))</f>
        <v/>
      </c>
      <c r="M42" s="32" t="str">
        <f>IF(M$3="","",IF(COUNTIFS(Base!$A$3:$A$5001,M$3,Base!$B$3:$B$5001,$A$41,Base!$G$3:$G$5001,"&lt;&gt;")=0,"",SUMIFS(Base!$G$3:$G$5001,Base!$A$3:$A$5001,M$3,Base!$B$3:$B$5001,$A$41)))</f>
        <v/>
      </c>
      <c r="N42" s="32" t="str">
        <f>IF(N$3="","",IF(COUNTIFS(Base!$A$3:$A$5001,N$3,Base!$B$3:$B$5001,$A$41,Base!$G$3:$G$5001,"&lt;&gt;")=0,"",SUMIFS(Base!$G$3:$G$5001,Base!$A$3:$A$5001,N$3,Base!$B$3:$B$5001,$A$41)))</f>
        <v/>
      </c>
      <c r="O42" s="32" t="str">
        <f>IF(O$3="","",IF(COUNTIFS(Base!$A$3:$A$5001,O$3,Base!$B$3:$B$5001,$A$41,Base!$G$3:$G$5001,"&lt;&gt;")=0,"",SUMIFS(Base!$G$3:$G$5001,Base!$A$3:$A$5001,O$3,Base!$B$3:$B$5001,$A$41)))</f>
        <v/>
      </c>
      <c r="P42" s="32" t="str">
        <f>IF(P$3="","",IF(COUNTIFS(Base!$A$3:$A$5001,P$3,Base!$B$3:$B$5001,$A$41,Base!$G$3:$G$5001,"&lt;&gt;")=0,"",SUMIFS(Base!$G$3:$G$5001,Base!$A$3:$A$5001,P$3,Base!$B$3:$B$5001,$A$41)))</f>
        <v/>
      </c>
      <c r="Q42" s="32" t="str">
        <f>IF(Q$3="","",IF(COUNTIFS(Base!$A$3:$A$5001,Q$3,Base!$B$3:$B$5001,$A$41,Base!$G$3:$G$5001,"&lt;&gt;")=0,"",SUMIFS(Base!$G$3:$G$5001,Base!$A$3:$A$5001,Q$3,Base!$B$3:$B$5001,$A$41)))</f>
        <v/>
      </c>
      <c r="R42" s="32" t="str">
        <f>IF(R$3="","",IF(COUNTIFS(Base!$A$3:$A$5001,R$3,Base!$B$3:$B$5001,$A$41,Base!$G$3:$G$5001,"&lt;&gt;")=0,"",SUMIFS(Base!$G$3:$G$5001,Base!$A$3:$A$5001,R$3,Base!$B$3:$B$5001,$A$41)))</f>
        <v/>
      </c>
      <c r="S42" s="32" t="str">
        <f>IF(S$3="","",IF(COUNTIFS(Base!$A$3:$A$5001,S$3,Base!$B$3:$B$5001,$A$41,Base!$G$3:$G$5001,"&lt;&gt;")=0,"",SUMIFS(Base!$G$3:$G$5001,Base!$A$3:$A$5001,S$3,Base!$B$3:$B$5001,$A$41)))</f>
        <v/>
      </c>
      <c r="T42" s="32" t="str">
        <f>IF(T$3="","",IF(COUNTIFS(Base!$A$3:$A$5001,T$3,Base!$B$3:$B$5001,$A$41,Base!$G$3:$G$5001,"&lt;&gt;")=0,"",SUMIFS(Base!$G$3:$G$5001,Base!$A$3:$A$5001,T$3,Base!$B$3:$B$5001,$A$41)))</f>
        <v/>
      </c>
      <c r="U42" s="32" t="str">
        <f>IF(U$3="","",IF(COUNTIFS(Base!$A$3:$A$5001,U$3,Base!$B$3:$B$5001,$A$41,Base!$G$3:$G$5001,"&lt;&gt;")=0,"",SUMIFS(Base!$G$3:$G$5001,Base!$A$3:$A$5001,U$3,Base!$B$3:$B$5001,$A$41)))</f>
        <v/>
      </c>
      <c r="V42" s="32" t="str">
        <f>IF(V$3="","",IF(COUNTIFS(Base!$A$3:$A$5001,V$3,Base!$B$3:$B$5001,$A$41,Base!$G$3:$G$5001,"&lt;&gt;")=0,"",SUMIFS(Base!$G$3:$G$5001,Base!$A$3:$A$5001,V$3,Base!$B$3:$B$5001,$A$41)))</f>
        <v/>
      </c>
      <c r="W42" s="32" t="str">
        <f>IF(W$3="","",IF(COUNTIFS(Base!$A$3:$A$5001,W$3,Base!$B$3:$B$5001,$A$41,Base!$G$3:$G$5001,"&lt;&gt;")=0,"",SUMIFS(Base!$G$3:$G$5001,Base!$A$3:$A$5001,W$3,Base!$B$3:$B$5001,$A$41)))</f>
        <v/>
      </c>
      <c r="X42" s="32" t="str">
        <f>IF(X$3="","",IF(COUNTIFS(Base!$A$3:$A$5001,X$3,Base!$B$3:$B$5001,$A$41,Base!$G$3:$G$5001,"&lt;&gt;")=0,"",SUMIFS(Base!$G$3:$G$5001,Base!$A$3:$A$5001,X$3,Base!$B$3:$B$5001,$A$41)))</f>
        <v/>
      </c>
      <c r="Y42" s="32" t="str">
        <f>IF(Y$3="","",IF(COUNTIFS(Base!$A$3:$A$5001,Y$3,Base!$B$3:$B$5001,$A$41,Base!$G$3:$G$5001,"&lt;&gt;")=0,"",SUMIFS(Base!$G$3:$G$5001,Base!$A$3:$A$5001,Y$3,Base!$B$3:$B$5001,$A$41)))</f>
        <v/>
      </c>
      <c r="Z42" s="32" t="str">
        <f>IF(Z$3="","",IF(COUNTIFS(Base!$A$3:$A$5001,Z$3,Base!$B$3:$B$5001,$A$41,Base!$G$3:$G$5001,"&lt;&gt;")=0,"",SUMIFS(Base!$G$3:$G$5001,Base!$A$3:$A$5001,Z$3,Base!$B$3:$B$5001,$A$41)))</f>
        <v/>
      </c>
      <c r="AA42" s="32" t="str">
        <f>IF(AA$3="","",IF(COUNTIFS(Base!$A$3:$A$5001,AA$3,Base!$B$3:$B$5001,$A$41,Base!$G$3:$G$5001,"&lt;&gt;")=0,"",SUMIFS(Base!$G$3:$G$5001,Base!$A$3:$A$5001,AA$3,Base!$B$3:$B$5001,$A$41)))</f>
        <v/>
      </c>
      <c r="AB42" s="32" t="str">
        <f>IF(AB$3="","",IF(COUNTIFS(Base!$A$3:$A$5001,AB$3,Base!$B$3:$B$5001,$A$41,Base!$G$3:$G$5001,"&lt;&gt;")=0,"",SUMIFS(Base!$G$3:$G$5001,Base!$A$3:$A$5001,AB$3,Base!$B$3:$B$5001,$A$41)))</f>
        <v/>
      </c>
      <c r="AC42" s="32" t="str">
        <f>IF(AC$3="","",IF(COUNTIFS(Base!$A$3:$A$5001,AC$3,Base!$B$3:$B$5001,$A$41,Base!$G$3:$G$5001,"&lt;&gt;")=0,"",SUMIFS(Base!$G$3:$G$5001,Base!$A$3:$A$5001,AC$3,Base!$B$3:$B$5001,$A$41)))</f>
        <v/>
      </c>
      <c r="AD42" s="32" t="str">
        <f>IF(AD$3="","",IF(COUNTIFS(Base!$A$3:$A$5001,AD$3,Base!$B$3:$B$5001,$A$41,Base!$G$3:$G$5001,"&lt;&gt;")=0,"",SUMIFS(Base!$G$3:$G$5001,Base!$A$3:$A$5001,AD$3,Base!$B$3:$B$5001,$A$41)))</f>
        <v/>
      </c>
      <c r="AE42" s="32" t="str">
        <f>IF(AE$3="","",IF(COUNTIFS(Base!$A$3:$A$5001,AE$3,Base!$B$3:$B$5001,$A$41,Base!$G$3:$G$5001,"&lt;&gt;")=0,"",SUMIFS(Base!$G$3:$G$5001,Base!$A$3:$A$5001,AE$3,Base!$B$3:$B$5001,$A$41)))</f>
        <v/>
      </c>
      <c r="AF42" s="32" t="str">
        <f>IF(AF$3="","",IF(COUNTIFS(Base!$A$3:$A$5001,AF$3,Base!$B$3:$B$5001,$A$41,Base!$G$3:$G$5001,"&lt;&gt;")=0,"",SUMIFS(Base!$G$3:$G$5001,Base!$A$3:$A$5001,AF$3,Base!$B$3:$B$5001,$A$41)))</f>
        <v/>
      </c>
      <c r="AG42" s="32" t="str">
        <f>IF(AG$3="","",IF(COUNTIFS(Base!$A$3:$A$5001,AG$3,Base!$B$3:$B$5001,$A$41,Base!$G$3:$G$5001,"&lt;&gt;")=0,"",SUMIFS(Base!$G$3:$G$5001,Base!$A$3:$A$5001,AG$3,Base!$B$3:$B$5001,$A$41)))</f>
        <v/>
      </c>
      <c r="AH42" s="32" t="str">
        <f>IF(AH$3="","",IF(COUNTIFS(Base!$A$3:$A$5001,AH$3,Base!$B$3:$B$5001,$A$41,Base!$G$3:$G$5001,"&lt;&gt;")=0,"",SUMIFS(Base!$G$3:$G$5001,Base!$A$3:$A$5001,AH$3,Base!$B$3:$B$5001,$A$41)))</f>
        <v/>
      </c>
      <c r="AI42" s="32" t="str">
        <f>IF(AI$3="","",IF(COUNTIFS(Base!$A$3:$A$5001,AI$3,Base!$B$3:$B$5001,$A$41,Base!$G$3:$G$5001,"&lt;&gt;")=0,"",SUMIFS(Base!$G$3:$G$5001,Base!$A$3:$A$5001,AI$3,Base!$B$3:$B$5001,$A$41)))</f>
        <v/>
      </c>
      <c r="AJ42" s="33" t="str">
        <f>IF(AJ$3="","",IF(COUNTIFS(Base!$A$3:$A$5001,AJ$3,Base!$B$3:$B$5001,$A$41,Base!$G$3:$G$5001,"&lt;&gt;")=0,"",SUMIFS(Base!$G$3:$G$5001,Base!$A$3:$A$5001,AJ$3,Base!$B$3:$B$5001,$A$41)))</f>
        <v/>
      </c>
      <c r="AK42" s="34" t="str">
        <f>IF(COUNT(F42:AJ42)=0,"",SUM(F42:AJ42))</f>
        <v/>
      </c>
    </row>
    <row r="43" ht="15.75" customHeight="1">
      <c r="A43" s="118"/>
      <c r="B43" s="106"/>
      <c r="C43" s="28" t="inlineStr">
        <is>
          <t xml:space="preserve">Caixas Mistas Recebidas</t>
        </is>
      </c>
      <c r="D43" s="29" t="str">
        <f>IFERROR(1/(1/INDEX(calculos!$C$55:$K$83,MATCH("IN Caixas Mistas Recebidas",calculos!$A$55:$A$83,0),MATCH($A$41,calculos!$C$54:$K$54,0))),"")</f>
        <v/>
      </c>
      <c r="E43" s="30"/>
      <c r="F43" s="31" t="str">
        <f>IF(F$3="","",IF(COUNTIFS(Base!$A$3:$A$5001,F$3,Base!$B$3:$B$5001,$A$41,Base!$H$3:$H$5001,"&lt;&gt;")=0,"",SUMIFS(Base!$H$3:$H$5001,Base!$A$3:$A$5001,F$3,Base!$B$3:$B$5001,$A$41)))</f>
        <v/>
      </c>
      <c r="G43" s="32" t="str">
        <f>IF(G$3="","",IF(COUNTIFS(Base!$A$3:$A$5001,G$3,Base!$B$3:$B$5001,$A$41,Base!$H$3:$H$5001,"&lt;&gt;")=0,"",SUMIFS(Base!$H$3:$H$5001,Base!$A$3:$A$5001,G$3,Base!$B$3:$B$5001,$A$41)))</f>
        <v/>
      </c>
      <c r="H43" s="32" t="str">
        <f>IF(H$3="","",IF(COUNTIFS(Base!$A$3:$A$5001,H$3,Base!$B$3:$B$5001,$A$41,Base!$H$3:$H$5001,"&lt;&gt;")=0,"",SUMIFS(Base!$H$3:$H$5001,Base!$A$3:$A$5001,H$3,Base!$B$3:$B$5001,$A$41)))</f>
        <v/>
      </c>
      <c r="I43" s="32" t="str">
        <f>IF(I$3="","",IF(COUNTIFS(Base!$A$3:$A$5001,I$3,Base!$B$3:$B$5001,$A$41,Base!$H$3:$H$5001,"&lt;&gt;")=0,"",SUMIFS(Base!$H$3:$H$5001,Base!$A$3:$A$5001,I$3,Base!$B$3:$B$5001,$A$41)))</f>
        <v/>
      </c>
      <c r="J43" s="32" t="str">
        <f>IF(J$3="","",IF(COUNTIFS(Base!$A$3:$A$5001,J$3,Base!$B$3:$B$5001,$A$41,Base!$H$3:$H$5001,"&lt;&gt;")=0,"",SUMIFS(Base!$H$3:$H$5001,Base!$A$3:$A$5001,J$3,Base!$B$3:$B$5001,$A$41)))</f>
        <v/>
      </c>
      <c r="K43" s="32" t="str">
        <f>IF(K$3="","",IF(COUNTIFS(Base!$A$3:$A$5001,K$3,Base!$B$3:$B$5001,$A$41,Base!$H$3:$H$5001,"&lt;&gt;")=0,"",SUMIFS(Base!$H$3:$H$5001,Base!$A$3:$A$5001,K$3,Base!$B$3:$B$5001,$A$41)))</f>
        <v/>
      </c>
      <c r="L43" s="32" t="str">
        <f>IF(L$3="","",IF(COUNTIFS(Base!$A$3:$A$5001,L$3,Base!$B$3:$B$5001,$A$41,Base!$H$3:$H$5001,"&lt;&gt;")=0,"",SUMIFS(Base!$H$3:$H$5001,Base!$A$3:$A$5001,L$3,Base!$B$3:$B$5001,$A$41)))</f>
        <v/>
      </c>
      <c r="M43" s="32" t="str">
        <f>IF(M$3="","",IF(COUNTIFS(Base!$A$3:$A$5001,M$3,Base!$B$3:$B$5001,$A$41,Base!$H$3:$H$5001,"&lt;&gt;")=0,"",SUMIFS(Base!$H$3:$H$5001,Base!$A$3:$A$5001,M$3,Base!$B$3:$B$5001,$A$41)))</f>
        <v/>
      </c>
      <c r="N43" s="32" t="str">
        <f>IF(N$3="","",IF(COUNTIFS(Base!$A$3:$A$5001,N$3,Base!$B$3:$B$5001,$A$41,Base!$H$3:$H$5001,"&lt;&gt;")=0,"",SUMIFS(Base!$H$3:$H$5001,Base!$A$3:$A$5001,N$3,Base!$B$3:$B$5001,$A$41)))</f>
        <v/>
      </c>
      <c r="O43" s="32" t="str">
        <f>IF(O$3="","",IF(COUNTIFS(Base!$A$3:$A$5001,O$3,Base!$B$3:$B$5001,$A$41,Base!$H$3:$H$5001,"&lt;&gt;")=0,"",SUMIFS(Base!$H$3:$H$5001,Base!$A$3:$A$5001,O$3,Base!$B$3:$B$5001,$A$41)))</f>
        <v/>
      </c>
      <c r="P43" s="32" t="str">
        <f>IF(P$3="","",IF(COUNTIFS(Base!$A$3:$A$5001,P$3,Base!$B$3:$B$5001,$A$41,Base!$H$3:$H$5001,"&lt;&gt;")=0,"",SUMIFS(Base!$H$3:$H$5001,Base!$A$3:$A$5001,P$3,Base!$B$3:$B$5001,$A$41)))</f>
        <v/>
      </c>
      <c r="Q43" s="32" t="str">
        <f>IF(Q$3="","",IF(COUNTIFS(Base!$A$3:$A$5001,Q$3,Base!$B$3:$B$5001,$A$41,Base!$H$3:$H$5001,"&lt;&gt;")=0,"",SUMIFS(Base!$H$3:$H$5001,Base!$A$3:$A$5001,Q$3,Base!$B$3:$B$5001,$A$41)))</f>
        <v/>
      </c>
      <c r="R43" s="32" t="str">
        <f>IF(R$3="","",IF(COUNTIFS(Base!$A$3:$A$5001,R$3,Base!$B$3:$B$5001,$A$41,Base!$H$3:$H$5001,"&lt;&gt;")=0,"",SUMIFS(Base!$H$3:$H$5001,Base!$A$3:$A$5001,R$3,Base!$B$3:$B$5001,$A$41)))</f>
        <v/>
      </c>
      <c r="S43" s="32" t="str">
        <f>IF(S$3="","",IF(COUNTIFS(Base!$A$3:$A$5001,S$3,Base!$B$3:$B$5001,$A$41,Base!$H$3:$H$5001,"&lt;&gt;")=0,"",SUMIFS(Base!$H$3:$H$5001,Base!$A$3:$A$5001,S$3,Base!$B$3:$B$5001,$A$41)))</f>
        <v/>
      </c>
      <c r="T43" s="32" t="str">
        <f>IF(T$3="","",IF(COUNTIFS(Base!$A$3:$A$5001,T$3,Base!$B$3:$B$5001,$A$41,Base!$H$3:$H$5001,"&lt;&gt;")=0,"",SUMIFS(Base!$H$3:$H$5001,Base!$A$3:$A$5001,T$3,Base!$B$3:$B$5001,$A$41)))</f>
        <v/>
      </c>
      <c r="U43" s="32" t="str">
        <f>IF(U$3="","",IF(COUNTIFS(Base!$A$3:$A$5001,U$3,Base!$B$3:$B$5001,$A$41,Base!$H$3:$H$5001,"&lt;&gt;")=0,"",SUMIFS(Base!$H$3:$H$5001,Base!$A$3:$A$5001,U$3,Base!$B$3:$B$5001,$A$41)))</f>
        <v/>
      </c>
      <c r="V43" s="32" t="str">
        <f>IF(V$3="","",IF(COUNTIFS(Base!$A$3:$A$5001,V$3,Base!$B$3:$B$5001,$A$41,Base!$H$3:$H$5001,"&lt;&gt;")=0,"",SUMIFS(Base!$H$3:$H$5001,Base!$A$3:$A$5001,V$3,Base!$B$3:$B$5001,$A$41)))</f>
        <v/>
      </c>
      <c r="W43" s="32" t="str">
        <f>IF(W$3="","",IF(COUNTIFS(Base!$A$3:$A$5001,W$3,Base!$B$3:$B$5001,$A$41,Base!$H$3:$H$5001,"&lt;&gt;")=0,"",SUMIFS(Base!$H$3:$H$5001,Base!$A$3:$A$5001,W$3,Base!$B$3:$B$5001,$A$41)))</f>
        <v/>
      </c>
      <c r="X43" s="32" t="str">
        <f>IF(X$3="","",IF(COUNTIFS(Base!$A$3:$A$5001,X$3,Base!$B$3:$B$5001,$A$41,Base!$H$3:$H$5001,"&lt;&gt;")=0,"",SUMIFS(Base!$H$3:$H$5001,Base!$A$3:$A$5001,X$3,Base!$B$3:$B$5001,$A$41)))</f>
        <v/>
      </c>
      <c r="Y43" s="32" t="str">
        <f>IF(Y$3="","",IF(COUNTIFS(Base!$A$3:$A$5001,Y$3,Base!$B$3:$B$5001,$A$41,Base!$H$3:$H$5001,"&lt;&gt;")=0,"",SUMIFS(Base!$H$3:$H$5001,Base!$A$3:$A$5001,Y$3,Base!$B$3:$B$5001,$A$41)))</f>
        <v/>
      </c>
      <c r="Z43" s="32" t="str">
        <f>IF(Z$3="","",IF(COUNTIFS(Base!$A$3:$A$5001,Z$3,Base!$B$3:$B$5001,$A$41,Base!$H$3:$H$5001,"&lt;&gt;")=0,"",SUMIFS(Base!$H$3:$H$5001,Base!$A$3:$A$5001,Z$3,Base!$B$3:$B$5001,$A$41)))</f>
        <v/>
      </c>
      <c r="AA43" s="32" t="str">
        <f>IF(AA$3="","",IF(COUNTIFS(Base!$A$3:$A$5001,AA$3,Base!$B$3:$B$5001,$A$41,Base!$H$3:$H$5001,"&lt;&gt;")=0,"",SUMIFS(Base!$H$3:$H$5001,Base!$A$3:$A$5001,AA$3,Base!$B$3:$B$5001,$A$41)))</f>
        <v/>
      </c>
      <c r="AB43" s="32" t="str">
        <f>IF(AB$3="","",IF(COUNTIFS(Base!$A$3:$A$5001,AB$3,Base!$B$3:$B$5001,$A$41,Base!$H$3:$H$5001,"&lt;&gt;")=0,"",SUMIFS(Base!$H$3:$H$5001,Base!$A$3:$A$5001,AB$3,Base!$B$3:$B$5001,$A$41)))</f>
        <v/>
      </c>
      <c r="AC43" s="32" t="str">
        <f>IF(AC$3="","",IF(COUNTIFS(Base!$A$3:$A$5001,AC$3,Base!$B$3:$B$5001,$A$41,Base!$H$3:$H$5001,"&lt;&gt;")=0,"",SUMIFS(Base!$H$3:$H$5001,Base!$A$3:$A$5001,AC$3,Base!$B$3:$B$5001,$A$41)))</f>
        <v/>
      </c>
      <c r="AD43" s="32" t="str">
        <f>IF(AD$3="","",IF(COUNTIFS(Base!$A$3:$A$5001,AD$3,Base!$B$3:$B$5001,$A$41,Base!$H$3:$H$5001,"&lt;&gt;")=0,"",SUMIFS(Base!$H$3:$H$5001,Base!$A$3:$A$5001,AD$3,Base!$B$3:$B$5001,$A$41)))</f>
        <v/>
      </c>
      <c r="AE43" s="32" t="str">
        <f>IF(AE$3="","",IF(COUNTIFS(Base!$A$3:$A$5001,AE$3,Base!$B$3:$B$5001,$A$41,Base!$H$3:$H$5001,"&lt;&gt;")=0,"",SUMIFS(Base!$H$3:$H$5001,Base!$A$3:$A$5001,AE$3,Base!$B$3:$B$5001,$A$41)))</f>
        <v/>
      </c>
      <c r="AF43" s="32" t="str">
        <f>IF(AF$3="","",IF(COUNTIFS(Base!$A$3:$A$5001,AF$3,Base!$B$3:$B$5001,$A$41,Base!$H$3:$H$5001,"&lt;&gt;")=0,"",SUMIFS(Base!$H$3:$H$5001,Base!$A$3:$A$5001,AF$3,Base!$B$3:$B$5001,$A$41)))</f>
        <v/>
      </c>
      <c r="AG43" s="32" t="str">
        <f>IF(AG$3="","",IF(COUNTIFS(Base!$A$3:$A$5001,AG$3,Base!$B$3:$B$5001,$A$41,Base!$H$3:$H$5001,"&lt;&gt;")=0,"",SUMIFS(Base!$H$3:$H$5001,Base!$A$3:$A$5001,AG$3,Base!$B$3:$B$5001,$A$41)))</f>
        <v/>
      </c>
      <c r="AH43" s="32" t="str">
        <f>IF(AH$3="","",IF(COUNTIFS(Base!$A$3:$A$5001,AH$3,Base!$B$3:$B$5001,$A$41,Base!$H$3:$H$5001,"&lt;&gt;")=0,"",SUMIFS(Base!$H$3:$H$5001,Base!$A$3:$A$5001,AH$3,Base!$B$3:$B$5001,$A$41)))</f>
        <v/>
      </c>
      <c r="AI43" s="32" t="str">
        <f>IF(AI$3="","",IF(COUNTIFS(Base!$A$3:$A$5001,AI$3,Base!$B$3:$B$5001,$A$41,Base!$H$3:$H$5001,"&lt;&gt;")=0,"",SUMIFS(Base!$H$3:$H$5001,Base!$A$3:$A$5001,AI$3,Base!$B$3:$B$5001,$A$41)))</f>
        <v/>
      </c>
      <c r="AJ43" s="33" t="str">
        <f>IF(AJ$3="","",IF(COUNTIFS(Base!$A$3:$A$5001,AJ$3,Base!$B$3:$B$5001,$A$41,Base!$H$3:$H$5001,"&lt;&gt;")=0,"",SUMIFS(Base!$H$3:$H$5001,Base!$A$3:$A$5001,AJ$3,Base!$B$3:$B$5001,$A$41)))</f>
        <v/>
      </c>
      <c r="AK43" s="34" t="str">
        <f>IF(COUNT(F43:AJ43)=0,"",SUM(F43:AJ43))</f>
        <v/>
      </c>
    </row>
    <row r="44" ht="15.75" customHeight="1">
      <c r="A44" s="118"/>
      <c r="B44" s="107"/>
      <c r="C44" s="35" t="inlineStr">
        <is>
          <t xml:space="preserve">Caixas Fechadas</t>
        </is>
      </c>
      <c r="D44" s="469" t="str">
        <f>IFERROR(1/(1/INDEX(calculos!$C$55:$K$83,MATCH("IN Caixas Fechadas",calculos!$A$55:$A$83,0),MATCH($A$41,calculos!$C$54:$K$54,0))),"")</f>
        <v/>
      </c>
      <c r="E44" s="37"/>
      <c r="F44" s="470" t="str">
        <f>IF(F$3="","",IF(COUNTIFS(Base!$A$3:$A$5001,F$3,Base!$B$3:$B$5001,$A$41,Base!$I$3:$I$5001,"&lt;&gt;")=0,"",SUMIFS(Base!$I$3:$I$5001,Base!$A$3:$A$5001,F$3,Base!$B$3:$B$5001,$A$41)))</f>
        <v/>
      </c>
      <c r="G44" s="471" t="str">
        <f>IF(G$3="","",IF(COUNTIFS(Base!$A$3:$A$5001,G$3,Base!$B$3:$B$5001,$A$41,Base!$I$3:$I$5001,"&lt;&gt;")=0,"",SUMIFS(Base!$I$3:$I$5001,Base!$A$3:$A$5001,G$3,Base!$B$3:$B$5001,$A$41)))</f>
        <v/>
      </c>
      <c r="H44" s="471" t="str">
        <f>IF(H$3="","",IF(COUNTIFS(Base!$A$3:$A$5001,H$3,Base!$B$3:$B$5001,$A$41,Base!$I$3:$I$5001,"&lt;&gt;")=0,"",SUMIFS(Base!$I$3:$I$5001,Base!$A$3:$A$5001,H$3,Base!$B$3:$B$5001,$A$41)))</f>
        <v/>
      </c>
      <c r="I44" s="471" t="str">
        <f>IF(I$3="","",IF(COUNTIFS(Base!$A$3:$A$5001,I$3,Base!$B$3:$B$5001,$A$41,Base!$I$3:$I$5001,"&lt;&gt;")=0,"",SUMIFS(Base!$I$3:$I$5001,Base!$A$3:$A$5001,I$3,Base!$B$3:$B$5001,$A$41)))</f>
        <v/>
      </c>
      <c r="J44" s="471" t="str">
        <f>IF(J$3="","",IF(COUNTIFS(Base!$A$3:$A$5001,J$3,Base!$B$3:$B$5001,$A$41,Base!$I$3:$I$5001,"&lt;&gt;")=0,"",SUMIFS(Base!$I$3:$I$5001,Base!$A$3:$A$5001,J$3,Base!$B$3:$B$5001,$A$41)))</f>
        <v/>
      </c>
      <c r="K44" s="471" t="str">
        <f>IF(K$3="","",IF(COUNTIFS(Base!$A$3:$A$5001,K$3,Base!$B$3:$B$5001,$A$41,Base!$I$3:$I$5001,"&lt;&gt;")=0,"",SUMIFS(Base!$I$3:$I$5001,Base!$A$3:$A$5001,K$3,Base!$B$3:$B$5001,$A$41)))</f>
        <v/>
      </c>
      <c r="L44" s="471" t="str">
        <f>IF(L$3="","",IF(COUNTIFS(Base!$A$3:$A$5001,L$3,Base!$B$3:$B$5001,$A$41,Base!$I$3:$I$5001,"&lt;&gt;")=0,"",SUMIFS(Base!$I$3:$I$5001,Base!$A$3:$A$5001,L$3,Base!$B$3:$B$5001,$A$41)))</f>
        <v/>
      </c>
      <c r="M44" s="471" t="str">
        <f>IF(M$3="","",IF(COUNTIFS(Base!$A$3:$A$5001,M$3,Base!$B$3:$B$5001,$A$41,Base!$I$3:$I$5001,"&lt;&gt;")=0,"",SUMIFS(Base!$I$3:$I$5001,Base!$A$3:$A$5001,M$3,Base!$B$3:$B$5001,$A$41)))</f>
        <v/>
      </c>
      <c r="N44" s="471" t="str">
        <f>IF(N$3="","",IF(COUNTIFS(Base!$A$3:$A$5001,N$3,Base!$B$3:$B$5001,$A$41,Base!$I$3:$I$5001,"&lt;&gt;")=0,"",SUMIFS(Base!$I$3:$I$5001,Base!$A$3:$A$5001,N$3,Base!$B$3:$B$5001,$A$41)))</f>
        <v/>
      </c>
      <c r="O44" s="471" t="str">
        <f>IF(O$3="","",IF(COUNTIFS(Base!$A$3:$A$5001,O$3,Base!$B$3:$B$5001,$A$41,Base!$I$3:$I$5001,"&lt;&gt;")=0,"",SUMIFS(Base!$I$3:$I$5001,Base!$A$3:$A$5001,O$3,Base!$B$3:$B$5001,$A$41)))</f>
        <v/>
      </c>
      <c r="P44" s="471" t="str">
        <f>IF(P$3="","",IF(COUNTIFS(Base!$A$3:$A$5001,P$3,Base!$B$3:$B$5001,$A$41,Base!$I$3:$I$5001,"&lt;&gt;")=0,"",SUMIFS(Base!$I$3:$I$5001,Base!$A$3:$A$5001,P$3,Base!$B$3:$B$5001,$A$41)))</f>
        <v/>
      </c>
      <c r="Q44" s="471" t="str">
        <f>IF(Q$3="","",IF(COUNTIFS(Base!$A$3:$A$5001,Q$3,Base!$B$3:$B$5001,$A$41,Base!$I$3:$I$5001,"&lt;&gt;")=0,"",SUMIFS(Base!$I$3:$I$5001,Base!$A$3:$A$5001,Q$3,Base!$B$3:$B$5001,$A$41)))</f>
        <v/>
      </c>
      <c r="R44" s="471" t="str">
        <f>IF(R$3="","",IF(COUNTIFS(Base!$A$3:$A$5001,R$3,Base!$B$3:$B$5001,$A$41,Base!$I$3:$I$5001,"&lt;&gt;")=0,"",SUMIFS(Base!$I$3:$I$5001,Base!$A$3:$A$5001,R$3,Base!$B$3:$B$5001,$A$41)))</f>
        <v/>
      </c>
      <c r="S44" s="471" t="str">
        <f>IF(S$3="","",IF(COUNTIFS(Base!$A$3:$A$5001,S$3,Base!$B$3:$B$5001,$A$41,Base!$I$3:$I$5001,"&lt;&gt;")=0,"",SUMIFS(Base!$I$3:$I$5001,Base!$A$3:$A$5001,S$3,Base!$B$3:$B$5001,$A$41)))</f>
        <v/>
      </c>
      <c r="T44" s="471" t="str">
        <f>IF(T$3="","",IF(COUNTIFS(Base!$A$3:$A$5001,T$3,Base!$B$3:$B$5001,$A$41,Base!$I$3:$I$5001,"&lt;&gt;")=0,"",SUMIFS(Base!$I$3:$I$5001,Base!$A$3:$A$5001,T$3,Base!$B$3:$B$5001,$A$41)))</f>
        <v/>
      </c>
      <c r="U44" s="471" t="str">
        <f>IF(U$3="","",IF(COUNTIFS(Base!$A$3:$A$5001,U$3,Base!$B$3:$B$5001,$A$41,Base!$I$3:$I$5001,"&lt;&gt;")=0,"",SUMIFS(Base!$I$3:$I$5001,Base!$A$3:$A$5001,U$3,Base!$B$3:$B$5001,$A$41)))</f>
        <v/>
      </c>
      <c r="V44" s="471" t="str">
        <f>IF(V$3="","",IF(COUNTIFS(Base!$A$3:$A$5001,V$3,Base!$B$3:$B$5001,$A$41,Base!$I$3:$I$5001,"&lt;&gt;")=0,"",SUMIFS(Base!$I$3:$I$5001,Base!$A$3:$A$5001,V$3,Base!$B$3:$B$5001,$A$41)))</f>
        <v/>
      </c>
      <c r="W44" s="471" t="str">
        <f>IF(W$3="","",IF(COUNTIFS(Base!$A$3:$A$5001,W$3,Base!$B$3:$B$5001,$A$41,Base!$I$3:$I$5001,"&lt;&gt;")=0,"",SUMIFS(Base!$I$3:$I$5001,Base!$A$3:$A$5001,W$3,Base!$B$3:$B$5001,$A$41)))</f>
        <v/>
      </c>
      <c r="X44" s="471" t="str">
        <f>IF(X$3="","",IF(COUNTIFS(Base!$A$3:$A$5001,X$3,Base!$B$3:$B$5001,$A$41,Base!$I$3:$I$5001,"&lt;&gt;")=0,"",SUMIFS(Base!$I$3:$I$5001,Base!$A$3:$A$5001,X$3,Base!$B$3:$B$5001,$A$41)))</f>
        <v/>
      </c>
      <c r="Y44" s="471" t="str">
        <f>IF(Y$3="","",IF(COUNTIFS(Base!$A$3:$A$5001,Y$3,Base!$B$3:$B$5001,$A$41,Base!$I$3:$I$5001,"&lt;&gt;")=0,"",SUMIFS(Base!$I$3:$I$5001,Base!$A$3:$A$5001,Y$3,Base!$B$3:$B$5001,$A$41)))</f>
        <v/>
      </c>
      <c r="Z44" s="471" t="str">
        <f>IF(Z$3="","",IF(COUNTIFS(Base!$A$3:$A$5001,Z$3,Base!$B$3:$B$5001,$A$41,Base!$I$3:$I$5001,"&lt;&gt;")=0,"",SUMIFS(Base!$I$3:$I$5001,Base!$A$3:$A$5001,Z$3,Base!$B$3:$B$5001,$A$41)))</f>
        <v/>
      </c>
      <c r="AA44" s="471" t="str">
        <f>IF(AA$3="","",IF(COUNTIFS(Base!$A$3:$A$5001,AA$3,Base!$B$3:$B$5001,$A$41,Base!$I$3:$I$5001,"&lt;&gt;")=0,"",SUMIFS(Base!$I$3:$I$5001,Base!$A$3:$A$5001,AA$3,Base!$B$3:$B$5001,$A$41)))</f>
        <v/>
      </c>
      <c r="AB44" s="471" t="str">
        <f>IF(AB$3="","",IF(COUNTIFS(Base!$A$3:$A$5001,AB$3,Base!$B$3:$B$5001,$A$41,Base!$I$3:$I$5001,"&lt;&gt;")=0,"",SUMIFS(Base!$I$3:$I$5001,Base!$A$3:$A$5001,AB$3,Base!$B$3:$B$5001,$A$41)))</f>
        <v/>
      </c>
      <c r="AC44" s="471" t="str">
        <f>IF(AC$3="","",IF(COUNTIFS(Base!$A$3:$A$5001,AC$3,Base!$B$3:$B$5001,$A$41,Base!$I$3:$I$5001,"&lt;&gt;")=0,"",SUMIFS(Base!$I$3:$I$5001,Base!$A$3:$A$5001,AC$3,Base!$B$3:$B$5001,$A$41)))</f>
        <v/>
      </c>
      <c r="AD44" s="471" t="str">
        <f>IF(AD$3="","",IF(COUNTIFS(Base!$A$3:$A$5001,AD$3,Base!$B$3:$B$5001,$A$41,Base!$I$3:$I$5001,"&lt;&gt;")=0,"",SUMIFS(Base!$I$3:$I$5001,Base!$A$3:$A$5001,AD$3,Base!$B$3:$B$5001,$A$41)))</f>
        <v/>
      </c>
      <c r="AE44" s="471" t="str">
        <f>IF(AE$3="","",IF(COUNTIFS(Base!$A$3:$A$5001,AE$3,Base!$B$3:$B$5001,$A$41,Base!$I$3:$I$5001,"&lt;&gt;")=0,"",SUMIFS(Base!$I$3:$I$5001,Base!$A$3:$A$5001,AE$3,Base!$B$3:$B$5001,$A$41)))</f>
        <v/>
      </c>
      <c r="AF44" s="471" t="str">
        <f>IF(AF$3="","",IF(COUNTIFS(Base!$A$3:$A$5001,AF$3,Base!$B$3:$B$5001,$A$41,Base!$I$3:$I$5001,"&lt;&gt;")=0,"",SUMIFS(Base!$I$3:$I$5001,Base!$A$3:$A$5001,AF$3,Base!$B$3:$B$5001,$A$41)))</f>
        <v/>
      </c>
      <c r="AG44" s="471" t="str">
        <f>IF(AG$3="","",IF(COUNTIFS(Base!$A$3:$A$5001,AG$3,Base!$B$3:$B$5001,$A$41,Base!$I$3:$I$5001,"&lt;&gt;")=0,"",SUMIFS(Base!$I$3:$I$5001,Base!$A$3:$A$5001,AG$3,Base!$B$3:$B$5001,$A$41)))</f>
        <v/>
      </c>
      <c r="AH44" s="471" t="str">
        <f>IF(AH$3="","",IF(COUNTIFS(Base!$A$3:$A$5001,AH$3,Base!$B$3:$B$5001,$A$41,Base!$I$3:$I$5001,"&lt;&gt;")=0,"",SUMIFS(Base!$I$3:$I$5001,Base!$A$3:$A$5001,AH$3,Base!$B$3:$B$5001,$A$41)))</f>
        <v/>
      </c>
      <c r="AI44" s="471" t="str">
        <f>IF(AI$3="","",IF(COUNTIFS(Base!$A$3:$A$5001,AI$3,Base!$B$3:$B$5001,$A$41,Base!$I$3:$I$5001,"&lt;&gt;")=0,"",SUMIFS(Base!$I$3:$I$5001,Base!$A$3:$A$5001,AI$3,Base!$B$3:$B$5001,$A$41)))</f>
        <v/>
      </c>
      <c r="AJ44" s="472" t="str">
        <f>IF(AJ$3="","",IF(COUNTIFS(Base!$A$3:$A$5001,AJ$3,Base!$B$3:$B$5001,$A$41,Base!$I$3:$I$5001,"&lt;&gt;")=0,"",SUMIFS(Base!$I$3:$I$5001,Base!$A$3:$A$5001,AJ$3,Base!$B$3:$B$5001,$A$41)))</f>
        <v/>
      </c>
      <c r="AK44" s="469" t="str">
        <f>IF(COUNT(F44:AJ44)=0,"",SUM(F44:AJ44))</f>
        <v/>
      </c>
    </row>
    <row r="45" ht="15.75" customHeight="1">
      <c r="A45" s="118"/>
      <c r="B45" s="108" t="inlineStr">
        <is>
          <t xml:space="preserve">OUT</t>
        </is>
      </c>
      <c r="C45" s="41" t="inlineStr">
        <is>
          <t xml:space="preserve">Veículos Expedidos</t>
        </is>
      </c>
      <c r="D45" s="42" t="str">
        <f>IFERROR(1/(1/INDEX(calculos!$C$55:$K$83,MATCH("OUT Veículos Expedidos",calculos!$A$55:$A$83,0),MATCH($A$41,calculos!$C$54:$K$54,0))),"")</f>
        <v/>
      </c>
      <c r="E45" s="43"/>
      <c r="F45" s="44" t="str">
        <f>IF(F$3="","",IF(COUNTIFS(Base!$A$3:$A$5001,F$3,Base!$B$3:$B$5001,$A$41,Base!$L$3:$L$5001,"&lt;&gt;")=0,"",SUMIFS(Base!$L$3:$L$5001,Base!$A$3:$A$5001,F$3,Base!$B$3:$B$5001,$A$41)))</f>
        <v/>
      </c>
      <c r="G45" s="45" t="str">
        <f>IF(G$3="","",IF(COUNTIFS(Base!$A$3:$A$5001,G$3,Base!$B$3:$B$5001,$A$41,Base!$L$3:$L$5001,"&lt;&gt;")=0,"",SUMIFS(Base!$L$3:$L$5001,Base!$A$3:$A$5001,G$3,Base!$B$3:$B$5001,$A$41)))</f>
        <v/>
      </c>
      <c r="H45" s="45" t="str">
        <f>IF(H$3="","",IF(COUNTIFS(Base!$A$3:$A$5001,H$3,Base!$B$3:$B$5001,$A$41,Base!$L$3:$L$5001,"&lt;&gt;")=0,"",SUMIFS(Base!$L$3:$L$5001,Base!$A$3:$A$5001,H$3,Base!$B$3:$B$5001,$A$41)))</f>
        <v/>
      </c>
      <c r="I45" s="45" t="str">
        <f>IF(I$3="","",IF(COUNTIFS(Base!$A$3:$A$5001,I$3,Base!$B$3:$B$5001,$A$41,Base!$L$3:$L$5001,"&lt;&gt;")=0,"",SUMIFS(Base!$L$3:$L$5001,Base!$A$3:$A$5001,I$3,Base!$B$3:$B$5001,$A$41)))</f>
        <v/>
      </c>
      <c r="J45" s="45" t="str">
        <f>IF(J$3="","",IF(COUNTIFS(Base!$A$3:$A$5001,J$3,Base!$B$3:$B$5001,$A$41,Base!$L$3:$L$5001,"&lt;&gt;")=0,"",SUMIFS(Base!$L$3:$L$5001,Base!$A$3:$A$5001,J$3,Base!$B$3:$B$5001,$A$41)))</f>
        <v/>
      </c>
      <c r="K45" s="45" t="str">
        <f>IF(K$3="","",IF(COUNTIFS(Base!$A$3:$A$5001,K$3,Base!$B$3:$B$5001,$A$41,Base!$L$3:$L$5001,"&lt;&gt;")=0,"",SUMIFS(Base!$L$3:$L$5001,Base!$A$3:$A$5001,K$3,Base!$B$3:$B$5001,$A$41)))</f>
        <v/>
      </c>
      <c r="L45" s="45" t="str">
        <f>IF(L$3="","",IF(COUNTIFS(Base!$A$3:$A$5001,L$3,Base!$B$3:$B$5001,$A$41,Base!$L$3:$L$5001,"&lt;&gt;")=0,"",SUMIFS(Base!$L$3:$L$5001,Base!$A$3:$A$5001,L$3,Base!$B$3:$B$5001,$A$41)))</f>
        <v/>
      </c>
      <c r="M45" s="45" t="str">
        <f>IF(M$3="","",IF(COUNTIFS(Base!$A$3:$A$5001,M$3,Base!$B$3:$B$5001,$A$41,Base!$L$3:$L$5001,"&lt;&gt;")=0,"",SUMIFS(Base!$L$3:$L$5001,Base!$A$3:$A$5001,M$3,Base!$B$3:$B$5001,$A$41)))</f>
        <v/>
      </c>
      <c r="N45" s="45" t="str">
        <f>IF(N$3="","",IF(COUNTIFS(Base!$A$3:$A$5001,N$3,Base!$B$3:$B$5001,$A$41,Base!$L$3:$L$5001,"&lt;&gt;")=0,"",SUMIFS(Base!$L$3:$L$5001,Base!$A$3:$A$5001,N$3,Base!$B$3:$B$5001,$A$41)))</f>
        <v/>
      </c>
      <c r="O45" s="45" t="str">
        <f>IF(O$3="","",IF(COUNTIFS(Base!$A$3:$A$5001,O$3,Base!$B$3:$B$5001,$A$41,Base!$L$3:$L$5001,"&lt;&gt;")=0,"",SUMIFS(Base!$L$3:$L$5001,Base!$A$3:$A$5001,O$3,Base!$B$3:$B$5001,$A$41)))</f>
        <v/>
      </c>
      <c r="P45" s="45" t="str">
        <f>IF(P$3="","",IF(COUNTIFS(Base!$A$3:$A$5001,P$3,Base!$B$3:$B$5001,$A$41,Base!$L$3:$L$5001,"&lt;&gt;")=0,"",SUMIFS(Base!$L$3:$L$5001,Base!$A$3:$A$5001,P$3,Base!$B$3:$B$5001,$A$41)))</f>
        <v/>
      </c>
      <c r="Q45" s="45" t="str">
        <f>IF(Q$3="","",IF(COUNTIFS(Base!$A$3:$A$5001,Q$3,Base!$B$3:$B$5001,$A$41,Base!$L$3:$L$5001,"&lt;&gt;")=0,"",SUMIFS(Base!$L$3:$L$5001,Base!$A$3:$A$5001,Q$3,Base!$B$3:$B$5001,$A$41)))</f>
        <v/>
      </c>
      <c r="R45" s="45" t="str">
        <f>IF(R$3="","",IF(COUNTIFS(Base!$A$3:$A$5001,R$3,Base!$B$3:$B$5001,$A$41,Base!$L$3:$L$5001,"&lt;&gt;")=0,"",SUMIFS(Base!$L$3:$L$5001,Base!$A$3:$A$5001,R$3,Base!$B$3:$B$5001,$A$41)))</f>
        <v/>
      </c>
      <c r="S45" s="45" t="str">
        <f>IF(S$3="","",IF(COUNTIFS(Base!$A$3:$A$5001,S$3,Base!$B$3:$B$5001,$A$41,Base!$L$3:$L$5001,"&lt;&gt;")=0,"",SUMIFS(Base!$L$3:$L$5001,Base!$A$3:$A$5001,S$3,Base!$B$3:$B$5001,$A$41)))</f>
        <v/>
      </c>
      <c r="T45" s="45" t="str">
        <f>IF(T$3="","",IF(COUNTIFS(Base!$A$3:$A$5001,T$3,Base!$B$3:$B$5001,$A$41,Base!$L$3:$L$5001,"&lt;&gt;")=0,"",SUMIFS(Base!$L$3:$L$5001,Base!$A$3:$A$5001,T$3,Base!$B$3:$B$5001,$A$41)))</f>
        <v/>
      </c>
      <c r="U45" s="45" t="str">
        <f>IF(U$3="","",IF(COUNTIFS(Base!$A$3:$A$5001,U$3,Base!$B$3:$B$5001,$A$41,Base!$L$3:$L$5001,"&lt;&gt;")=0,"",SUMIFS(Base!$L$3:$L$5001,Base!$A$3:$A$5001,U$3,Base!$B$3:$B$5001,$A$41)))</f>
        <v/>
      </c>
      <c r="V45" s="45" t="str">
        <f>IF(V$3="","",IF(COUNTIFS(Base!$A$3:$A$5001,V$3,Base!$B$3:$B$5001,$A$41,Base!$L$3:$L$5001,"&lt;&gt;")=0,"",SUMIFS(Base!$L$3:$L$5001,Base!$A$3:$A$5001,V$3,Base!$B$3:$B$5001,$A$41)))</f>
        <v/>
      </c>
      <c r="W45" s="45" t="str">
        <f>IF(W$3="","",IF(COUNTIFS(Base!$A$3:$A$5001,W$3,Base!$B$3:$B$5001,$A$41,Base!$L$3:$L$5001,"&lt;&gt;")=0,"",SUMIFS(Base!$L$3:$L$5001,Base!$A$3:$A$5001,W$3,Base!$B$3:$B$5001,$A$41)))</f>
        <v/>
      </c>
      <c r="X45" s="45" t="str">
        <f>IF(X$3="","",IF(COUNTIFS(Base!$A$3:$A$5001,X$3,Base!$B$3:$B$5001,$A$41,Base!$L$3:$L$5001,"&lt;&gt;")=0,"",SUMIFS(Base!$L$3:$L$5001,Base!$A$3:$A$5001,X$3,Base!$B$3:$B$5001,$A$41)))</f>
        <v/>
      </c>
      <c r="Y45" s="45" t="str">
        <f>IF(Y$3="","",IF(COUNTIFS(Base!$A$3:$A$5001,Y$3,Base!$B$3:$B$5001,$A$41,Base!$L$3:$L$5001,"&lt;&gt;")=0,"",SUMIFS(Base!$L$3:$L$5001,Base!$A$3:$A$5001,Y$3,Base!$B$3:$B$5001,$A$41)))</f>
        <v/>
      </c>
      <c r="Z45" s="45" t="str">
        <f>IF(Z$3="","",IF(COUNTIFS(Base!$A$3:$A$5001,Z$3,Base!$B$3:$B$5001,$A$41,Base!$L$3:$L$5001,"&lt;&gt;")=0,"",SUMIFS(Base!$L$3:$L$5001,Base!$A$3:$A$5001,Z$3,Base!$B$3:$B$5001,$A$41)))</f>
        <v/>
      </c>
      <c r="AA45" s="45" t="str">
        <f>IF(AA$3="","",IF(COUNTIFS(Base!$A$3:$A$5001,AA$3,Base!$B$3:$B$5001,$A$41,Base!$L$3:$L$5001,"&lt;&gt;")=0,"",SUMIFS(Base!$L$3:$L$5001,Base!$A$3:$A$5001,AA$3,Base!$B$3:$B$5001,$A$41)))</f>
        <v/>
      </c>
      <c r="AB45" s="45" t="str">
        <f>IF(AB$3="","",IF(COUNTIFS(Base!$A$3:$A$5001,AB$3,Base!$B$3:$B$5001,$A$41,Base!$L$3:$L$5001,"&lt;&gt;")=0,"",SUMIFS(Base!$L$3:$L$5001,Base!$A$3:$A$5001,AB$3,Base!$B$3:$B$5001,$A$41)))</f>
        <v/>
      </c>
      <c r="AC45" s="45" t="str">
        <f>IF(AC$3="","",IF(COUNTIFS(Base!$A$3:$A$5001,AC$3,Base!$B$3:$B$5001,$A$41,Base!$L$3:$L$5001,"&lt;&gt;")=0,"",SUMIFS(Base!$L$3:$L$5001,Base!$A$3:$A$5001,AC$3,Base!$B$3:$B$5001,$A$41)))</f>
        <v/>
      </c>
      <c r="AD45" s="45" t="str">
        <f>IF(AD$3="","",IF(COUNTIFS(Base!$A$3:$A$5001,AD$3,Base!$B$3:$B$5001,$A$41,Base!$L$3:$L$5001,"&lt;&gt;")=0,"",SUMIFS(Base!$L$3:$L$5001,Base!$A$3:$A$5001,AD$3,Base!$B$3:$B$5001,$A$41)))</f>
        <v/>
      </c>
      <c r="AE45" s="45" t="str">
        <f>IF(AE$3="","",IF(COUNTIFS(Base!$A$3:$A$5001,AE$3,Base!$B$3:$B$5001,$A$41,Base!$L$3:$L$5001,"&lt;&gt;")=0,"",SUMIFS(Base!$L$3:$L$5001,Base!$A$3:$A$5001,AE$3,Base!$B$3:$B$5001,$A$41)))</f>
        <v/>
      </c>
      <c r="AF45" s="45" t="str">
        <f>IF(AF$3="","",IF(COUNTIFS(Base!$A$3:$A$5001,AF$3,Base!$B$3:$B$5001,$A$41,Base!$L$3:$L$5001,"&lt;&gt;")=0,"",SUMIFS(Base!$L$3:$L$5001,Base!$A$3:$A$5001,AF$3,Base!$B$3:$B$5001,$A$41)))</f>
        <v/>
      </c>
      <c r="AG45" s="45" t="str">
        <f>IF(AG$3="","",IF(COUNTIFS(Base!$A$3:$A$5001,AG$3,Base!$B$3:$B$5001,$A$41,Base!$L$3:$L$5001,"&lt;&gt;")=0,"",SUMIFS(Base!$L$3:$L$5001,Base!$A$3:$A$5001,AG$3,Base!$B$3:$B$5001,$A$41)))</f>
        <v/>
      </c>
      <c r="AH45" s="45" t="str">
        <f>IF(AH$3="","",IF(COUNTIFS(Base!$A$3:$A$5001,AH$3,Base!$B$3:$B$5001,$A$41,Base!$L$3:$L$5001,"&lt;&gt;")=0,"",SUMIFS(Base!$L$3:$L$5001,Base!$A$3:$A$5001,AH$3,Base!$B$3:$B$5001,$A$41)))</f>
        <v/>
      </c>
      <c r="AI45" s="45" t="str">
        <f>IF(AI$3="","",IF(COUNTIFS(Base!$A$3:$A$5001,AI$3,Base!$B$3:$B$5001,$A$41,Base!$L$3:$L$5001,"&lt;&gt;")=0,"",SUMIFS(Base!$L$3:$L$5001,Base!$A$3:$A$5001,AI$3,Base!$B$3:$B$5001,$A$41)))</f>
        <v/>
      </c>
      <c r="AJ45" s="46" t="str">
        <f>IF(AJ$3="","",IF(COUNTIFS(Base!$A$3:$A$5001,AJ$3,Base!$B$3:$B$5001,$A$41,Base!$L$3:$L$5001,"&lt;&gt;")=0,"",SUMIFS(Base!$L$3:$L$5001,Base!$A$3:$A$5001,AJ$3,Base!$B$3:$B$5001,$A$41)))</f>
        <v/>
      </c>
      <c r="AK45" s="47" t="str">
        <f>IF(COUNT(F45:AJ45)=0,"",SUM(F45:AJ45))</f>
        <v/>
      </c>
    </row>
    <row r="46" ht="15.75" customHeight="1">
      <c r="A46" s="118"/>
      <c r="B46" s="109"/>
      <c r="C46" s="48" t="inlineStr">
        <is>
          <t xml:space="preserve">Pedidos Faturados</t>
        </is>
      </c>
      <c r="D46" s="49" t="str">
        <f>IFERROR(1/(1/INDEX(calculos!$C$55:$K$83,MATCH("OUT Pedidos Faturados",calculos!$A$55:$A$83,0),MATCH($A$41,calculos!$C$54:$K$54,0))),"")</f>
        <v/>
      </c>
      <c r="E46" s="50"/>
      <c r="F46" s="51" t="str">
        <f>IF(F$3="","",IF(COUNTIFS(Base!$A$3:$A$5001,F$3,Base!$B$3:$B$5001,$A$41,Base!$Q$3:$Q$5001,"&lt;&gt;")=0,"",SUMIFS(Base!$Q$3:$Q$5001,Base!$A$3:$A$5001,F$3,Base!$B$3:$B$5001,$A$41)))</f>
        <v/>
      </c>
      <c r="G46" s="52" t="str">
        <f>IF(G$3="","",IF(COUNTIFS(Base!$A$3:$A$5001,G$3,Base!$B$3:$B$5001,$A$41,Base!$Q$3:$Q$5001,"&lt;&gt;")=0,"",SUMIFS(Base!$Q$3:$Q$5001,Base!$A$3:$A$5001,G$3,Base!$B$3:$B$5001,$A$41)))</f>
        <v/>
      </c>
      <c r="H46" s="52" t="str">
        <f>IF(H$3="","",IF(COUNTIFS(Base!$A$3:$A$5001,H$3,Base!$B$3:$B$5001,$A$41,Base!$Q$3:$Q$5001,"&lt;&gt;")=0,"",SUMIFS(Base!$Q$3:$Q$5001,Base!$A$3:$A$5001,H$3,Base!$B$3:$B$5001,$A$41)))</f>
        <v/>
      </c>
      <c r="I46" s="52" t="str">
        <f>IF(I$3="","",IF(COUNTIFS(Base!$A$3:$A$5001,I$3,Base!$B$3:$B$5001,$A$41,Base!$Q$3:$Q$5001,"&lt;&gt;")=0,"",SUMIFS(Base!$Q$3:$Q$5001,Base!$A$3:$A$5001,I$3,Base!$B$3:$B$5001,$A$41)))</f>
        <v/>
      </c>
      <c r="J46" s="52" t="str">
        <f>IF(J$3="","",IF(COUNTIFS(Base!$A$3:$A$5001,J$3,Base!$B$3:$B$5001,$A$41,Base!$Q$3:$Q$5001,"&lt;&gt;")=0,"",SUMIFS(Base!$Q$3:$Q$5001,Base!$A$3:$A$5001,J$3,Base!$B$3:$B$5001,$A$41)))</f>
        <v/>
      </c>
      <c r="K46" s="52" t="str">
        <f>IF(K$3="","",IF(COUNTIFS(Base!$A$3:$A$5001,K$3,Base!$B$3:$B$5001,$A$41,Base!$Q$3:$Q$5001,"&lt;&gt;")=0,"",SUMIFS(Base!$Q$3:$Q$5001,Base!$A$3:$A$5001,K$3,Base!$B$3:$B$5001,$A$41)))</f>
        <v/>
      </c>
      <c r="L46" s="52" t="str">
        <f>IF(L$3="","",IF(COUNTIFS(Base!$A$3:$A$5001,L$3,Base!$B$3:$B$5001,$A$41,Base!$Q$3:$Q$5001,"&lt;&gt;")=0,"",SUMIFS(Base!$Q$3:$Q$5001,Base!$A$3:$A$5001,L$3,Base!$B$3:$B$5001,$A$41)))</f>
        <v/>
      </c>
      <c r="M46" s="52" t="str">
        <f>IF(M$3="","",IF(COUNTIFS(Base!$A$3:$A$5001,M$3,Base!$B$3:$B$5001,$A$41,Base!$Q$3:$Q$5001,"&lt;&gt;")=0,"",SUMIFS(Base!$Q$3:$Q$5001,Base!$A$3:$A$5001,M$3,Base!$B$3:$B$5001,$A$41)))</f>
        <v/>
      </c>
      <c r="N46" s="52" t="str">
        <f>IF(N$3="","",IF(COUNTIFS(Base!$A$3:$A$5001,N$3,Base!$B$3:$B$5001,$A$41,Base!$Q$3:$Q$5001,"&lt;&gt;")=0,"",SUMIFS(Base!$Q$3:$Q$5001,Base!$A$3:$A$5001,N$3,Base!$B$3:$B$5001,$A$41)))</f>
        <v/>
      </c>
      <c r="O46" s="52" t="str">
        <f>IF(O$3="","",IF(COUNTIFS(Base!$A$3:$A$5001,O$3,Base!$B$3:$B$5001,$A$41,Base!$Q$3:$Q$5001,"&lt;&gt;")=0,"",SUMIFS(Base!$Q$3:$Q$5001,Base!$A$3:$A$5001,O$3,Base!$B$3:$B$5001,$A$41)))</f>
        <v/>
      </c>
      <c r="P46" s="52" t="str">
        <f>IF(P$3="","",IF(COUNTIFS(Base!$A$3:$A$5001,P$3,Base!$B$3:$B$5001,$A$41,Base!$Q$3:$Q$5001,"&lt;&gt;")=0,"",SUMIFS(Base!$Q$3:$Q$5001,Base!$A$3:$A$5001,P$3,Base!$B$3:$B$5001,$A$41)))</f>
        <v/>
      </c>
      <c r="Q46" s="52" t="str">
        <f>IF(Q$3="","",IF(COUNTIFS(Base!$A$3:$A$5001,Q$3,Base!$B$3:$B$5001,$A$41,Base!$Q$3:$Q$5001,"&lt;&gt;")=0,"",SUMIFS(Base!$Q$3:$Q$5001,Base!$A$3:$A$5001,Q$3,Base!$B$3:$B$5001,$A$41)))</f>
        <v/>
      </c>
      <c r="R46" s="52" t="str">
        <f>IF(R$3="","",IF(COUNTIFS(Base!$A$3:$A$5001,R$3,Base!$B$3:$B$5001,$A$41,Base!$Q$3:$Q$5001,"&lt;&gt;")=0,"",SUMIFS(Base!$Q$3:$Q$5001,Base!$A$3:$A$5001,R$3,Base!$B$3:$B$5001,$A$41)))</f>
        <v/>
      </c>
      <c r="S46" s="52" t="str">
        <f>IF(S$3="","",IF(COUNTIFS(Base!$A$3:$A$5001,S$3,Base!$B$3:$B$5001,$A$41,Base!$Q$3:$Q$5001,"&lt;&gt;")=0,"",SUMIFS(Base!$Q$3:$Q$5001,Base!$A$3:$A$5001,S$3,Base!$B$3:$B$5001,$A$41)))</f>
        <v/>
      </c>
      <c r="T46" s="52" t="str">
        <f>IF(T$3="","",IF(COUNTIFS(Base!$A$3:$A$5001,T$3,Base!$B$3:$B$5001,$A$41,Base!$Q$3:$Q$5001,"&lt;&gt;")=0,"",SUMIFS(Base!$Q$3:$Q$5001,Base!$A$3:$A$5001,T$3,Base!$B$3:$B$5001,$A$41)))</f>
        <v/>
      </c>
      <c r="U46" s="52" t="str">
        <f>IF(U$3="","",IF(COUNTIFS(Base!$A$3:$A$5001,U$3,Base!$B$3:$B$5001,$A$41,Base!$Q$3:$Q$5001,"&lt;&gt;")=0,"",SUMIFS(Base!$Q$3:$Q$5001,Base!$A$3:$A$5001,U$3,Base!$B$3:$B$5001,$A$41)))</f>
        <v/>
      </c>
      <c r="V46" s="52" t="str">
        <f>IF(V$3="","",IF(COUNTIFS(Base!$A$3:$A$5001,V$3,Base!$B$3:$B$5001,$A$41,Base!$Q$3:$Q$5001,"&lt;&gt;")=0,"",SUMIFS(Base!$Q$3:$Q$5001,Base!$A$3:$A$5001,V$3,Base!$B$3:$B$5001,$A$41)))</f>
        <v/>
      </c>
      <c r="W46" s="52" t="str">
        <f>IF(W$3="","",IF(COUNTIFS(Base!$A$3:$A$5001,W$3,Base!$B$3:$B$5001,$A$41,Base!$Q$3:$Q$5001,"&lt;&gt;")=0,"",SUMIFS(Base!$Q$3:$Q$5001,Base!$A$3:$A$5001,W$3,Base!$B$3:$B$5001,$A$41)))</f>
        <v/>
      </c>
      <c r="X46" s="52" t="str">
        <f>IF(X$3="","",IF(COUNTIFS(Base!$A$3:$A$5001,X$3,Base!$B$3:$B$5001,$A$41,Base!$Q$3:$Q$5001,"&lt;&gt;")=0,"",SUMIFS(Base!$Q$3:$Q$5001,Base!$A$3:$A$5001,X$3,Base!$B$3:$B$5001,$A$41)))</f>
        <v/>
      </c>
      <c r="Y46" s="52" t="str">
        <f>IF(Y$3="","",IF(COUNTIFS(Base!$A$3:$A$5001,Y$3,Base!$B$3:$B$5001,$A$41,Base!$Q$3:$Q$5001,"&lt;&gt;")=0,"",SUMIFS(Base!$Q$3:$Q$5001,Base!$A$3:$A$5001,Y$3,Base!$B$3:$B$5001,$A$41)))</f>
        <v/>
      </c>
      <c r="Z46" s="52" t="str">
        <f>IF(Z$3="","",IF(COUNTIFS(Base!$A$3:$A$5001,Z$3,Base!$B$3:$B$5001,$A$41,Base!$Q$3:$Q$5001,"&lt;&gt;")=0,"",SUMIFS(Base!$Q$3:$Q$5001,Base!$A$3:$A$5001,Z$3,Base!$B$3:$B$5001,$A$41)))</f>
        <v/>
      </c>
      <c r="AA46" s="52" t="str">
        <f>IF(AA$3="","",IF(COUNTIFS(Base!$A$3:$A$5001,AA$3,Base!$B$3:$B$5001,$A$41,Base!$Q$3:$Q$5001,"&lt;&gt;")=0,"",SUMIFS(Base!$Q$3:$Q$5001,Base!$A$3:$A$5001,AA$3,Base!$B$3:$B$5001,$A$41)))</f>
        <v/>
      </c>
      <c r="AB46" s="52" t="str">
        <f>IF(AB$3="","",IF(COUNTIFS(Base!$A$3:$A$5001,AB$3,Base!$B$3:$B$5001,$A$41,Base!$Q$3:$Q$5001,"&lt;&gt;")=0,"",SUMIFS(Base!$Q$3:$Q$5001,Base!$A$3:$A$5001,AB$3,Base!$B$3:$B$5001,$A$41)))</f>
        <v/>
      </c>
      <c r="AC46" s="52" t="str">
        <f>IF(AC$3="","",IF(COUNTIFS(Base!$A$3:$A$5001,AC$3,Base!$B$3:$B$5001,$A$41,Base!$Q$3:$Q$5001,"&lt;&gt;")=0,"",SUMIFS(Base!$Q$3:$Q$5001,Base!$A$3:$A$5001,AC$3,Base!$B$3:$B$5001,$A$41)))</f>
        <v/>
      </c>
      <c r="AD46" s="52" t="str">
        <f>IF(AD$3="","",IF(COUNTIFS(Base!$A$3:$A$5001,AD$3,Base!$B$3:$B$5001,$A$41,Base!$Q$3:$Q$5001,"&lt;&gt;")=0,"",SUMIFS(Base!$Q$3:$Q$5001,Base!$A$3:$A$5001,AD$3,Base!$B$3:$B$5001,$A$41)))</f>
        <v/>
      </c>
      <c r="AE46" s="52" t="str">
        <f>IF(AE$3="","",IF(COUNTIFS(Base!$A$3:$A$5001,AE$3,Base!$B$3:$B$5001,$A$41,Base!$Q$3:$Q$5001,"&lt;&gt;")=0,"",SUMIFS(Base!$Q$3:$Q$5001,Base!$A$3:$A$5001,AE$3,Base!$B$3:$B$5001,$A$41)))</f>
        <v/>
      </c>
      <c r="AF46" s="52" t="str">
        <f>IF(AF$3="","",IF(COUNTIFS(Base!$A$3:$A$5001,AF$3,Base!$B$3:$B$5001,$A$41,Base!$Q$3:$Q$5001,"&lt;&gt;")=0,"",SUMIFS(Base!$Q$3:$Q$5001,Base!$A$3:$A$5001,AF$3,Base!$B$3:$B$5001,$A$41)))</f>
        <v/>
      </c>
      <c r="AG46" s="52" t="str">
        <f>IF(AG$3="","",IF(COUNTIFS(Base!$A$3:$A$5001,AG$3,Base!$B$3:$B$5001,$A$41,Base!$Q$3:$Q$5001,"&lt;&gt;")=0,"",SUMIFS(Base!$Q$3:$Q$5001,Base!$A$3:$A$5001,AG$3,Base!$B$3:$B$5001,$A$41)))</f>
        <v/>
      </c>
      <c r="AH46" s="52" t="str">
        <f>IF(AH$3="","",IF(COUNTIFS(Base!$A$3:$A$5001,AH$3,Base!$B$3:$B$5001,$A$41,Base!$Q$3:$Q$5001,"&lt;&gt;")=0,"",SUMIFS(Base!$Q$3:$Q$5001,Base!$A$3:$A$5001,AH$3,Base!$B$3:$B$5001,$A$41)))</f>
        <v/>
      </c>
      <c r="AI46" s="52" t="str">
        <f>IF(AI$3="","",IF(COUNTIFS(Base!$A$3:$A$5001,AI$3,Base!$B$3:$B$5001,$A$41,Base!$Q$3:$Q$5001,"&lt;&gt;")=0,"",SUMIFS(Base!$Q$3:$Q$5001,Base!$A$3:$A$5001,AI$3,Base!$B$3:$B$5001,$A$41)))</f>
        <v/>
      </c>
      <c r="AJ46" s="53" t="str">
        <f>IF(AJ$3="","",IF(COUNTIFS(Base!$A$3:$A$5001,AJ$3,Base!$B$3:$B$5001,$A$41,Base!$Q$3:$Q$5001,"&lt;&gt;")=0,"",SUMIFS(Base!$Q$3:$Q$5001,Base!$A$3:$A$5001,AJ$3,Base!$B$3:$B$5001,$A$41)))</f>
        <v/>
      </c>
      <c r="AK46" s="54" t="str">
        <f>IF(COUNT(F46:AJ46)=0,"",SUM(F46:AJ46))</f>
        <v/>
      </c>
    </row>
    <row r="47" ht="15.75" customHeight="1">
      <c r="A47" s="118"/>
      <c r="B47" s="109"/>
      <c r="C47" s="48" t="inlineStr">
        <is>
          <t xml:space="preserve">Itens Expedidos</t>
        </is>
      </c>
      <c r="D47" s="49" t="str">
        <f>IFERROR(1/(1/INDEX(calculos!$C$55:$K$83,MATCH("OUT Itens Expedidos",calculos!$A$55:$A$83,0),MATCH($A$41,calculos!$C$54:$K$54,0))),"")</f>
        <v/>
      </c>
      <c r="E47" s="50"/>
      <c r="F47" s="51" t="str">
        <f>IF(F$3="","",IF(COUNTIFS(Base!$A$3:$A$5001,F$3,Base!$B$3:$B$5001,$A$41,Base!$R$3:$R$5001,"&lt;&gt;")=0,"",SUMIFS(Base!$R$3:$R$5001,Base!$A$3:$A$5001,F$3,Base!$B$3:$B$5001,$A$41)))</f>
        <v/>
      </c>
      <c r="G47" s="52" t="str">
        <f>IF(G$3="","",IF(COUNTIFS(Base!$A$3:$A$5001,G$3,Base!$B$3:$B$5001,$A$41,Base!$R$3:$R$5001,"&lt;&gt;")=0,"",SUMIFS(Base!$R$3:$R$5001,Base!$A$3:$A$5001,G$3,Base!$B$3:$B$5001,$A$41)))</f>
        <v/>
      </c>
      <c r="H47" s="52" t="str">
        <f>IF(H$3="","",IF(COUNTIFS(Base!$A$3:$A$5001,H$3,Base!$B$3:$B$5001,$A$41,Base!$R$3:$R$5001,"&lt;&gt;")=0,"",SUMIFS(Base!$R$3:$R$5001,Base!$A$3:$A$5001,H$3,Base!$B$3:$B$5001,$A$41)))</f>
        <v/>
      </c>
      <c r="I47" s="52" t="str">
        <f>IF(I$3="","",IF(COUNTIFS(Base!$A$3:$A$5001,I$3,Base!$B$3:$B$5001,$A$41,Base!$R$3:$R$5001,"&lt;&gt;")=0,"",SUMIFS(Base!$R$3:$R$5001,Base!$A$3:$A$5001,I$3,Base!$B$3:$B$5001,$A$41)))</f>
        <v/>
      </c>
      <c r="J47" s="52" t="str">
        <f>IF(J$3="","",IF(COUNTIFS(Base!$A$3:$A$5001,J$3,Base!$B$3:$B$5001,$A$41,Base!$R$3:$R$5001,"&lt;&gt;")=0,"",SUMIFS(Base!$R$3:$R$5001,Base!$A$3:$A$5001,J$3,Base!$B$3:$B$5001,$A$41)))</f>
        <v/>
      </c>
      <c r="K47" s="52" t="str">
        <f>IF(K$3="","",IF(COUNTIFS(Base!$A$3:$A$5001,K$3,Base!$B$3:$B$5001,$A$41,Base!$R$3:$R$5001,"&lt;&gt;")=0,"",SUMIFS(Base!$R$3:$R$5001,Base!$A$3:$A$5001,K$3,Base!$B$3:$B$5001,$A$41)))</f>
        <v/>
      </c>
      <c r="L47" s="52" t="str">
        <f>IF(L$3="","",IF(COUNTIFS(Base!$A$3:$A$5001,L$3,Base!$B$3:$B$5001,$A$41,Base!$R$3:$R$5001,"&lt;&gt;")=0,"",SUMIFS(Base!$R$3:$R$5001,Base!$A$3:$A$5001,L$3,Base!$B$3:$B$5001,$A$41)))</f>
        <v/>
      </c>
      <c r="M47" s="52" t="str">
        <f>IF(M$3="","",IF(COUNTIFS(Base!$A$3:$A$5001,M$3,Base!$B$3:$B$5001,$A$41,Base!$R$3:$R$5001,"&lt;&gt;")=0,"",SUMIFS(Base!$R$3:$R$5001,Base!$A$3:$A$5001,M$3,Base!$B$3:$B$5001,$A$41)))</f>
        <v/>
      </c>
      <c r="N47" s="52" t="str">
        <f>IF(N$3="","",IF(COUNTIFS(Base!$A$3:$A$5001,N$3,Base!$B$3:$B$5001,$A$41,Base!$R$3:$R$5001,"&lt;&gt;")=0,"",SUMIFS(Base!$R$3:$R$5001,Base!$A$3:$A$5001,N$3,Base!$B$3:$B$5001,$A$41)))</f>
        <v/>
      </c>
      <c r="O47" s="52" t="str">
        <f>IF(O$3="","",IF(COUNTIFS(Base!$A$3:$A$5001,O$3,Base!$B$3:$B$5001,$A$41,Base!$R$3:$R$5001,"&lt;&gt;")=0,"",SUMIFS(Base!$R$3:$R$5001,Base!$A$3:$A$5001,O$3,Base!$B$3:$B$5001,$A$41)))</f>
        <v/>
      </c>
      <c r="P47" s="52" t="str">
        <f>IF(P$3="","",IF(COUNTIFS(Base!$A$3:$A$5001,P$3,Base!$B$3:$B$5001,$A$41,Base!$R$3:$R$5001,"&lt;&gt;")=0,"",SUMIFS(Base!$R$3:$R$5001,Base!$A$3:$A$5001,P$3,Base!$B$3:$B$5001,$A$41)))</f>
        <v/>
      </c>
      <c r="Q47" s="52" t="str">
        <f>IF(Q$3="","",IF(COUNTIFS(Base!$A$3:$A$5001,Q$3,Base!$B$3:$B$5001,$A$41,Base!$R$3:$R$5001,"&lt;&gt;")=0,"",SUMIFS(Base!$R$3:$R$5001,Base!$A$3:$A$5001,Q$3,Base!$B$3:$B$5001,$A$41)))</f>
        <v/>
      </c>
      <c r="R47" s="52" t="str">
        <f>IF(R$3="","",IF(COUNTIFS(Base!$A$3:$A$5001,R$3,Base!$B$3:$B$5001,$A$41,Base!$R$3:$R$5001,"&lt;&gt;")=0,"",SUMIFS(Base!$R$3:$R$5001,Base!$A$3:$A$5001,R$3,Base!$B$3:$B$5001,$A$41)))</f>
        <v/>
      </c>
      <c r="S47" s="52" t="str">
        <f>IF(S$3="","",IF(COUNTIFS(Base!$A$3:$A$5001,S$3,Base!$B$3:$B$5001,$A$41,Base!$R$3:$R$5001,"&lt;&gt;")=0,"",SUMIFS(Base!$R$3:$R$5001,Base!$A$3:$A$5001,S$3,Base!$B$3:$B$5001,$A$41)))</f>
        <v/>
      </c>
      <c r="T47" s="52" t="str">
        <f>IF(T$3="","",IF(COUNTIFS(Base!$A$3:$A$5001,T$3,Base!$B$3:$B$5001,$A$41,Base!$R$3:$R$5001,"&lt;&gt;")=0,"",SUMIFS(Base!$R$3:$R$5001,Base!$A$3:$A$5001,T$3,Base!$B$3:$B$5001,$A$41)))</f>
        <v/>
      </c>
      <c r="U47" s="52" t="str">
        <f>IF(U$3="","",IF(COUNTIFS(Base!$A$3:$A$5001,U$3,Base!$B$3:$B$5001,$A$41,Base!$R$3:$R$5001,"&lt;&gt;")=0,"",SUMIFS(Base!$R$3:$R$5001,Base!$A$3:$A$5001,U$3,Base!$B$3:$B$5001,$A$41)))</f>
        <v/>
      </c>
      <c r="V47" s="52" t="str">
        <f>IF(V$3="","",IF(COUNTIFS(Base!$A$3:$A$5001,V$3,Base!$B$3:$B$5001,$A$41,Base!$R$3:$R$5001,"&lt;&gt;")=0,"",SUMIFS(Base!$R$3:$R$5001,Base!$A$3:$A$5001,V$3,Base!$B$3:$B$5001,$A$41)))</f>
        <v/>
      </c>
      <c r="W47" s="52" t="str">
        <f>IF(W$3="","",IF(COUNTIFS(Base!$A$3:$A$5001,W$3,Base!$B$3:$B$5001,$A$41,Base!$R$3:$R$5001,"&lt;&gt;")=0,"",SUMIFS(Base!$R$3:$R$5001,Base!$A$3:$A$5001,W$3,Base!$B$3:$B$5001,$A$41)))</f>
        <v/>
      </c>
      <c r="X47" s="52" t="str">
        <f>IF(X$3="","",IF(COUNTIFS(Base!$A$3:$A$5001,X$3,Base!$B$3:$B$5001,$A$41,Base!$R$3:$R$5001,"&lt;&gt;")=0,"",SUMIFS(Base!$R$3:$R$5001,Base!$A$3:$A$5001,X$3,Base!$B$3:$B$5001,$A$41)))</f>
        <v/>
      </c>
      <c r="Y47" s="52" t="str">
        <f>IF(Y$3="","",IF(COUNTIFS(Base!$A$3:$A$5001,Y$3,Base!$B$3:$B$5001,$A$41,Base!$R$3:$R$5001,"&lt;&gt;")=0,"",SUMIFS(Base!$R$3:$R$5001,Base!$A$3:$A$5001,Y$3,Base!$B$3:$B$5001,$A$41)))</f>
        <v/>
      </c>
      <c r="Z47" s="52" t="str">
        <f>IF(Z$3="","",IF(COUNTIFS(Base!$A$3:$A$5001,Z$3,Base!$B$3:$B$5001,$A$41,Base!$R$3:$R$5001,"&lt;&gt;")=0,"",SUMIFS(Base!$R$3:$R$5001,Base!$A$3:$A$5001,Z$3,Base!$B$3:$B$5001,$A$41)))</f>
        <v/>
      </c>
      <c r="AA47" s="52" t="str">
        <f>IF(AA$3="","",IF(COUNTIFS(Base!$A$3:$A$5001,AA$3,Base!$B$3:$B$5001,$A$41,Base!$R$3:$R$5001,"&lt;&gt;")=0,"",SUMIFS(Base!$R$3:$R$5001,Base!$A$3:$A$5001,AA$3,Base!$B$3:$B$5001,$A$41)))</f>
        <v/>
      </c>
      <c r="AB47" s="52" t="str">
        <f>IF(AB$3="","",IF(COUNTIFS(Base!$A$3:$A$5001,AB$3,Base!$B$3:$B$5001,$A$41,Base!$R$3:$R$5001,"&lt;&gt;")=0,"",SUMIFS(Base!$R$3:$R$5001,Base!$A$3:$A$5001,AB$3,Base!$B$3:$B$5001,$A$41)))</f>
        <v/>
      </c>
      <c r="AC47" s="52" t="str">
        <f>IF(AC$3="","",IF(COUNTIFS(Base!$A$3:$A$5001,AC$3,Base!$B$3:$B$5001,$A$41,Base!$R$3:$R$5001,"&lt;&gt;")=0,"",SUMIFS(Base!$R$3:$R$5001,Base!$A$3:$A$5001,AC$3,Base!$B$3:$B$5001,$A$41)))</f>
        <v/>
      </c>
      <c r="AD47" s="52" t="str">
        <f>IF(AD$3="","",IF(COUNTIFS(Base!$A$3:$A$5001,AD$3,Base!$B$3:$B$5001,$A$41,Base!$R$3:$R$5001,"&lt;&gt;")=0,"",SUMIFS(Base!$R$3:$R$5001,Base!$A$3:$A$5001,AD$3,Base!$B$3:$B$5001,$A$41)))</f>
        <v/>
      </c>
      <c r="AE47" s="52" t="str">
        <f>IF(AE$3="","",IF(COUNTIFS(Base!$A$3:$A$5001,AE$3,Base!$B$3:$B$5001,$A$41,Base!$R$3:$R$5001,"&lt;&gt;")=0,"",SUMIFS(Base!$R$3:$R$5001,Base!$A$3:$A$5001,AE$3,Base!$B$3:$B$5001,$A$41)))</f>
        <v/>
      </c>
      <c r="AF47" s="52" t="str">
        <f>IF(AF$3="","",IF(COUNTIFS(Base!$A$3:$A$5001,AF$3,Base!$B$3:$B$5001,$A$41,Base!$R$3:$R$5001,"&lt;&gt;")=0,"",SUMIFS(Base!$R$3:$R$5001,Base!$A$3:$A$5001,AF$3,Base!$B$3:$B$5001,$A$41)))</f>
        <v/>
      </c>
      <c r="AG47" s="52" t="str">
        <f>IF(AG$3="","",IF(COUNTIFS(Base!$A$3:$A$5001,AG$3,Base!$B$3:$B$5001,$A$41,Base!$R$3:$R$5001,"&lt;&gt;")=0,"",SUMIFS(Base!$R$3:$R$5001,Base!$A$3:$A$5001,AG$3,Base!$B$3:$B$5001,$A$41)))</f>
        <v/>
      </c>
      <c r="AH47" s="52" t="str">
        <f>IF(AH$3="","",IF(COUNTIFS(Base!$A$3:$A$5001,AH$3,Base!$B$3:$B$5001,$A$41,Base!$R$3:$R$5001,"&lt;&gt;")=0,"",SUMIFS(Base!$R$3:$R$5001,Base!$A$3:$A$5001,AH$3,Base!$B$3:$B$5001,$A$41)))</f>
        <v/>
      </c>
      <c r="AI47" s="52" t="str">
        <f>IF(AI$3="","",IF(COUNTIFS(Base!$A$3:$A$5001,AI$3,Base!$B$3:$B$5001,$A$41,Base!$R$3:$R$5001,"&lt;&gt;")=0,"",SUMIFS(Base!$R$3:$R$5001,Base!$A$3:$A$5001,AI$3,Base!$B$3:$B$5001,$A$41)))</f>
        <v/>
      </c>
      <c r="AJ47" s="53" t="str">
        <f>IF(AJ$3="","",IF(COUNTIFS(Base!$A$3:$A$5001,AJ$3,Base!$B$3:$B$5001,$A$41,Base!$R$3:$R$5001,"&lt;&gt;")=0,"",SUMIFS(Base!$R$3:$R$5001,Base!$A$3:$A$5001,AJ$3,Base!$B$3:$B$5001,$A$41)))</f>
        <v/>
      </c>
      <c r="AK47" s="54" t="str">
        <f>IF(COUNT(F47:AJ47)=0,"",SUM(F47:AJ47))</f>
        <v/>
      </c>
    </row>
    <row r="48" ht="15.75" customHeight="1">
      <c r="A48" s="118"/>
      <c r="B48" s="110"/>
      <c r="C48" s="55" t="inlineStr">
        <is>
          <t xml:space="preserve">Pallets Movimentados</t>
        </is>
      </c>
      <c r="D48" s="473" t="str">
        <f>IFERROR(1/(1/INDEX(calculos!$C$55:$K$83,MATCH("OUT Pallets Movimentados",calculos!$A$55:$A$83,0),MATCH($A$41,calculos!$C$54:$K$54,0))),"")</f>
        <v/>
      </c>
      <c r="E48" s="57"/>
      <c r="F48" s="474" t="str">
        <f>IF(F$3="","",IF(COUNTIFS(Base!$A$3:$A$5001,F$3,Base!$B$3:$B$5001,$A$41,Base!$M$3:$M$5001,"&lt;&gt;")=0,"",SUMIFS(Base!$M$3:$M$5001,Base!$A$3:$A$5001,F$3,Base!$B$3:$B$5001,$A$41)))</f>
        <v/>
      </c>
      <c r="G48" s="475" t="str">
        <f>IF(G$3="","",IF(COUNTIFS(Base!$A$3:$A$5001,G$3,Base!$B$3:$B$5001,$A$41,Base!$M$3:$M$5001,"&lt;&gt;")=0,"",SUMIFS(Base!$M$3:$M$5001,Base!$A$3:$A$5001,G$3,Base!$B$3:$B$5001,$A$41)))</f>
        <v/>
      </c>
      <c r="H48" s="475" t="str">
        <f>IF(H$3="","",IF(COUNTIFS(Base!$A$3:$A$5001,H$3,Base!$B$3:$B$5001,$A$41,Base!$M$3:$M$5001,"&lt;&gt;")=0,"",SUMIFS(Base!$M$3:$M$5001,Base!$A$3:$A$5001,H$3,Base!$B$3:$B$5001,$A$41)))</f>
        <v/>
      </c>
      <c r="I48" s="475" t="str">
        <f>IF(I$3="","",IF(COUNTIFS(Base!$A$3:$A$5001,I$3,Base!$B$3:$B$5001,$A$41,Base!$M$3:$M$5001,"&lt;&gt;")=0,"",SUMIFS(Base!$M$3:$M$5001,Base!$A$3:$A$5001,I$3,Base!$B$3:$B$5001,$A$41)))</f>
        <v/>
      </c>
      <c r="J48" s="475" t="str">
        <f>IF(J$3="","",IF(COUNTIFS(Base!$A$3:$A$5001,J$3,Base!$B$3:$B$5001,$A$41,Base!$M$3:$M$5001,"&lt;&gt;")=0,"",SUMIFS(Base!$M$3:$M$5001,Base!$A$3:$A$5001,J$3,Base!$B$3:$B$5001,$A$41)))</f>
        <v/>
      </c>
      <c r="K48" s="475" t="str">
        <f>IF(K$3="","",IF(COUNTIFS(Base!$A$3:$A$5001,K$3,Base!$B$3:$B$5001,$A$41,Base!$M$3:$M$5001,"&lt;&gt;")=0,"",SUMIFS(Base!$M$3:$M$5001,Base!$A$3:$A$5001,K$3,Base!$B$3:$B$5001,$A$41)))</f>
        <v/>
      </c>
      <c r="L48" s="475" t="str">
        <f>IF(L$3="","",IF(COUNTIFS(Base!$A$3:$A$5001,L$3,Base!$B$3:$B$5001,$A$41,Base!$M$3:$M$5001,"&lt;&gt;")=0,"",SUMIFS(Base!$M$3:$M$5001,Base!$A$3:$A$5001,L$3,Base!$B$3:$B$5001,$A$41)))</f>
        <v/>
      </c>
      <c r="M48" s="475" t="str">
        <f>IF(M$3="","",IF(COUNTIFS(Base!$A$3:$A$5001,M$3,Base!$B$3:$B$5001,$A$41,Base!$M$3:$M$5001,"&lt;&gt;")=0,"",SUMIFS(Base!$M$3:$M$5001,Base!$A$3:$A$5001,M$3,Base!$B$3:$B$5001,$A$41)))</f>
        <v/>
      </c>
      <c r="N48" s="475" t="str">
        <f>IF(N$3="","",IF(COUNTIFS(Base!$A$3:$A$5001,N$3,Base!$B$3:$B$5001,$A$41,Base!$M$3:$M$5001,"&lt;&gt;")=0,"",SUMIFS(Base!$M$3:$M$5001,Base!$A$3:$A$5001,N$3,Base!$B$3:$B$5001,$A$41)))</f>
        <v/>
      </c>
      <c r="O48" s="475" t="str">
        <f>IF(O$3="","",IF(COUNTIFS(Base!$A$3:$A$5001,O$3,Base!$B$3:$B$5001,$A$41,Base!$M$3:$M$5001,"&lt;&gt;")=0,"",SUMIFS(Base!$M$3:$M$5001,Base!$A$3:$A$5001,O$3,Base!$B$3:$B$5001,$A$41)))</f>
        <v/>
      </c>
      <c r="P48" s="475" t="str">
        <f>IF(P$3="","",IF(COUNTIFS(Base!$A$3:$A$5001,P$3,Base!$B$3:$B$5001,$A$41,Base!$M$3:$M$5001,"&lt;&gt;")=0,"",SUMIFS(Base!$M$3:$M$5001,Base!$A$3:$A$5001,P$3,Base!$B$3:$B$5001,$A$41)))</f>
        <v/>
      </c>
      <c r="Q48" s="475" t="str">
        <f>IF(Q$3="","",IF(COUNTIFS(Base!$A$3:$A$5001,Q$3,Base!$B$3:$B$5001,$A$41,Base!$M$3:$M$5001,"&lt;&gt;")=0,"",SUMIFS(Base!$M$3:$M$5001,Base!$A$3:$A$5001,Q$3,Base!$B$3:$B$5001,$A$41)))</f>
        <v/>
      </c>
      <c r="R48" s="475" t="str">
        <f>IF(R$3="","",IF(COUNTIFS(Base!$A$3:$A$5001,R$3,Base!$B$3:$B$5001,$A$41,Base!$M$3:$M$5001,"&lt;&gt;")=0,"",SUMIFS(Base!$M$3:$M$5001,Base!$A$3:$A$5001,R$3,Base!$B$3:$B$5001,$A$41)))</f>
        <v/>
      </c>
      <c r="S48" s="475" t="str">
        <f>IF(S$3="","",IF(COUNTIFS(Base!$A$3:$A$5001,S$3,Base!$B$3:$B$5001,$A$41,Base!$M$3:$M$5001,"&lt;&gt;")=0,"",SUMIFS(Base!$M$3:$M$5001,Base!$A$3:$A$5001,S$3,Base!$B$3:$B$5001,$A$41)))</f>
        <v/>
      </c>
      <c r="T48" s="475" t="str">
        <f>IF(T$3="","",IF(COUNTIFS(Base!$A$3:$A$5001,T$3,Base!$B$3:$B$5001,$A$41,Base!$M$3:$M$5001,"&lt;&gt;")=0,"",SUMIFS(Base!$M$3:$M$5001,Base!$A$3:$A$5001,T$3,Base!$B$3:$B$5001,$A$41)))</f>
        <v/>
      </c>
      <c r="U48" s="475" t="str">
        <f>IF(U$3="","",IF(COUNTIFS(Base!$A$3:$A$5001,U$3,Base!$B$3:$B$5001,$A$41,Base!$M$3:$M$5001,"&lt;&gt;")=0,"",SUMIFS(Base!$M$3:$M$5001,Base!$A$3:$A$5001,U$3,Base!$B$3:$B$5001,$A$41)))</f>
        <v/>
      </c>
      <c r="V48" s="475" t="str">
        <f>IF(V$3="","",IF(COUNTIFS(Base!$A$3:$A$5001,V$3,Base!$B$3:$B$5001,$A$41,Base!$M$3:$M$5001,"&lt;&gt;")=0,"",SUMIFS(Base!$M$3:$M$5001,Base!$A$3:$A$5001,V$3,Base!$B$3:$B$5001,$A$41)))</f>
        <v/>
      </c>
      <c r="W48" s="475" t="str">
        <f>IF(W$3="","",IF(COUNTIFS(Base!$A$3:$A$5001,W$3,Base!$B$3:$B$5001,$A$41,Base!$M$3:$M$5001,"&lt;&gt;")=0,"",SUMIFS(Base!$M$3:$M$5001,Base!$A$3:$A$5001,W$3,Base!$B$3:$B$5001,$A$41)))</f>
        <v/>
      </c>
      <c r="X48" s="475" t="str">
        <f>IF(X$3="","",IF(COUNTIFS(Base!$A$3:$A$5001,X$3,Base!$B$3:$B$5001,$A$41,Base!$M$3:$M$5001,"&lt;&gt;")=0,"",SUMIFS(Base!$M$3:$M$5001,Base!$A$3:$A$5001,X$3,Base!$B$3:$B$5001,$A$41)))</f>
        <v/>
      </c>
      <c r="Y48" s="475" t="str">
        <f>IF(Y$3="","",IF(COUNTIFS(Base!$A$3:$A$5001,Y$3,Base!$B$3:$B$5001,$A$41,Base!$M$3:$M$5001,"&lt;&gt;")=0,"",SUMIFS(Base!$M$3:$M$5001,Base!$A$3:$A$5001,Y$3,Base!$B$3:$B$5001,$A$41)))</f>
        <v/>
      </c>
      <c r="Z48" s="475" t="str">
        <f>IF(Z$3="","",IF(COUNTIFS(Base!$A$3:$A$5001,Z$3,Base!$B$3:$B$5001,$A$41,Base!$M$3:$M$5001,"&lt;&gt;")=0,"",SUMIFS(Base!$M$3:$M$5001,Base!$A$3:$A$5001,Z$3,Base!$B$3:$B$5001,$A$41)))</f>
        <v/>
      </c>
      <c r="AA48" s="475" t="str">
        <f>IF(AA$3="","",IF(COUNTIFS(Base!$A$3:$A$5001,AA$3,Base!$B$3:$B$5001,$A$41,Base!$M$3:$M$5001,"&lt;&gt;")=0,"",SUMIFS(Base!$M$3:$M$5001,Base!$A$3:$A$5001,AA$3,Base!$B$3:$B$5001,$A$41)))</f>
        <v/>
      </c>
      <c r="AB48" s="475" t="str">
        <f>IF(AB$3="","",IF(COUNTIFS(Base!$A$3:$A$5001,AB$3,Base!$B$3:$B$5001,$A$41,Base!$M$3:$M$5001,"&lt;&gt;")=0,"",SUMIFS(Base!$M$3:$M$5001,Base!$A$3:$A$5001,AB$3,Base!$B$3:$B$5001,$A$41)))</f>
        <v/>
      </c>
      <c r="AC48" s="475" t="str">
        <f>IF(AC$3="","",IF(COUNTIFS(Base!$A$3:$A$5001,AC$3,Base!$B$3:$B$5001,$A$41,Base!$M$3:$M$5001,"&lt;&gt;")=0,"",SUMIFS(Base!$M$3:$M$5001,Base!$A$3:$A$5001,AC$3,Base!$B$3:$B$5001,$A$41)))</f>
        <v/>
      </c>
      <c r="AD48" s="475" t="str">
        <f>IF(AD$3="","",IF(COUNTIFS(Base!$A$3:$A$5001,AD$3,Base!$B$3:$B$5001,$A$41,Base!$M$3:$M$5001,"&lt;&gt;")=0,"",SUMIFS(Base!$M$3:$M$5001,Base!$A$3:$A$5001,AD$3,Base!$B$3:$B$5001,$A$41)))</f>
        <v/>
      </c>
      <c r="AE48" s="475" t="str">
        <f>IF(AE$3="","",IF(COUNTIFS(Base!$A$3:$A$5001,AE$3,Base!$B$3:$B$5001,$A$41,Base!$M$3:$M$5001,"&lt;&gt;")=0,"",SUMIFS(Base!$M$3:$M$5001,Base!$A$3:$A$5001,AE$3,Base!$B$3:$B$5001,$A$41)))</f>
        <v/>
      </c>
      <c r="AF48" s="475" t="str">
        <f>IF(AF$3="","",IF(COUNTIFS(Base!$A$3:$A$5001,AF$3,Base!$B$3:$B$5001,$A$41,Base!$M$3:$M$5001,"&lt;&gt;")=0,"",SUMIFS(Base!$M$3:$M$5001,Base!$A$3:$A$5001,AF$3,Base!$B$3:$B$5001,$A$41)))</f>
        <v/>
      </c>
      <c r="AG48" s="475" t="str">
        <f>IF(AG$3="","",IF(COUNTIFS(Base!$A$3:$A$5001,AG$3,Base!$B$3:$B$5001,$A$41,Base!$M$3:$M$5001,"&lt;&gt;")=0,"",SUMIFS(Base!$M$3:$M$5001,Base!$A$3:$A$5001,AG$3,Base!$B$3:$B$5001,$A$41)))</f>
        <v/>
      </c>
      <c r="AH48" s="475" t="str">
        <f>IF(AH$3="","",IF(COUNTIFS(Base!$A$3:$A$5001,AH$3,Base!$B$3:$B$5001,$A$41,Base!$M$3:$M$5001,"&lt;&gt;")=0,"",SUMIFS(Base!$M$3:$M$5001,Base!$A$3:$A$5001,AH$3,Base!$B$3:$B$5001,$A$41)))</f>
        <v/>
      </c>
      <c r="AI48" s="475" t="str">
        <f>IF(AI$3="","",IF(COUNTIFS(Base!$A$3:$A$5001,AI$3,Base!$B$3:$B$5001,$A$41,Base!$M$3:$M$5001,"&lt;&gt;")=0,"",SUMIFS(Base!$M$3:$M$5001,Base!$A$3:$A$5001,AI$3,Base!$B$3:$B$5001,$A$41)))</f>
        <v/>
      </c>
      <c r="AJ48" s="476" t="str">
        <f>IF(AJ$3="","",IF(COUNTIFS(Base!$A$3:$A$5001,AJ$3,Base!$B$3:$B$5001,$A$41,Base!$M$3:$M$5001,"&lt;&gt;")=0,"",SUMIFS(Base!$M$3:$M$5001,Base!$A$3:$A$5001,AJ$3,Base!$B$3:$B$5001,$A$41)))</f>
        <v/>
      </c>
      <c r="AK48" s="473" t="str">
        <f>IF(COUNT(F48:AJ48)=0,"",SUM(F48:AJ48))</f>
        <v/>
      </c>
    </row>
    <row r="49" ht="15.75" customHeight="1">
      <c r="A49" s="118"/>
      <c r="B49" s="111" t="inlineStr">
        <is>
          <t xml:space="preserve">NC</t>
        </is>
      </c>
      <c r="C49" s="61" t="inlineStr">
        <is>
          <t xml:space="preserve">Incidentes</t>
        </is>
      </c>
      <c r="D49" s="62" t="str">
        <f>IFERROR(1/(1/INDEX(calculos!$C$55:$K$83,MATCH("NC Incidentes",calculos!$A$55:$A$83,0),MATCH($A$41,calculos!$C$54:$K$54,0))),"")</f>
        <v/>
      </c>
      <c r="E49" s="63"/>
      <c r="F49" s="64" t="str">
        <f>IF(F$3="","",IF(COUNTIFS(Base!$A$3:$A$5001,F$3,Base!$B$3:$B$5001,$A$41,Base!$U$3:$U$5001,"&lt;&gt;")=0,"",SUMIFS(Base!$U$3:$U$5001,Base!$A$3:$A$5001,F$3,Base!$B$3:$B$5001,$A$41)))</f>
        <v/>
      </c>
      <c r="G49" s="65" t="str">
        <f>IF(G$3="","",IF(COUNTIFS(Base!$A$3:$A$5001,G$3,Base!$B$3:$B$5001,$A$41,Base!$U$3:$U$5001,"&lt;&gt;")=0,"",SUMIFS(Base!$U$3:$U$5001,Base!$A$3:$A$5001,G$3,Base!$B$3:$B$5001,$A$41)))</f>
        <v/>
      </c>
      <c r="H49" s="65" t="str">
        <f>IF(H$3="","",IF(COUNTIFS(Base!$A$3:$A$5001,H$3,Base!$B$3:$B$5001,$A$41,Base!$U$3:$U$5001,"&lt;&gt;")=0,"",SUMIFS(Base!$U$3:$U$5001,Base!$A$3:$A$5001,H$3,Base!$B$3:$B$5001,$A$41)))</f>
        <v/>
      </c>
      <c r="I49" s="65" t="str">
        <f>IF(I$3="","",IF(COUNTIFS(Base!$A$3:$A$5001,I$3,Base!$B$3:$B$5001,$A$41,Base!$U$3:$U$5001,"&lt;&gt;")=0,"",SUMIFS(Base!$U$3:$U$5001,Base!$A$3:$A$5001,I$3,Base!$B$3:$B$5001,$A$41)))</f>
        <v/>
      </c>
      <c r="J49" s="65" t="str">
        <f>IF(J$3="","",IF(COUNTIFS(Base!$A$3:$A$5001,J$3,Base!$B$3:$B$5001,$A$41,Base!$U$3:$U$5001,"&lt;&gt;")=0,"",SUMIFS(Base!$U$3:$U$5001,Base!$A$3:$A$5001,J$3,Base!$B$3:$B$5001,$A$41)))</f>
        <v/>
      </c>
      <c r="K49" s="65" t="str">
        <f>IF(K$3="","",IF(COUNTIFS(Base!$A$3:$A$5001,K$3,Base!$B$3:$B$5001,$A$41,Base!$U$3:$U$5001,"&lt;&gt;")=0,"",SUMIFS(Base!$U$3:$U$5001,Base!$A$3:$A$5001,K$3,Base!$B$3:$B$5001,$A$41)))</f>
        <v/>
      </c>
      <c r="L49" s="65" t="str">
        <f>IF(L$3="","",IF(COUNTIFS(Base!$A$3:$A$5001,L$3,Base!$B$3:$B$5001,$A$41,Base!$U$3:$U$5001,"&lt;&gt;")=0,"",SUMIFS(Base!$U$3:$U$5001,Base!$A$3:$A$5001,L$3,Base!$B$3:$B$5001,$A$41)))</f>
        <v/>
      </c>
      <c r="M49" s="65" t="str">
        <f>IF(M$3="","",IF(COUNTIFS(Base!$A$3:$A$5001,M$3,Base!$B$3:$B$5001,$A$41,Base!$U$3:$U$5001,"&lt;&gt;")=0,"",SUMIFS(Base!$U$3:$U$5001,Base!$A$3:$A$5001,M$3,Base!$B$3:$B$5001,$A$41)))</f>
        <v/>
      </c>
      <c r="N49" s="65" t="str">
        <f>IF(N$3="","",IF(COUNTIFS(Base!$A$3:$A$5001,N$3,Base!$B$3:$B$5001,$A$41,Base!$U$3:$U$5001,"&lt;&gt;")=0,"",SUMIFS(Base!$U$3:$U$5001,Base!$A$3:$A$5001,N$3,Base!$B$3:$B$5001,$A$41)))</f>
        <v/>
      </c>
      <c r="O49" s="65" t="str">
        <f>IF(O$3="","",IF(COUNTIFS(Base!$A$3:$A$5001,O$3,Base!$B$3:$B$5001,$A$41,Base!$U$3:$U$5001,"&lt;&gt;")=0,"",SUMIFS(Base!$U$3:$U$5001,Base!$A$3:$A$5001,O$3,Base!$B$3:$B$5001,$A$41)))</f>
        <v/>
      </c>
      <c r="P49" s="65" t="str">
        <f>IF(P$3="","",IF(COUNTIFS(Base!$A$3:$A$5001,P$3,Base!$B$3:$B$5001,$A$41,Base!$U$3:$U$5001,"&lt;&gt;")=0,"",SUMIFS(Base!$U$3:$U$5001,Base!$A$3:$A$5001,P$3,Base!$B$3:$B$5001,$A$41)))</f>
        <v/>
      </c>
      <c r="Q49" s="65" t="str">
        <f>IF(Q$3="","",IF(COUNTIFS(Base!$A$3:$A$5001,Q$3,Base!$B$3:$B$5001,$A$41,Base!$U$3:$U$5001,"&lt;&gt;")=0,"",SUMIFS(Base!$U$3:$U$5001,Base!$A$3:$A$5001,Q$3,Base!$B$3:$B$5001,$A$41)))</f>
        <v/>
      </c>
      <c r="R49" s="65" t="str">
        <f>IF(R$3="","",IF(COUNTIFS(Base!$A$3:$A$5001,R$3,Base!$B$3:$B$5001,$A$41,Base!$U$3:$U$5001,"&lt;&gt;")=0,"",SUMIFS(Base!$U$3:$U$5001,Base!$A$3:$A$5001,R$3,Base!$B$3:$B$5001,$A$41)))</f>
        <v/>
      </c>
      <c r="S49" s="65" t="str">
        <f>IF(S$3="","",IF(COUNTIFS(Base!$A$3:$A$5001,S$3,Base!$B$3:$B$5001,$A$41,Base!$U$3:$U$5001,"&lt;&gt;")=0,"",SUMIFS(Base!$U$3:$U$5001,Base!$A$3:$A$5001,S$3,Base!$B$3:$B$5001,$A$41)))</f>
        <v/>
      </c>
      <c r="T49" s="65" t="str">
        <f>IF(T$3="","",IF(COUNTIFS(Base!$A$3:$A$5001,T$3,Base!$B$3:$B$5001,$A$41,Base!$U$3:$U$5001,"&lt;&gt;")=0,"",SUMIFS(Base!$U$3:$U$5001,Base!$A$3:$A$5001,T$3,Base!$B$3:$B$5001,$A$41)))</f>
        <v/>
      </c>
      <c r="U49" s="65" t="str">
        <f>IF(U$3="","",IF(COUNTIFS(Base!$A$3:$A$5001,U$3,Base!$B$3:$B$5001,$A$41,Base!$U$3:$U$5001,"&lt;&gt;")=0,"",SUMIFS(Base!$U$3:$U$5001,Base!$A$3:$A$5001,U$3,Base!$B$3:$B$5001,$A$41)))</f>
        <v/>
      </c>
      <c r="V49" s="65" t="str">
        <f>IF(V$3="","",IF(COUNTIFS(Base!$A$3:$A$5001,V$3,Base!$B$3:$B$5001,$A$41,Base!$U$3:$U$5001,"&lt;&gt;")=0,"",SUMIFS(Base!$U$3:$U$5001,Base!$A$3:$A$5001,V$3,Base!$B$3:$B$5001,$A$41)))</f>
        <v/>
      </c>
      <c r="W49" s="65" t="str">
        <f>IF(W$3="","",IF(COUNTIFS(Base!$A$3:$A$5001,W$3,Base!$B$3:$B$5001,$A$41,Base!$U$3:$U$5001,"&lt;&gt;")=0,"",SUMIFS(Base!$U$3:$U$5001,Base!$A$3:$A$5001,W$3,Base!$B$3:$B$5001,$A$41)))</f>
        <v/>
      </c>
      <c r="X49" s="65" t="str">
        <f>IF(X$3="","",IF(COUNTIFS(Base!$A$3:$A$5001,X$3,Base!$B$3:$B$5001,$A$41,Base!$U$3:$U$5001,"&lt;&gt;")=0,"",SUMIFS(Base!$U$3:$U$5001,Base!$A$3:$A$5001,X$3,Base!$B$3:$B$5001,$A$41)))</f>
        <v/>
      </c>
      <c r="Y49" s="65" t="str">
        <f>IF(Y$3="","",IF(COUNTIFS(Base!$A$3:$A$5001,Y$3,Base!$B$3:$B$5001,$A$41,Base!$U$3:$U$5001,"&lt;&gt;")=0,"",SUMIFS(Base!$U$3:$U$5001,Base!$A$3:$A$5001,Y$3,Base!$B$3:$B$5001,$A$41)))</f>
        <v/>
      </c>
      <c r="Z49" s="65" t="str">
        <f>IF(Z$3="","",IF(COUNTIFS(Base!$A$3:$A$5001,Z$3,Base!$B$3:$B$5001,$A$41,Base!$U$3:$U$5001,"&lt;&gt;")=0,"",SUMIFS(Base!$U$3:$U$5001,Base!$A$3:$A$5001,Z$3,Base!$B$3:$B$5001,$A$41)))</f>
        <v/>
      </c>
      <c r="AA49" s="65" t="str">
        <f>IF(AA$3="","",IF(COUNTIFS(Base!$A$3:$A$5001,AA$3,Base!$B$3:$B$5001,$A$41,Base!$U$3:$U$5001,"&lt;&gt;")=0,"",SUMIFS(Base!$U$3:$U$5001,Base!$A$3:$A$5001,AA$3,Base!$B$3:$B$5001,$A$41)))</f>
        <v/>
      </c>
      <c r="AB49" s="65" t="str">
        <f>IF(AB$3="","",IF(COUNTIFS(Base!$A$3:$A$5001,AB$3,Base!$B$3:$B$5001,$A$41,Base!$U$3:$U$5001,"&lt;&gt;")=0,"",SUMIFS(Base!$U$3:$U$5001,Base!$A$3:$A$5001,AB$3,Base!$B$3:$B$5001,$A$41)))</f>
        <v/>
      </c>
      <c r="AC49" s="65" t="str">
        <f>IF(AC$3="","",IF(COUNTIFS(Base!$A$3:$A$5001,AC$3,Base!$B$3:$B$5001,$A$41,Base!$U$3:$U$5001,"&lt;&gt;")=0,"",SUMIFS(Base!$U$3:$U$5001,Base!$A$3:$A$5001,AC$3,Base!$B$3:$B$5001,$A$41)))</f>
        <v/>
      </c>
      <c r="AD49" s="65" t="str">
        <f>IF(AD$3="","",IF(COUNTIFS(Base!$A$3:$A$5001,AD$3,Base!$B$3:$B$5001,$A$41,Base!$U$3:$U$5001,"&lt;&gt;")=0,"",SUMIFS(Base!$U$3:$U$5001,Base!$A$3:$A$5001,AD$3,Base!$B$3:$B$5001,$A$41)))</f>
        <v/>
      </c>
      <c r="AE49" s="65" t="str">
        <f>IF(AE$3="","",IF(COUNTIFS(Base!$A$3:$A$5001,AE$3,Base!$B$3:$B$5001,$A$41,Base!$U$3:$U$5001,"&lt;&gt;")=0,"",SUMIFS(Base!$U$3:$U$5001,Base!$A$3:$A$5001,AE$3,Base!$B$3:$B$5001,$A$41)))</f>
        <v/>
      </c>
      <c r="AF49" s="65" t="str">
        <f>IF(AF$3="","",IF(COUNTIFS(Base!$A$3:$A$5001,AF$3,Base!$B$3:$B$5001,$A$41,Base!$U$3:$U$5001,"&lt;&gt;")=0,"",SUMIFS(Base!$U$3:$U$5001,Base!$A$3:$A$5001,AF$3,Base!$B$3:$B$5001,$A$41)))</f>
        <v/>
      </c>
      <c r="AG49" s="65" t="str">
        <f>IF(AG$3="","",IF(COUNTIFS(Base!$A$3:$A$5001,AG$3,Base!$B$3:$B$5001,$A$41,Base!$U$3:$U$5001,"&lt;&gt;")=0,"",SUMIFS(Base!$U$3:$U$5001,Base!$A$3:$A$5001,AG$3,Base!$B$3:$B$5001,$A$41)))</f>
        <v/>
      </c>
      <c r="AH49" s="65" t="str">
        <f>IF(AH$3="","",IF(COUNTIFS(Base!$A$3:$A$5001,AH$3,Base!$B$3:$B$5001,$A$41,Base!$U$3:$U$5001,"&lt;&gt;")=0,"",SUMIFS(Base!$U$3:$U$5001,Base!$A$3:$A$5001,AH$3,Base!$B$3:$B$5001,$A$41)))</f>
        <v/>
      </c>
      <c r="AI49" s="65" t="str">
        <f>IF(AI$3="","",IF(COUNTIFS(Base!$A$3:$A$5001,AI$3,Base!$B$3:$B$5001,$A$41,Base!$U$3:$U$5001,"&lt;&gt;")=0,"",SUMIFS(Base!$U$3:$U$5001,Base!$A$3:$A$5001,AI$3,Base!$B$3:$B$5001,$A$41)))</f>
        <v/>
      </c>
      <c r="AJ49" s="66" t="str">
        <f>IF(AJ$3="","",IF(COUNTIFS(Base!$A$3:$A$5001,AJ$3,Base!$B$3:$B$5001,$A$41,Base!$U$3:$U$5001,"&lt;&gt;")=0,"",SUMIFS(Base!$U$3:$U$5001,Base!$A$3:$A$5001,AJ$3,Base!$B$3:$B$5001,$A$41)))</f>
        <v/>
      </c>
      <c r="AK49" s="67" t="str">
        <f>IF(COUNT(F49:AJ49)=0,"",SUM(F49:AJ49))</f>
        <v/>
      </c>
    </row>
    <row r="50" ht="15.75" customHeight="1">
      <c r="A50" s="118"/>
      <c r="B50" s="112"/>
      <c r="C50" s="68" t="inlineStr">
        <is>
          <t xml:space="preserve">No show</t>
        </is>
      </c>
      <c r="D50" s="69" t="str">
        <f>IFERROR(1/(1/INDEX(calculos!$C$55:$K$83,MATCH("NC No show",calculos!$A$55:$A$83,0),MATCH($A$41,calculos!$C$54:$K$54,0))),"")</f>
        <v/>
      </c>
      <c r="E50" s="70"/>
      <c r="F50" s="71" t="str">
        <f>IF(F$3="","",IF(COUNTIFS(Base!$A$3:$A$5001,F$3,Base!$B$3:$B$5001,$A$41,Base!$V$3:$V$5001,"&lt;&gt;")=0,"",SUMIFS(Base!$V$3:$V$5001,Base!$A$3:$A$5001,F$3,Base!$B$3:$B$5001,$A$41)))</f>
        <v/>
      </c>
      <c r="G50" s="72" t="str">
        <f>IF(G$3="","",IF(COUNTIFS(Base!$A$3:$A$5001,G$3,Base!$B$3:$B$5001,$A$41,Base!$V$3:$V$5001,"&lt;&gt;")=0,"",SUMIFS(Base!$V$3:$V$5001,Base!$A$3:$A$5001,G$3,Base!$B$3:$B$5001,$A$41)))</f>
        <v/>
      </c>
      <c r="H50" s="72" t="str">
        <f>IF(H$3="","",IF(COUNTIFS(Base!$A$3:$A$5001,H$3,Base!$B$3:$B$5001,$A$41,Base!$V$3:$V$5001,"&lt;&gt;")=0,"",SUMIFS(Base!$V$3:$V$5001,Base!$A$3:$A$5001,H$3,Base!$B$3:$B$5001,$A$41)))</f>
        <v/>
      </c>
      <c r="I50" s="72" t="str">
        <f>IF(I$3="","",IF(COUNTIFS(Base!$A$3:$A$5001,I$3,Base!$B$3:$B$5001,$A$41,Base!$V$3:$V$5001,"&lt;&gt;")=0,"",SUMIFS(Base!$V$3:$V$5001,Base!$A$3:$A$5001,I$3,Base!$B$3:$B$5001,$A$41)))</f>
        <v/>
      </c>
      <c r="J50" s="72" t="str">
        <f>IF(J$3="","",IF(COUNTIFS(Base!$A$3:$A$5001,J$3,Base!$B$3:$B$5001,$A$41,Base!$V$3:$V$5001,"&lt;&gt;")=0,"",SUMIFS(Base!$V$3:$V$5001,Base!$A$3:$A$5001,J$3,Base!$B$3:$B$5001,$A$41)))</f>
        <v/>
      </c>
      <c r="K50" s="72" t="str">
        <f>IF(K$3="","",IF(COUNTIFS(Base!$A$3:$A$5001,K$3,Base!$B$3:$B$5001,$A$41,Base!$V$3:$V$5001,"&lt;&gt;")=0,"",SUMIFS(Base!$V$3:$V$5001,Base!$A$3:$A$5001,K$3,Base!$B$3:$B$5001,$A$41)))</f>
        <v/>
      </c>
      <c r="L50" s="72" t="str">
        <f>IF(L$3="","",IF(COUNTIFS(Base!$A$3:$A$5001,L$3,Base!$B$3:$B$5001,$A$41,Base!$V$3:$V$5001,"&lt;&gt;")=0,"",SUMIFS(Base!$V$3:$V$5001,Base!$A$3:$A$5001,L$3,Base!$B$3:$B$5001,$A$41)))</f>
        <v/>
      </c>
      <c r="M50" s="72" t="str">
        <f>IF(M$3="","",IF(COUNTIFS(Base!$A$3:$A$5001,M$3,Base!$B$3:$B$5001,$A$41,Base!$V$3:$V$5001,"&lt;&gt;")=0,"",SUMIFS(Base!$V$3:$V$5001,Base!$A$3:$A$5001,M$3,Base!$B$3:$B$5001,$A$41)))</f>
        <v/>
      </c>
      <c r="N50" s="72" t="str">
        <f>IF(N$3="","",IF(COUNTIFS(Base!$A$3:$A$5001,N$3,Base!$B$3:$B$5001,$A$41,Base!$V$3:$V$5001,"&lt;&gt;")=0,"",SUMIFS(Base!$V$3:$V$5001,Base!$A$3:$A$5001,N$3,Base!$B$3:$B$5001,$A$41)))</f>
        <v/>
      </c>
      <c r="O50" s="72" t="str">
        <f>IF(O$3="","",IF(COUNTIFS(Base!$A$3:$A$5001,O$3,Base!$B$3:$B$5001,$A$41,Base!$V$3:$V$5001,"&lt;&gt;")=0,"",SUMIFS(Base!$V$3:$V$5001,Base!$A$3:$A$5001,O$3,Base!$B$3:$B$5001,$A$41)))</f>
        <v/>
      </c>
      <c r="P50" s="72" t="str">
        <f>IF(P$3="","",IF(COUNTIFS(Base!$A$3:$A$5001,P$3,Base!$B$3:$B$5001,$A$41,Base!$V$3:$V$5001,"&lt;&gt;")=0,"",SUMIFS(Base!$V$3:$V$5001,Base!$A$3:$A$5001,P$3,Base!$B$3:$B$5001,$A$41)))</f>
        <v/>
      </c>
      <c r="Q50" s="72" t="str">
        <f>IF(Q$3="","",IF(COUNTIFS(Base!$A$3:$A$5001,Q$3,Base!$B$3:$B$5001,$A$41,Base!$V$3:$V$5001,"&lt;&gt;")=0,"",SUMIFS(Base!$V$3:$V$5001,Base!$A$3:$A$5001,Q$3,Base!$B$3:$B$5001,$A$41)))</f>
        <v/>
      </c>
      <c r="R50" s="72" t="str">
        <f>IF(R$3="","",IF(COUNTIFS(Base!$A$3:$A$5001,R$3,Base!$B$3:$B$5001,$A$41,Base!$V$3:$V$5001,"&lt;&gt;")=0,"",SUMIFS(Base!$V$3:$V$5001,Base!$A$3:$A$5001,R$3,Base!$B$3:$B$5001,$A$41)))</f>
        <v/>
      </c>
      <c r="S50" s="72" t="str">
        <f>IF(S$3="","",IF(COUNTIFS(Base!$A$3:$A$5001,S$3,Base!$B$3:$B$5001,$A$41,Base!$V$3:$V$5001,"&lt;&gt;")=0,"",SUMIFS(Base!$V$3:$V$5001,Base!$A$3:$A$5001,S$3,Base!$B$3:$B$5001,$A$41)))</f>
        <v/>
      </c>
      <c r="T50" s="72" t="str">
        <f>IF(T$3="","",IF(COUNTIFS(Base!$A$3:$A$5001,T$3,Base!$B$3:$B$5001,$A$41,Base!$V$3:$V$5001,"&lt;&gt;")=0,"",SUMIFS(Base!$V$3:$V$5001,Base!$A$3:$A$5001,T$3,Base!$B$3:$B$5001,$A$41)))</f>
        <v/>
      </c>
      <c r="U50" s="72" t="str">
        <f>IF(U$3="","",IF(COUNTIFS(Base!$A$3:$A$5001,U$3,Base!$B$3:$B$5001,$A$41,Base!$V$3:$V$5001,"&lt;&gt;")=0,"",SUMIFS(Base!$V$3:$V$5001,Base!$A$3:$A$5001,U$3,Base!$B$3:$B$5001,$A$41)))</f>
        <v/>
      </c>
      <c r="V50" s="72" t="str">
        <f>IF(V$3="","",IF(COUNTIFS(Base!$A$3:$A$5001,V$3,Base!$B$3:$B$5001,$A$41,Base!$V$3:$V$5001,"&lt;&gt;")=0,"",SUMIFS(Base!$V$3:$V$5001,Base!$A$3:$A$5001,V$3,Base!$B$3:$B$5001,$A$41)))</f>
        <v/>
      </c>
      <c r="W50" s="72" t="str">
        <f>IF(W$3="","",IF(COUNTIFS(Base!$A$3:$A$5001,W$3,Base!$B$3:$B$5001,$A$41,Base!$V$3:$V$5001,"&lt;&gt;")=0,"",SUMIFS(Base!$V$3:$V$5001,Base!$A$3:$A$5001,W$3,Base!$B$3:$B$5001,$A$41)))</f>
        <v/>
      </c>
      <c r="X50" s="72" t="str">
        <f>IF(X$3="","",IF(COUNTIFS(Base!$A$3:$A$5001,X$3,Base!$B$3:$B$5001,$A$41,Base!$V$3:$V$5001,"&lt;&gt;")=0,"",SUMIFS(Base!$V$3:$V$5001,Base!$A$3:$A$5001,X$3,Base!$B$3:$B$5001,$A$41)))</f>
        <v/>
      </c>
      <c r="Y50" s="72" t="str">
        <f>IF(Y$3="","",IF(COUNTIFS(Base!$A$3:$A$5001,Y$3,Base!$B$3:$B$5001,$A$41,Base!$V$3:$V$5001,"&lt;&gt;")=0,"",SUMIFS(Base!$V$3:$V$5001,Base!$A$3:$A$5001,Y$3,Base!$B$3:$B$5001,$A$41)))</f>
        <v/>
      </c>
      <c r="Z50" s="72" t="str">
        <f>IF(Z$3="","",IF(COUNTIFS(Base!$A$3:$A$5001,Z$3,Base!$B$3:$B$5001,$A$41,Base!$V$3:$V$5001,"&lt;&gt;")=0,"",SUMIFS(Base!$V$3:$V$5001,Base!$A$3:$A$5001,Z$3,Base!$B$3:$B$5001,$A$41)))</f>
        <v/>
      </c>
      <c r="AA50" s="72" t="str">
        <f>IF(AA$3="","",IF(COUNTIFS(Base!$A$3:$A$5001,AA$3,Base!$B$3:$B$5001,$A$41,Base!$V$3:$V$5001,"&lt;&gt;")=0,"",SUMIFS(Base!$V$3:$V$5001,Base!$A$3:$A$5001,AA$3,Base!$B$3:$B$5001,$A$41)))</f>
        <v/>
      </c>
      <c r="AB50" s="72" t="str">
        <f>IF(AB$3="","",IF(COUNTIFS(Base!$A$3:$A$5001,AB$3,Base!$B$3:$B$5001,$A$41,Base!$V$3:$V$5001,"&lt;&gt;")=0,"",SUMIFS(Base!$V$3:$V$5001,Base!$A$3:$A$5001,AB$3,Base!$B$3:$B$5001,$A$41)))</f>
        <v/>
      </c>
      <c r="AC50" s="72" t="str">
        <f>IF(AC$3="","",IF(COUNTIFS(Base!$A$3:$A$5001,AC$3,Base!$B$3:$B$5001,$A$41,Base!$V$3:$V$5001,"&lt;&gt;")=0,"",SUMIFS(Base!$V$3:$V$5001,Base!$A$3:$A$5001,AC$3,Base!$B$3:$B$5001,$A$41)))</f>
        <v/>
      </c>
      <c r="AD50" s="72" t="str">
        <f>IF(AD$3="","",IF(COUNTIFS(Base!$A$3:$A$5001,AD$3,Base!$B$3:$B$5001,$A$41,Base!$V$3:$V$5001,"&lt;&gt;")=0,"",SUMIFS(Base!$V$3:$V$5001,Base!$A$3:$A$5001,AD$3,Base!$B$3:$B$5001,$A$41)))</f>
        <v/>
      </c>
      <c r="AE50" s="72" t="str">
        <f>IF(AE$3="","",IF(COUNTIFS(Base!$A$3:$A$5001,AE$3,Base!$B$3:$B$5001,$A$41,Base!$V$3:$V$5001,"&lt;&gt;")=0,"",SUMIFS(Base!$V$3:$V$5001,Base!$A$3:$A$5001,AE$3,Base!$B$3:$B$5001,$A$41)))</f>
        <v/>
      </c>
      <c r="AF50" s="72" t="str">
        <f>IF(AF$3="","",IF(COUNTIFS(Base!$A$3:$A$5001,AF$3,Base!$B$3:$B$5001,$A$41,Base!$V$3:$V$5001,"&lt;&gt;")=0,"",SUMIFS(Base!$V$3:$V$5001,Base!$A$3:$A$5001,AF$3,Base!$B$3:$B$5001,$A$41)))</f>
        <v/>
      </c>
      <c r="AG50" s="72" t="str">
        <f>IF(AG$3="","",IF(COUNTIFS(Base!$A$3:$A$5001,AG$3,Base!$B$3:$B$5001,$A$41,Base!$V$3:$V$5001,"&lt;&gt;")=0,"",SUMIFS(Base!$V$3:$V$5001,Base!$A$3:$A$5001,AG$3,Base!$B$3:$B$5001,$A$41)))</f>
        <v/>
      </c>
      <c r="AH50" s="72" t="str">
        <f>IF(AH$3="","",IF(COUNTIFS(Base!$A$3:$A$5001,AH$3,Base!$B$3:$B$5001,$A$41,Base!$V$3:$V$5001,"&lt;&gt;")=0,"",SUMIFS(Base!$V$3:$V$5001,Base!$A$3:$A$5001,AH$3,Base!$B$3:$B$5001,$A$41)))</f>
        <v/>
      </c>
      <c r="AI50" s="72" t="str">
        <f>IF(AI$3="","",IF(COUNTIFS(Base!$A$3:$A$5001,AI$3,Base!$B$3:$B$5001,$A$41,Base!$V$3:$V$5001,"&lt;&gt;")=0,"",SUMIFS(Base!$V$3:$V$5001,Base!$A$3:$A$5001,AI$3,Base!$B$3:$B$5001,$A$41)))</f>
        <v/>
      </c>
      <c r="AJ50" s="73" t="str">
        <f>IF(AJ$3="","",IF(COUNTIFS(Base!$A$3:$A$5001,AJ$3,Base!$B$3:$B$5001,$A$41,Base!$V$3:$V$5001,"&lt;&gt;")=0,"",SUMIFS(Base!$V$3:$V$5001,Base!$A$3:$A$5001,AJ$3,Base!$B$3:$B$5001,$A$41)))</f>
        <v/>
      </c>
      <c r="AK50" s="74" t="str">
        <f>IF(COUNT(F50:AJ50)=0,"",SUM(F50:AJ50))</f>
        <v/>
      </c>
    </row>
    <row r="51" ht="15.75" customHeight="1">
      <c r="A51" s="118"/>
      <c r="B51" s="113"/>
      <c r="C51" s="75" t="inlineStr">
        <is>
          <t xml:space="preserve">Backlog</t>
        </is>
      </c>
      <c r="D51" s="76" t="str">
        <f>IFERROR(1/(1/INDEX(calculos!$C$55:$K$83,MATCH("NC Backlog",calculos!$A$55:$A$83,0),MATCH($A$41,calculos!$C$54:$K$54,0))),"")</f>
        <v/>
      </c>
      <c r="E51" s="77"/>
      <c r="F51" s="78" t="str">
        <f>IF(F$3="","",IF(COUNTIFS(Base!$A$3:$A$5001,F$3,Base!$B$3:$B$5001,$A$41,Base!$W$3:$W$5001,"&lt;&gt;")=0,"",SUMIFS(Base!$W$3:$W$5001,Base!$A$3:$A$5001,F$3,Base!$B$3:$B$5001,$A$41)))</f>
        <v/>
      </c>
      <c r="G51" s="79" t="str">
        <f>IF(G$3="","",IF(COUNTIFS(Base!$A$3:$A$5001,G$3,Base!$B$3:$B$5001,$A$41,Base!$W$3:$W$5001,"&lt;&gt;")=0,"",SUMIFS(Base!$W$3:$W$5001,Base!$A$3:$A$5001,G$3,Base!$B$3:$B$5001,$A$41)))</f>
        <v/>
      </c>
      <c r="H51" s="79" t="str">
        <f>IF(H$3="","",IF(COUNTIFS(Base!$A$3:$A$5001,H$3,Base!$B$3:$B$5001,$A$41,Base!$W$3:$W$5001,"&lt;&gt;")=0,"",SUMIFS(Base!$W$3:$W$5001,Base!$A$3:$A$5001,H$3,Base!$B$3:$B$5001,$A$41)))</f>
        <v/>
      </c>
      <c r="I51" s="79" t="str">
        <f>IF(I$3="","",IF(COUNTIFS(Base!$A$3:$A$5001,I$3,Base!$B$3:$B$5001,$A$41,Base!$W$3:$W$5001,"&lt;&gt;")=0,"",SUMIFS(Base!$W$3:$W$5001,Base!$A$3:$A$5001,I$3,Base!$B$3:$B$5001,$A$41)))</f>
        <v/>
      </c>
      <c r="J51" s="79" t="str">
        <f>IF(J$3="","",IF(COUNTIFS(Base!$A$3:$A$5001,J$3,Base!$B$3:$B$5001,$A$41,Base!$W$3:$W$5001,"&lt;&gt;")=0,"",SUMIFS(Base!$W$3:$W$5001,Base!$A$3:$A$5001,J$3,Base!$B$3:$B$5001,$A$41)))</f>
        <v/>
      </c>
      <c r="K51" s="79" t="str">
        <f>IF(K$3="","",IF(COUNTIFS(Base!$A$3:$A$5001,K$3,Base!$B$3:$B$5001,$A$41,Base!$W$3:$W$5001,"&lt;&gt;")=0,"",SUMIFS(Base!$W$3:$W$5001,Base!$A$3:$A$5001,K$3,Base!$B$3:$B$5001,$A$41)))</f>
        <v/>
      </c>
      <c r="L51" s="79" t="str">
        <f>IF(L$3="","",IF(COUNTIFS(Base!$A$3:$A$5001,L$3,Base!$B$3:$B$5001,$A$41,Base!$W$3:$W$5001,"&lt;&gt;")=0,"",SUMIFS(Base!$W$3:$W$5001,Base!$A$3:$A$5001,L$3,Base!$B$3:$B$5001,$A$41)))</f>
        <v/>
      </c>
      <c r="M51" s="79" t="str">
        <f>IF(M$3="","",IF(COUNTIFS(Base!$A$3:$A$5001,M$3,Base!$B$3:$B$5001,$A$41,Base!$W$3:$W$5001,"&lt;&gt;")=0,"",SUMIFS(Base!$W$3:$W$5001,Base!$A$3:$A$5001,M$3,Base!$B$3:$B$5001,$A$41)))</f>
        <v/>
      </c>
      <c r="N51" s="79" t="str">
        <f>IF(N$3="","",IF(COUNTIFS(Base!$A$3:$A$5001,N$3,Base!$B$3:$B$5001,$A$41,Base!$W$3:$W$5001,"&lt;&gt;")=0,"",SUMIFS(Base!$W$3:$W$5001,Base!$A$3:$A$5001,N$3,Base!$B$3:$B$5001,$A$41)))</f>
        <v/>
      </c>
      <c r="O51" s="79" t="str">
        <f>IF(O$3="","",IF(COUNTIFS(Base!$A$3:$A$5001,O$3,Base!$B$3:$B$5001,$A$41,Base!$W$3:$W$5001,"&lt;&gt;")=0,"",SUMIFS(Base!$W$3:$W$5001,Base!$A$3:$A$5001,O$3,Base!$B$3:$B$5001,$A$41)))</f>
        <v/>
      </c>
      <c r="P51" s="79" t="str">
        <f>IF(P$3="","",IF(COUNTIFS(Base!$A$3:$A$5001,P$3,Base!$B$3:$B$5001,$A$41,Base!$W$3:$W$5001,"&lt;&gt;")=0,"",SUMIFS(Base!$W$3:$W$5001,Base!$A$3:$A$5001,P$3,Base!$B$3:$B$5001,$A$41)))</f>
        <v/>
      </c>
      <c r="Q51" s="79" t="str">
        <f>IF(Q$3="","",IF(COUNTIFS(Base!$A$3:$A$5001,Q$3,Base!$B$3:$B$5001,$A$41,Base!$W$3:$W$5001,"&lt;&gt;")=0,"",SUMIFS(Base!$W$3:$W$5001,Base!$A$3:$A$5001,Q$3,Base!$B$3:$B$5001,$A$41)))</f>
        <v/>
      </c>
      <c r="R51" s="79" t="str">
        <f>IF(R$3="","",IF(COUNTIFS(Base!$A$3:$A$5001,R$3,Base!$B$3:$B$5001,$A$41,Base!$W$3:$W$5001,"&lt;&gt;")=0,"",SUMIFS(Base!$W$3:$W$5001,Base!$A$3:$A$5001,R$3,Base!$B$3:$B$5001,$A$41)))</f>
        <v/>
      </c>
      <c r="S51" s="79" t="str">
        <f>IF(S$3="","",IF(COUNTIFS(Base!$A$3:$A$5001,S$3,Base!$B$3:$B$5001,$A$41,Base!$W$3:$W$5001,"&lt;&gt;")=0,"",SUMIFS(Base!$W$3:$W$5001,Base!$A$3:$A$5001,S$3,Base!$B$3:$B$5001,$A$41)))</f>
        <v/>
      </c>
      <c r="T51" s="79" t="str">
        <f>IF(T$3="","",IF(COUNTIFS(Base!$A$3:$A$5001,T$3,Base!$B$3:$B$5001,$A$41,Base!$W$3:$W$5001,"&lt;&gt;")=0,"",SUMIFS(Base!$W$3:$W$5001,Base!$A$3:$A$5001,T$3,Base!$B$3:$B$5001,$A$41)))</f>
        <v/>
      </c>
      <c r="U51" s="79" t="str">
        <f>IF(U$3="","",IF(COUNTIFS(Base!$A$3:$A$5001,U$3,Base!$B$3:$B$5001,$A$41,Base!$W$3:$W$5001,"&lt;&gt;")=0,"",SUMIFS(Base!$W$3:$W$5001,Base!$A$3:$A$5001,U$3,Base!$B$3:$B$5001,$A$41)))</f>
        <v/>
      </c>
      <c r="V51" s="79" t="str">
        <f>IF(V$3="","",IF(COUNTIFS(Base!$A$3:$A$5001,V$3,Base!$B$3:$B$5001,$A$41,Base!$W$3:$W$5001,"&lt;&gt;")=0,"",SUMIFS(Base!$W$3:$W$5001,Base!$A$3:$A$5001,V$3,Base!$B$3:$B$5001,$A$41)))</f>
        <v/>
      </c>
      <c r="W51" s="79" t="str">
        <f>IF(W$3="","",IF(COUNTIFS(Base!$A$3:$A$5001,W$3,Base!$B$3:$B$5001,$A$41,Base!$W$3:$W$5001,"&lt;&gt;")=0,"",SUMIFS(Base!$W$3:$W$5001,Base!$A$3:$A$5001,W$3,Base!$B$3:$B$5001,$A$41)))</f>
        <v/>
      </c>
      <c r="X51" s="79" t="str">
        <f>IF(X$3="","",IF(COUNTIFS(Base!$A$3:$A$5001,X$3,Base!$B$3:$B$5001,$A$41,Base!$W$3:$W$5001,"&lt;&gt;")=0,"",SUMIFS(Base!$W$3:$W$5001,Base!$A$3:$A$5001,X$3,Base!$B$3:$B$5001,$A$41)))</f>
        <v/>
      </c>
      <c r="Y51" s="79" t="str">
        <f>IF(Y$3="","",IF(COUNTIFS(Base!$A$3:$A$5001,Y$3,Base!$B$3:$B$5001,$A$41,Base!$W$3:$W$5001,"&lt;&gt;")=0,"",SUMIFS(Base!$W$3:$W$5001,Base!$A$3:$A$5001,Y$3,Base!$B$3:$B$5001,$A$41)))</f>
        <v/>
      </c>
      <c r="Z51" s="79" t="str">
        <f>IF(Z$3="","",IF(COUNTIFS(Base!$A$3:$A$5001,Z$3,Base!$B$3:$B$5001,$A$41,Base!$W$3:$W$5001,"&lt;&gt;")=0,"",SUMIFS(Base!$W$3:$W$5001,Base!$A$3:$A$5001,Z$3,Base!$B$3:$B$5001,$A$41)))</f>
        <v/>
      </c>
      <c r="AA51" s="79" t="str">
        <f>IF(AA$3="","",IF(COUNTIFS(Base!$A$3:$A$5001,AA$3,Base!$B$3:$B$5001,$A$41,Base!$W$3:$W$5001,"&lt;&gt;")=0,"",SUMIFS(Base!$W$3:$W$5001,Base!$A$3:$A$5001,AA$3,Base!$B$3:$B$5001,$A$41)))</f>
        <v/>
      </c>
      <c r="AB51" s="79" t="str">
        <f>IF(AB$3="","",IF(COUNTIFS(Base!$A$3:$A$5001,AB$3,Base!$B$3:$B$5001,$A$41,Base!$W$3:$W$5001,"&lt;&gt;")=0,"",SUMIFS(Base!$W$3:$W$5001,Base!$A$3:$A$5001,AB$3,Base!$B$3:$B$5001,$A$41)))</f>
        <v/>
      </c>
      <c r="AC51" s="79" t="str">
        <f>IF(AC$3="","",IF(COUNTIFS(Base!$A$3:$A$5001,AC$3,Base!$B$3:$B$5001,$A$41,Base!$W$3:$W$5001,"&lt;&gt;")=0,"",SUMIFS(Base!$W$3:$W$5001,Base!$A$3:$A$5001,AC$3,Base!$B$3:$B$5001,$A$41)))</f>
        <v/>
      </c>
      <c r="AD51" s="79" t="str">
        <f>IF(AD$3="","",IF(COUNTIFS(Base!$A$3:$A$5001,AD$3,Base!$B$3:$B$5001,$A$41,Base!$W$3:$W$5001,"&lt;&gt;")=0,"",SUMIFS(Base!$W$3:$W$5001,Base!$A$3:$A$5001,AD$3,Base!$B$3:$B$5001,$A$41)))</f>
        <v/>
      </c>
      <c r="AE51" s="79" t="str">
        <f>IF(AE$3="","",IF(COUNTIFS(Base!$A$3:$A$5001,AE$3,Base!$B$3:$B$5001,$A$41,Base!$W$3:$W$5001,"&lt;&gt;")=0,"",SUMIFS(Base!$W$3:$W$5001,Base!$A$3:$A$5001,AE$3,Base!$B$3:$B$5001,$A$41)))</f>
        <v/>
      </c>
      <c r="AF51" s="79" t="str">
        <f>IF(AF$3="","",IF(COUNTIFS(Base!$A$3:$A$5001,AF$3,Base!$B$3:$B$5001,$A$41,Base!$W$3:$W$5001,"&lt;&gt;")=0,"",SUMIFS(Base!$W$3:$W$5001,Base!$A$3:$A$5001,AF$3,Base!$B$3:$B$5001,$A$41)))</f>
        <v/>
      </c>
      <c r="AG51" s="79" t="str">
        <f>IF(AG$3="","",IF(COUNTIFS(Base!$A$3:$A$5001,AG$3,Base!$B$3:$B$5001,$A$41,Base!$W$3:$W$5001,"&lt;&gt;")=0,"",SUMIFS(Base!$W$3:$W$5001,Base!$A$3:$A$5001,AG$3,Base!$B$3:$B$5001,$A$41)))</f>
        <v/>
      </c>
      <c r="AH51" s="79" t="str">
        <f>IF(AH$3="","",IF(COUNTIFS(Base!$A$3:$A$5001,AH$3,Base!$B$3:$B$5001,$A$41,Base!$W$3:$W$5001,"&lt;&gt;")=0,"",SUMIFS(Base!$W$3:$W$5001,Base!$A$3:$A$5001,AH$3,Base!$B$3:$B$5001,$A$41)))</f>
        <v/>
      </c>
      <c r="AI51" s="79" t="str">
        <f>IF(AI$3="","",IF(COUNTIFS(Base!$A$3:$A$5001,AI$3,Base!$B$3:$B$5001,$A$41,Base!$W$3:$W$5001,"&lt;&gt;")=0,"",SUMIFS(Base!$W$3:$W$5001,Base!$A$3:$A$5001,AI$3,Base!$B$3:$B$5001,$A$41)))</f>
        <v/>
      </c>
      <c r="AJ51" s="80" t="str">
        <f>IF(AJ$3="","",IF(COUNTIFS(Base!$A$3:$A$5001,AJ$3,Base!$B$3:$B$5001,$A$41,Base!$W$3:$W$5001,"&lt;&gt;")=0,"",SUMIFS(Base!$W$3:$W$5001,Base!$A$3:$A$5001,AJ$3,Base!$B$3:$B$5001,$A$41)))</f>
        <v/>
      </c>
      <c r="AK51" s="76" t="str">
        <f>IFERROR(LOOKUP(9.99E+307,F51:AJ51),"")</f>
        <v/>
      </c>
    </row>
    <row r="52" ht="15.75" customHeight="1">
      <c r="A52" s="118"/>
      <c r="B52" s="105" t="inlineStr">
        <is>
          <t xml:space="preserve">OCUPAÇÃO (P.P)</t>
        </is>
      </c>
      <c r="C52" s="21" t="inlineStr">
        <is>
          <t xml:space="preserve">Posições Disponíveis</t>
        </is>
      </c>
      <c r="D52" s="22" t="str">
        <f>IFERROR(1/(1/INDEX(calculos!$C$55:$K$83,MATCH("Posições Disponíveis",calculos!$A$55:$A$83,0),MATCH($A$41,calculos!$C$54:$K$54,0))),"")</f>
        <v/>
      </c>
      <c r="E52" s="23"/>
      <c r="F52" s="24" t="str">
        <f>IF(F$3="","",IF(COUNTIFS(Base!$A$3:$A$5001,F$3,Base!$B$3:$B$5001,$A$41,Base!$X$3:$X$5001,"&lt;&gt;")=0,"",SUMIFS(Base!$X$3:$X$5001,Base!$A$3:$A$5001,F$3,Base!$B$3:$B$5001,$A$41)))</f>
        <v/>
      </c>
      <c r="G52" s="25" t="str">
        <f>IF(G$3="","",IF(COUNTIFS(Base!$A$3:$A$5001,G$3,Base!$B$3:$B$5001,$A$41,Base!$X$3:$X$5001,"&lt;&gt;")=0,"",SUMIFS(Base!$X$3:$X$5001,Base!$A$3:$A$5001,G$3,Base!$B$3:$B$5001,$A$41)))</f>
        <v/>
      </c>
      <c r="H52" s="25" t="str">
        <f>IF(H$3="","",IF(COUNTIFS(Base!$A$3:$A$5001,H$3,Base!$B$3:$B$5001,$A$41,Base!$X$3:$X$5001,"&lt;&gt;")=0,"",SUMIFS(Base!$X$3:$X$5001,Base!$A$3:$A$5001,H$3,Base!$B$3:$B$5001,$A$41)))</f>
        <v/>
      </c>
      <c r="I52" s="25" t="str">
        <f>IF(I$3="","",IF(COUNTIFS(Base!$A$3:$A$5001,I$3,Base!$B$3:$B$5001,$A$41,Base!$X$3:$X$5001,"&lt;&gt;")=0,"",SUMIFS(Base!$X$3:$X$5001,Base!$A$3:$A$5001,I$3,Base!$B$3:$B$5001,$A$41)))</f>
        <v/>
      </c>
      <c r="J52" s="25" t="str">
        <f>IF(J$3="","",IF(COUNTIFS(Base!$A$3:$A$5001,J$3,Base!$B$3:$B$5001,$A$41,Base!$X$3:$X$5001,"&lt;&gt;")=0,"",SUMIFS(Base!$X$3:$X$5001,Base!$A$3:$A$5001,J$3,Base!$B$3:$B$5001,$A$41)))</f>
        <v/>
      </c>
      <c r="K52" s="25" t="str">
        <f>IF(K$3="","",IF(COUNTIFS(Base!$A$3:$A$5001,K$3,Base!$B$3:$B$5001,$A$41,Base!$X$3:$X$5001,"&lt;&gt;")=0,"",SUMIFS(Base!$X$3:$X$5001,Base!$A$3:$A$5001,K$3,Base!$B$3:$B$5001,$A$41)))</f>
        <v/>
      </c>
      <c r="L52" s="25" t="str">
        <f>IF(L$3="","",IF(COUNTIFS(Base!$A$3:$A$5001,L$3,Base!$B$3:$B$5001,$A$41,Base!$X$3:$X$5001,"&lt;&gt;")=0,"",SUMIFS(Base!$X$3:$X$5001,Base!$A$3:$A$5001,L$3,Base!$B$3:$B$5001,$A$41)))</f>
        <v/>
      </c>
      <c r="M52" s="25" t="str">
        <f>IF(M$3="","",IF(COUNTIFS(Base!$A$3:$A$5001,M$3,Base!$B$3:$B$5001,$A$41,Base!$X$3:$X$5001,"&lt;&gt;")=0,"",SUMIFS(Base!$X$3:$X$5001,Base!$A$3:$A$5001,M$3,Base!$B$3:$B$5001,$A$41)))</f>
        <v/>
      </c>
      <c r="N52" s="25" t="str">
        <f>IF(N$3="","",IF(COUNTIFS(Base!$A$3:$A$5001,N$3,Base!$B$3:$B$5001,$A$41,Base!$X$3:$X$5001,"&lt;&gt;")=0,"",SUMIFS(Base!$X$3:$X$5001,Base!$A$3:$A$5001,N$3,Base!$B$3:$B$5001,$A$41)))</f>
        <v/>
      </c>
      <c r="O52" s="25" t="str">
        <f>IF(O$3="","",IF(COUNTIFS(Base!$A$3:$A$5001,O$3,Base!$B$3:$B$5001,$A$41,Base!$X$3:$X$5001,"&lt;&gt;")=0,"",SUMIFS(Base!$X$3:$X$5001,Base!$A$3:$A$5001,O$3,Base!$B$3:$B$5001,$A$41)))</f>
        <v/>
      </c>
      <c r="P52" s="25" t="str">
        <f>IF(P$3="","",IF(COUNTIFS(Base!$A$3:$A$5001,P$3,Base!$B$3:$B$5001,$A$41,Base!$X$3:$X$5001,"&lt;&gt;")=0,"",SUMIFS(Base!$X$3:$X$5001,Base!$A$3:$A$5001,P$3,Base!$B$3:$B$5001,$A$41)))</f>
        <v/>
      </c>
      <c r="Q52" s="25" t="str">
        <f>IF(Q$3="","",IF(COUNTIFS(Base!$A$3:$A$5001,Q$3,Base!$B$3:$B$5001,$A$41,Base!$X$3:$X$5001,"&lt;&gt;")=0,"",SUMIFS(Base!$X$3:$X$5001,Base!$A$3:$A$5001,Q$3,Base!$B$3:$B$5001,$A$41)))</f>
        <v/>
      </c>
      <c r="R52" s="25" t="str">
        <f>IF(R$3="","",IF(COUNTIFS(Base!$A$3:$A$5001,R$3,Base!$B$3:$B$5001,$A$41,Base!$X$3:$X$5001,"&lt;&gt;")=0,"",SUMIFS(Base!$X$3:$X$5001,Base!$A$3:$A$5001,R$3,Base!$B$3:$B$5001,$A$41)))</f>
        <v/>
      </c>
      <c r="S52" s="25" t="str">
        <f>IF(S$3="","",IF(COUNTIFS(Base!$A$3:$A$5001,S$3,Base!$B$3:$B$5001,$A$41,Base!$X$3:$X$5001,"&lt;&gt;")=0,"",SUMIFS(Base!$X$3:$X$5001,Base!$A$3:$A$5001,S$3,Base!$B$3:$B$5001,$A$41)))</f>
        <v/>
      </c>
      <c r="T52" s="25" t="str">
        <f>IF(T$3="","",IF(COUNTIFS(Base!$A$3:$A$5001,T$3,Base!$B$3:$B$5001,$A$41,Base!$X$3:$X$5001,"&lt;&gt;")=0,"",SUMIFS(Base!$X$3:$X$5001,Base!$A$3:$A$5001,T$3,Base!$B$3:$B$5001,$A$41)))</f>
        <v/>
      </c>
      <c r="U52" s="25" t="str">
        <f>IF(U$3="","",IF(COUNTIFS(Base!$A$3:$A$5001,U$3,Base!$B$3:$B$5001,$A$41,Base!$X$3:$X$5001,"&lt;&gt;")=0,"",SUMIFS(Base!$X$3:$X$5001,Base!$A$3:$A$5001,U$3,Base!$B$3:$B$5001,$A$41)))</f>
        <v/>
      </c>
      <c r="V52" s="25" t="str">
        <f>IF(V$3="","",IF(COUNTIFS(Base!$A$3:$A$5001,V$3,Base!$B$3:$B$5001,$A$41,Base!$X$3:$X$5001,"&lt;&gt;")=0,"",SUMIFS(Base!$X$3:$X$5001,Base!$A$3:$A$5001,V$3,Base!$B$3:$B$5001,$A$41)))</f>
        <v/>
      </c>
      <c r="W52" s="25" t="str">
        <f>IF(W$3="","",IF(COUNTIFS(Base!$A$3:$A$5001,W$3,Base!$B$3:$B$5001,$A$41,Base!$X$3:$X$5001,"&lt;&gt;")=0,"",SUMIFS(Base!$X$3:$X$5001,Base!$A$3:$A$5001,W$3,Base!$B$3:$B$5001,$A$41)))</f>
        <v/>
      </c>
      <c r="X52" s="25" t="str">
        <f>IF(X$3="","",IF(COUNTIFS(Base!$A$3:$A$5001,X$3,Base!$B$3:$B$5001,$A$41,Base!$X$3:$X$5001,"&lt;&gt;")=0,"",SUMIFS(Base!$X$3:$X$5001,Base!$A$3:$A$5001,X$3,Base!$B$3:$B$5001,$A$41)))</f>
        <v/>
      </c>
      <c r="Y52" s="25" t="str">
        <f>IF(Y$3="","",IF(COUNTIFS(Base!$A$3:$A$5001,Y$3,Base!$B$3:$B$5001,$A$41,Base!$X$3:$X$5001,"&lt;&gt;")=0,"",SUMIFS(Base!$X$3:$X$5001,Base!$A$3:$A$5001,Y$3,Base!$B$3:$B$5001,$A$41)))</f>
        <v/>
      </c>
      <c r="Z52" s="25" t="str">
        <f>IF(Z$3="","",IF(COUNTIFS(Base!$A$3:$A$5001,Z$3,Base!$B$3:$B$5001,$A$41,Base!$X$3:$X$5001,"&lt;&gt;")=0,"",SUMIFS(Base!$X$3:$X$5001,Base!$A$3:$A$5001,Z$3,Base!$B$3:$B$5001,$A$41)))</f>
        <v/>
      </c>
      <c r="AA52" s="25" t="str">
        <f>IF(AA$3="","",IF(COUNTIFS(Base!$A$3:$A$5001,AA$3,Base!$B$3:$B$5001,$A$41,Base!$X$3:$X$5001,"&lt;&gt;")=0,"",SUMIFS(Base!$X$3:$X$5001,Base!$A$3:$A$5001,AA$3,Base!$B$3:$B$5001,$A$41)))</f>
        <v/>
      </c>
      <c r="AB52" s="25" t="str">
        <f>IF(AB$3="","",IF(COUNTIFS(Base!$A$3:$A$5001,AB$3,Base!$B$3:$B$5001,$A$41,Base!$X$3:$X$5001,"&lt;&gt;")=0,"",SUMIFS(Base!$X$3:$X$5001,Base!$A$3:$A$5001,AB$3,Base!$B$3:$B$5001,$A$41)))</f>
        <v/>
      </c>
      <c r="AC52" s="25" t="str">
        <f>IF(AC$3="","",IF(COUNTIFS(Base!$A$3:$A$5001,AC$3,Base!$B$3:$B$5001,$A$41,Base!$X$3:$X$5001,"&lt;&gt;")=0,"",SUMIFS(Base!$X$3:$X$5001,Base!$A$3:$A$5001,AC$3,Base!$B$3:$B$5001,$A$41)))</f>
        <v/>
      </c>
      <c r="AD52" s="25" t="str">
        <f>IF(AD$3="","",IF(COUNTIFS(Base!$A$3:$A$5001,AD$3,Base!$B$3:$B$5001,$A$41,Base!$X$3:$X$5001,"&lt;&gt;")=0,"",SUMIFS(Base!$X$3:$X$5001,Base!$A$3:$A$5001,AD$3,Base!$B$3:$B$5001,$A$41)))</f>
        <v/>
      </c>
      <c r="AE52" s="25" t="str">
        <f>IF(AE$3="","",IF(COUNTIFS(Base!$A$3:$A$5001,AE$3,Base!$B$3:$B$5001,$A$41,Base!$X$3:$X$5001,"&lt;&gt;")=0,"",SUMIFS(Base!$X$3:$X$5001,Base!$A$3:$A$5001,AE$3,Base!$B$3:$B$5001,$A$41)))</f>
        <v/>
      </c>
      <c r="AF52" s="25" t="str">
        <f>IF(AF$3="","",IF(COUNTIFS(Base!$A$3:$A$5001,AF$3,Base!$B$3:$B$5001,$A$41,Base!$X$3:$X$5001,"&lt;&gt;")=0,"",SUMIFS(Base!$X$3:$X$5001,Base!$A$3:$A$5001,AF$3,Base!$B$3:$B$5001,$A$41)))</f>
        <v/>
      </c>
      <c r="AG52" s="25" t="str">
        <f>IF(AG$3="","",IF(COUNTIFS(Base!$A$3:$A$5001,AG$3,Base!$B$3:$B$5001,$A$41,Base!$X$3:$X$5001,"&lt;&gt;")=0,"",SUMIFS(Base!$X$3:$X$5001,Base!$A$3:$A$5001,AG$3,Base!$B$3:$B$5001,$A$41)))</f>
        <v/>
      </c>
      <c r="AH52" s="25" t="str">
        <f>IF(AH$3="","",IF(COUNTIFS(Base!$A$3:$A$5001,AH$3,Base!$B$3:$B$5001,$A$41,Base!$X$3:$X$5001,"&lt;&gt;")=0,"",SUMIFS(Base!$X$3:$X$5001,Base!$A$3:$A$5001,AH$3,Base!$B$3:$B$5001,$A$41)))</f>
        <v/>
      </c>
      <c r="AI52" s="25" t="str">
        <f>IF(AI$3="","",IF(COUNTIFS(Base!$A$3:$A$5001,AI$3,Base!$B$3:$B$5001,$A$41,Base!$X$3:$X$5001,"&lt;&gt;")=0,"",SUMIFS(Base!$X$3:$X$5001,Base!$A$3:$A$5001,AI$3,Base!$B$3:$B$5001,$A$41)))</f>
        <v/>
      </c>
      <c r="AJ52" s="26" t="str">
        <f>IF(AJ$3="","",IF(COUNTIFS(Base!$A$3:$A$5001,AJ$3,Base!$B$3:$B$5001,$A$41,Base!$X$3:$X$5001,"&lt;&gt;")=0,"",SUMIFS(Base!$X$3:$X$5001,Base!$A$3:$A$5001,AJ$3,Base!$B$3:$B$5001,$A$41)))</f>
        <v/>
      </c>
      <c r="AK52" s="27" t="str">
        <f>IFERROR(LOOKUP(9.99E+307,F52:AJ52),"")</f>
        <v/>
      </c>
    </row>
    <row r="53" ht="15.75" customHeight="1">
      <c r="A53" s="118"/>
      <c r="B53" s="106"/>
      <c r="C53" s="28" t="inlineStr">
        <is>
          <t xml:space="preserve">Posições Ocupadas</t>
        </is>
      </c>
      <c r="D53" s="29" t="str">
        <f>IFERROR(1/(1/INDEX(calculos!$C$55:$K$83,MATCH("Posições Ocupadas",calculos!$A$55:$A$83,0),MATCH($A$41,calculos!$C$54:$K$54,0))),"")</f>
        <v/>
      </c>
      <c r="E53" s="30"/>
      <c r="F53" s="31" t="str">
        <f>IF(F$3="","",IF(COUNTIFS(Base!$A$3:$A$5001,F$3,Base!$B$3:$B$5001,$A$41,Base!$Y$3:$Y$5001,"&lt;&gt;")=0,"",SUMIFS(Base!$Y$3:$Y$5001,Base!$A$3:$A$5001,F$3,Base!$B$3:$B$5001,$A$41)))</f>
        <v/>
      </c>
      <c r="G53" s="32" t="str">
        <f>IF(G$3="","",IF(COUNTIFS(Base!$A$3:$A$5001,G$3,Base!$B$3:$B$5001,$A$41,Base!$Y$3:$Y$5001,"&lt;&gt;")=0,"",SUMIFS(Base!$Y$3:$Y$5001,Base!$A$3:$A$5001,G$3,Base!$B$3:$B$5001,$A$41)))</f>
        <v/>
      </c>
      <c r="H53" s="32" t="str">
        <f>IF(H$3="","",IF(COUNTIFS(Base!$A$3:$A$5001,H$3,Base!$B$3:$B$5001,$A$41,Base!$Y$3:$Y$5001,"&lt;&gt;")=0,"",SUMIFS(Base!$Y$3:$Y$5001,Base!$A$3:$A$5001,H$3,Base!$B$3:$B$5001,$A$41)))</f>
        <v/>
      </c>
      <c r="I53" s="32" t="str">
        <f>IF(I$3="","",IF(COUNTIFS(Base!$A$3:$A$5001,I$3,Base!$B$3:$B$5001,$A$41,Base!$Y$3:$Y$5001,"&lt;&gt;")=0,"",SUMIFS(Base!$Y$3:$Y$5001,Base!$A$3:$A$5001,I$3,Base!$B$3:$B$5001,$A$41)))</f>
        <v/>
      </c>
      <c r="J53" s="32" t="str">
        <f>IF(J$3="","",IF(COUNTIFS(Base!$A$3:$A$5001,J$3,Base!$B$3:$B$5001,$A$41,Base!$Y$3:$Y$5001,"&lt;&gt;")=0,"",SUMIFS(Base!$Y$3:$Y$5001,Base!$A$3:$A$5001,J$3,Base!$B$3:$B$5001,$A$41)))</f>
        <v/>
      </c>
      <c r="K53" s="32" t="str">
        <f>IF(K$3="","",IF(COUNTIFS(Base!$A$3:$A$5001,K$3,Base!$B$3:$B$5001,$A$41,Base!$Y$3:$Y$5001,"&lt;&gt;")=0,"",SUMIFS(Base!$Y$3:$Y$5001,Base!$A$3:$A$5001,K$3,Base!$B$3:$B$5001,$A$41)))</f>
        <v/>
      </c>
      <c r="L53" s="32" t="str">
        <f>IF(L$3="","",IF(COUNTIFS(Base!$A$3:$A$5001,L$3,Base!$B$3:$B$5001,$A$41,Base!$Y$3:$Y$5001,"&lt;&gt;")=0,"",SUMIFS(Base!$Y$3:$Y$5001,Base!$A$3:$A$5001,L$3,Base!$B$3:$B$5001,$A$41)))</f>
        <v/>
      </c>
      <c r="M53" s="32" t="str">
        <f>IF(M$3="","",IF(COUNTIFS(Base!$A$3:$A$5001,M$3,Base!$B$3:$B$5001,$A$41,Base!$Y$3:$Y$5001,"&lt;&gt;")=0,"",SUMIFS(Base!$Y$3:$Y$5001,Base!$A$3:$A$5001,M$3,Base!$B$3:$B$5001,$A$41)))</f>
        <v/>
      </c>
      <c r="N53" s="32" t="str">
        <f>IF(N$3="","",IF(COUNTIFS(Base!$A$3:$A$5001,N$3,Base!$B$3:$B$5001,$A$41,Base!$Y$3:$Y$5001,"&lt;&gt;")=0,"",SUMIFS(Base!$Y$3:$Y$5001,Base!$A$3:$A$5001,N$3,Base!$B$3:$B$5001,$A$41)))</f>
        <v/>
      </c>
      <c r="O53" s="32" t="str">
        <f>IF(O$3="","",IF(COUNTIFS(Base!$A$3:$A$5001,O$3,Base!$B$3:$B$5001,$A$41,Base!$Y$3:$Y$5001,"&lt;&gt;")=0,"",SUMIFS(Base!$Y$3:$Y$5001,Base!$A$3:$A$5001,O$3,Base!$B$3:$B$5001,$A$41)))</f>
        <v/>
      </c>
      <c r="P53" s="32" t="str">
        <f>IF(P$3="","",IF(COUNTIFS(Base!$A$3:$A$5001,P$3,Base!$B$3:$B$5001,$A$41,Base!$Y$3:$Y$5001,"&lt;&gt;")=0,"",SUMIFS(Base!$Y$3:$Y$5001,Base!$A$3:$A$5001,P$3,Base!$B$3:$B$5001,$A$41)))</f>
        <v/>
      </c>
      <c r="Q53" s="32" t="str">
        <f>IF(Q$3="","",IF(COUNTIFS(Base!$A$3:$A$5001,Q$3,Base!$B$3:$B$5001,$A$41,Base!$Y$3:$Y$5001,"&lt;&gt;")=0,"",SUMIFS(Base!$Y$3:$Y$5001,Base!$A$3:$A$5001,Q$3,Base!$B$3:$B$5001,$A$41)))</f>
        <v/>
      </c>
      <c r="R53" s="32" t="str">
        <f>IF(R$3="","",IF(COUNTIFS(Base!$A$3:$A$5001,R$3,Base!$B$3:$B$5001,$A$41,Base!$Y$3:$Y$5001,"&lt;&gt;")=0,"",SUMIFS(Base!$Y$3:$Y$5001,Base!$A$3:$A$5001,R$3,Base!$B$3:$B$5001,$A$41)))</f>
        <v/>
      </c>
      <c r="S53" s="32" t="str">
        <f>IF(S$3="","",IF(COUNTIFS(Base!$A$3:$A$5001,S$3,Base!$B$3:$B$5001,$A$41,Base!$Y$3:$Y$5001,"&lt;&gt;")=0,"",SUMIFS(Base!$Y$3:$Y$5001,Base!$A$3:$A$5001,S$3,Base!$B$3:$B$5001,$A$41)))</f>
        <v/>
      </c>
      <c r="T53" s="32" t="str">
        <f>IF(T$3="","",IF(COUNTIFS(Base!$A$3:$A$5001,T$3,Base!$B$3:$B$5001,$A$41,Base!$Y$3:$Y$5001,"&lt;&gt;")=0,"",SUMIFS(Base!$Y$3:$Y$5001,Base!$A$3:$A$5001,T$3,Base!$B$3:$B$5001,$A$41)))</f>
        <v/>
      </c>
      <c r="U53" s="32" t="str">
        <f>IF(U$3="","",IF(COUNTIFS(Base!$A$3:$A$5001,U$3,Base!$B$3:$B$5001,$A$41,Base!$Y$3:$Y$5001,"&lt;&gt;")=0,"",SUMIFS(Base!$Y$3:$Y$5001,Base!$A$3:$A$5001,U$3,Base!$B$3:$B$5001,$A$41)))</f>
        <v/>
      </c>
      <c r="V53" s="32" t="str">
        <f>IF(V$3="","",IF(COUNTIFS(Base!$A$3:$A$5001,V$3,Base!$B$3:$B$5001,$A$41,Base!$Y$3:$Y$5001,"&lt;&gt;")=0,"",SUMIFS(Base!$Y$3:$Y$5001,Base!$A$3:$A$5001,V$3,Base!$B$3:$B$5001,$A$41)))</f>
        <v/>
      </c>
      <c r="W53" s="32" t="str">
        <f>IF(W$3="","",IF(COUNTIFS(Base!$A$3:$A$5001,W$3,Base!$B$3:$B$5001,$A$41,Base!$Y$3:$Y$5001,"&lt;&gt;")=0,"",SUMIFS(Base!$Y$3:$Y$5001,Base!$A$3:$A$5001,W$3,Base!$B$3:$B$5001,$A$41)))</f>
        <v/>
      </c>
      <c r="X53" s="32" t="str">
        <f>IF(X$3="","",IF(COUNTIFS(Base!$A$3:$A$5001,X$3,Base!$B$3:$B$5001,$A$41,Base!$Y$3:$Y$5001,"&lt;&gt;")=0,"",SUMIFS(Base!$Y$3:$Y$5001,Base!$A$3:$A$5001,X$3,Base!$B$3:$B$5001,$A$41)))</f>
        <v/>
      </c>
      <c r="Y53" s="32" t="str">
        <f>IF(Y$3="","",IF(COUNTIFS(Base!$A$3:$A$5001,Y$3,Base!$B$3:$B$5001,$A$41,Base!$Y$3:$Y$5001,"&lt;&gt;")=0,"",SUMIFS(Base!$Y$3:$Y$5001,Base!$A$3:$A$5001,Y$3,Base!$B$3:$B$5001,$A$41)))</f>
        <v/>
      </c>
      <c r="Z53" s="32" t="str">
        <f>IF(Z$3="","",IF(COUNTIFS(Base!$A$3:$A$5001,Z$3,Base!$B$3:$B$5001,$A$41,Base!$Y$3:$Y$5001,"&lt;&gt;")=0,"",SUMIFS(Base!$Y$3:$Y$5001,Base!$A$3:$A$5001,Z$3,Base!$B$3:$B$5001,$A$41)))</f>
        <v/>
      </c>
      <c r="AA53" s="32" t="str">
        <f>IF(AA$3="","",IF(COUNTIFS(Base!$A$3:$A$5001,AA$3,Base!$B$3:$B$5001,$A$41,Base!$Y$3:$Y$5001,"&lt;&gt;")=0,"",SUMIFS(Base!$Y$3:$Y$5001,Base!$A$3:$A$5001,AA$3,Base!$B$3:$B$5001,$A$41)))</f>
        <v/>
      </c>
      <c r="AB53" s="32" t="str">
        <f>IF(AB$3="","",IF(COUNTIFS(Base!$A$3:$A$5001,AB$3,Base!$B$3:$B$5001,$A$41,Base!$Y$3:$Y$5001,"&lt;&gt;")=0,"",SUMIFS(Base!$Y$3:$Y$5001,Base!$A$3:$A$5001,AB$3,Base!$B$3:$B$5001,$A$41)))</f>
        <v/>
      </c>
      <c r="AC53" s="32" t="str">
        <f>IF(AC$3="","",IF(COUNTIFS(Base!$A$3:$A$5001,AC$3,Base!$B$3:$B$5001,$A$41,Base!$Y$3:$Y$5001,"&lt;&gt;")=0,"",SUMIFS(Base!$Y$3:$Y$5001,Base!$A$3:$A$5001,AC$3,Base!$B$3:$B$5001,$A$41)))</f>
        <v/>
      </c>
      <c r="AD53" s="32" t="str">
        <f>IF(AD$3="","",IF(COUNTIFS(Base!$A$3:$A$5001,AD$3,Base!$B$3:$B$5001,$A$41,Base!$Y$3:$Y$5001,"&lt;&gt;")=0,"",SUMIFS(Base!$Y$3:$Y$5001,Base!$A$3:$A$5001,AD$3,Base!$B$3:$B$5001,$A$41)))</f>
        <v/>
      </c>
      <c r="AE53" s="32" t="str">
        <f>IF(AE$3="","",IF(COUNTIFS(Base!$A$3:$A$5001,AE$3,Base!$B$3:$B$5001,$A$41,Base!$Y$3:$Y$5001,"&lt;&gt;")=0,"",SUMIFS(Base!$Y$3:$Y$5001,Base!$A$3:$A$5001,AE$3,Base!$B$3:$B$5001,$A$41)))</f>
        <v/>
      </c>
      <c r="AF53" s="32" t="str">
        <f>IF(AF$3="","",IF(COUNTIFS(Base!$A$3:$A$5001,AF$3,Base!$B$3:$B$5001,$A$41,Base!$Y$3:$Y$5001,"&lt;&gt;")=0,"",SUMIFS(Base!$Y$3:$Y$5001,Base!$A$3:$A$5001,AF$3,Base!$B$3:$B$5001,$A$41)))</f>
        <v/>
      </c>
      <c r="AG53" s="32" t="str">
        <f>IF(AG$3="","",IF(COUNTIFS(Base!$A$3:$A$5001,AG$3,Base!$B$3:$B$5001,$A$41,Base!$Y$3:$Y$5001,"&lt;&gt;")=0,"",SUMIFS(Base!$Y$3:$Y$5001,Base!$A$3:$A$5001,AG$3,Base!$B$3:$B$5001,$A$41)))</f>
        <v/>
      </c>
      <c r="AH53" s="32" t="str">
        <f>IF(AH$3="","",IF(COUNTIFS(Base!$A$3:$A$5001,AH$3,Base!$B$3:$B$5001,$A$41,Base!$Y$3:$Y$5001,"&lt;&gt;")=0,"",SUMIFS(Base!$Y$3:$Y$5001,Base!$A$3:$A$5001,AH$3,Base!$B$3:$B$5001,$A$41)))</f>
        <v/>
      </c>
      <c r="AI53" s="32" t="str">
        <f>IF(AI$3="","",IF(COUNTIFS(Base!$A$3:$A$5001,AI$3,Base!$B$3:$B$5001,$A$41,Base!$Y$3:$Y$5001,"&lt;&gt;")=0,"",SUMIFS(Base!$Y$3:$Y$5001,Base!$A$3:$A$5001,AI$3,Base!$B$3:$B$5001,$A$41)))</f>
        <v/>
      </c>
      <c r="AJ53" s="33" t="str">
        <f>IF(AJ$3="","",IF(COUNTIFS(Base!$A$3:$A$5001,AJ$3,Base!$B$3:$B$5001,$A$41,Base!$Y$3:$Y$5001,"&lt;&gt;")=0,"",SUMIFS(Base!$Y$3:$Y$5001,Base!$A$3:$A$5001,AJ$3,Base!$B$3:$B$5001,$A$41)))</f>
        <v/>
      </c>
      <c r="AK53" s="34" t="str">
        <f>IFERROR(LOOKUP(9.99E+307,F53:AJ53),"")</f>
        <v/>
      </c>
    </row>
    <row r="54" ht="15.75" customHeight="1">
      <c r="A54" s="118"/>
      <c r="B54" s="107"/>
      <c r="C54" s="35" t="inlineStr">
        <is>
          <t xml:space="preserve">Taxa de Ocupação</t>
        </is>
      </c>
      <c r="D54" s="81" t="str">
        <f>IFERROR(1/(1/INDEX(calculos!$C$55:$K$83,MATCH("Taxa de Ocupação",calculos!$A$55:$A$83,0),MATCH($A$41,calculos!$C$54:$K$54,0))),"")</f>
        <v/>
      </c>
      <c r="E54" s="37"/>
      <c r="F54" s="82" t="str">
        <f>IF(AND(ISNUMBER(F52),ISNUMBER(F53)),IF(F52&gt;0,F53/F52,""),"")</f>
        <v/>
      </c>
      <c r="G54" s="83" t="str">
        <f>IF(AND(ISNUMBER(G52),ISNUMBER(G53)),IF(G52&gt;0,G53/G52,""),"")</f>
        <v/>
      </c>
      <c r="H54" s="83" t="str">
        <f>IF(AND(ISNUMBER(H52),ISNUMBER(H53)),IF(H52&gt;0,H53/H52,""),"")</f>
        <v/>
      </c>
      <c r="I54" s="83" t="str">
        <f>IF(AND(ISNUMBER(I52),ISNUMBER(I53)),IF(I52&gt;0,I53/I52,""),"")</f>
        <v/>
      </c>
      <c r="J54" s="83" t="str">
        <f>IF(AND(ISNUMBER(J52),ISNUMBER(J53)),IF(J52&gt;0,J53/J52,""),"")</f>
        <v/>
      </c>
      <c r="K54" s="83" t="str">
        <f>IF(AND(ISNUMBER(K52),ISNUMBER(K53)),IF(K52&gt;0,K53/K52,""),"")</f>
        <v/>
      </c>
      <c r="L54" s="83" t="str">
        <f>IF(AND(ISNUMBER(L52),ISNUMBER(L53)),IF(L52&gt;0,L53/L52,""),"")</f>
        <v/>
      </c>
      <c r="M54" s="83" t="str">
        <f>IF(AND(ISNUMBER(M52),ISNUMBER(M53)),IF(M52&gt;0,M53/M52,""),"")</f>
        <v/>
      </c>
      <c r="N54" s="83" t="str">
        <f>IF(AND(ISNUMBER(N52),ISNUMBER(N53)),IF(N52&gt;0,N53/N52,""),"")</f>
        <v/>
      </c>
      <c r="O54" s="83" t="str">
        <f>IF(AND(ISNUMBER(O52),ISNUMBER(O53)),IF(O52&gt;0,O53/O52,""),"")</f>
        <v/>
      </c>
      <c r="P54" s="83" t="str">
        <f>IF(AND(ISNUMBER(P52),ISNUMBER(P53)),IF(P52&gt;0,P53/P52,""),"")</f>
        <v/>
      </c>
      <c r="Q54" s="83" t="str">
        <f>IF(AND(ISNUMBER(Q52),ISNUMBER(Q53)),IF(Q52&gt;0,Q53/Q52,""),"")</f>
        <v/>
      </c>
      <c r="R54" s="83" t="str">
        <f>IF(AND(ISNUMBER(R52),ISNUMBER(R53)),IF(R52&gt;0,R53/R52,""),"")</f>
        <v/>
      </c>
      <c r="S54" s="83" t="str">
        <f>IF(AND(ISNUMBER(S52),ISNUMBER(S53)),IF(S52&gt;0,S53/S52,""),"")</f>
        <v/>
      </c>
      <c r="T54" s="83" t="str">
        <f>IF(AND(ISNUMBER(T52),ISNUMBER(T53)),IF(T52&gt;0,T53/T52,""),"")</f>
        <v/>
      </c>
      <c r="U54" s="83" t="str">
        <f>IF(AND(ISNUMBER(U52),ISNUMBER(U53)),IF(U52&gt;0,U53/U52,""),"")</f>
        <v/>
      </c>
      <c r="V54" s="83" t="str">
        <f>IF(AND(ISNUMBER(V52),ISNUMBER(V53)),IF(V52&gt;0,V53/V52,""),"")</f>
        <v/>
      </c>
      <c r="W54" s="83" t="str">
        <f>IF(AND(ISNUMBER(W52),ISNUMBER(W53)),IF(W52&gt;0,W53/W52,""),"")</f>
        <v/>
      </c>
      <c r="X54" s="83" t="str">
        <f>IF(AND(ISNUMBER(X52),ISNUMBER(X53)),IF(X52&gt;0,X53/X52,""),"")</f>
        <v/>
      </c>
      <c r="Y54" s="83" t="str">
        <f>IF(AND(ISNUMBER(Y52),ISNUMBER(Y53)),IF(Y52&gt;0,Y53/Y52,""),"")</f>
        <v/>
      </c>
      <c r="Z54" s="83" t="str">
        <f>IF(AND(ISNUMBER(Z52),ISNUMBER(Z53)),IF(Z52&gt;0,Z53/Z52,""),"")</f>
        <v/>
      </c>
      <c r="AA54" s="83" t="str">
        <f>IF(AND(ISNUMBER(AA52),ISNUMBER(AA53)),IF(AA52&gt;0,AA53/AA52,""),"")</f>
        <v/>
      </c>
      <c r="AB54" s="83" t="str">
        <f>IF(AND(ISNUMBER(AB52),ISNUMBER(AB53)),IF(AB52&gt;0,AB53/AB52,""),"")</f>
        <v/>
      </c>
      <c r="AC54" s="83" t="str">
        <f>IF(AND(ISNUMBER(AC52),ISNUMBER(AC53)),IF(AC52&gt;0,AC53/AC52,""),"")</f>
        <v/>
      </c>
      <c r="AD54" s="83" t="str">
        <f>IF(AND(ISNUMBER(AD52),ISNUMBER(AD53)),IF(AD52&gt;0,AD53/AD52,""),"")</f>
        <v/>
      </c>
      <c r="AE54" s="83" t="str">
        <f>IF(AND(ISNUMBER(AE52),ISNUMBER(AE53)),IF(AE52&gt;0,AE53/AE52,""),"")</f>
        <v/>
      </c>
      <c r="AF54" s="83" t="str">
        <f>IF(AND(ISNUMBER(AF52),ISNUMBER(AF53)),IF(AF52&gt;0,AF53/AF52,""),"")</f>
        <v/>
      </c>
      <c r="AG54" s="83" t="str">
        <f>IF(AND(ISNUMBER(AG52),ISNUMBER(AG53)),IF(AG52&gt;0,AG53/AG52,""),"")</f>
        <v/>
      </c>
      <c r="AH54" s="83" t="str">
        <f>IF(AND(ISNUMBER(AH52),ISNUMBER(AH53)),IF(AH52&gt;0,AH53/AH52,""),"")</f>
        <v/>
      </c>
      <c r="AI54" s="83" t="str">
        <f>IF(AND(ISNUMBER(AI52),ISNUMBER(AI53)),IF(AI52&gt;0,AI53/AI52,""),"")</f>
        <v/>
      </c>
      <c r="AJ54" s="84" t="str">
        <f>IF(AND(ISNUMBER(AJ52),ISNUMBER(AJ53)),IF(AJ52&gt;0,AJ53/AJ52,""),"")</f>
        <v/>
      </c>
      <c r="AK54" s="81" t="str">
        <f>IF(AND(ISNUMBER(AK52),ISNUMBER(AK53)),IF(AK52&gt;0,AK53/AK52,""),"")</f>
        <v/>
      </c>
    </row>
    <row r="55" ht="15.75" customHeight="1">
      <c r="A55" s="118"/>
      <c r="B55" s="114" t="inlineStr">
        <is>
          <t xml:space="preserve">GENTE</t>
        </is>
      </c>
      <c r="C55" s="85" t="inlineStr">
        <is>
          <t xml:space="preserve">Efetivo</t>
        </is>
      </c>
      <c r="D55" s="86" t="str">
        <f>IFERROR(1/(1/INDEX(calculos!$C$55:$K$83,MATCH("Efetivo",calculos!$A$55:$A$83,0),MATCH($A$41,calculos!$C$54:$K$54,0))),"")</f>
        <v/>
      </c>
      <c r="E55" s="87"/>
      <c r="F55" s="88" t="str">
        <f>IF(F$3="","",IF(COUNTIFS(Base!$A$3:$A$5001,F$3,Base!$B$3:$B$5001,$A$41,Base!$Z$3:$Z$5001,"&lt;&gt;")=0,"",SUMIFS(Base!$Z$3:$Z$5001,Base!$A$3:$A$5001,F$3,Base!$B$3:$B$5001,$A$41)))</f>
        <v/>
      </c>
      <c r="G55" s="89" t="str">
        <f>IF(G$3="","",IF(COUNTIFS(Base!$A$3:$A$5001,G$3,Base!$B$3:$B$5001,$A$41,Base!$Z$3:$Z$5001,"&lt;&gt;")=0,"",SUMIFS(Base!$Z$3:$Z$5001,Base!$A$3:$A$5001,G$3,Base!$B$3:$B$5001,$A$41)))</f>
        <v/>
      </c>
      <c r="H55" s="89" t="str">
        <f>IF(H$3="","",IF(COUNTIFS(Base!$A$3:$A$5001,H$3,Base!$B$3:$B$5001,$A$41,Base!$Z$3:$Z$5001,"&lt;&gt;")=0,"",SUMIFS(Base!$Z$3:$Z$5001,Base!$A$3:$A$5001,H$3,Base!$B$3:$B$5001,$A$41)))</f>
        <v/>
      </c>
      <c r="I55" s="89" t="str">
        <f>IF(I$3="","",IF(COUNTIFS(Base!$A$3:$A$5001,I$3,Base!$B$3:$B$5001,$A$41,Base!$Z$3:$Z$5001,"&lt;&gt;")=0,"",SUMIFS(Base!$Z$3:$Z$5001,Base!$A$3:$A$5001,I$3,Base!$B$3:$B$5001,$A$41)))</f>
        <v/>
      </c>
      <c r="J55" s="89" t="str">
        <f>IF(J$3="","",IF(COUNTIFS(Base!$A$3:$A$5001,J$3,Base!$B$3:$B$5001,$A$41,Base!$Z$3:$Z$5001,"&lt;&gt;")=0,"",SUMIFS(Base!$Z$3:$Z$5001,Base!$A$3:$A$5001,J$3,Base!$B$3:$B$5001,$A$41)))</f>
        <v/>
      </c>
      <c r="K55" s="89" t="str">
        <f>IF(K$3="","",IF(COUNTIFS(Base!$A$3:$A$5001,K$3,Base!$B$3:$B$5001,$A$41,Base!$Z$3:$Z$5001,"&lt;&gt;")=0,"",SUMIFS(Base!$Z$3:$Z$5001,Base!$A$3:$A$5001,K$3,Base!$B$3:$B$5001,$A$41)))</f>
        <v/>
      </c>
      <c r="L55" s="89" t="str">
        <f>IF(L$3="","",IF(COUNTIFS(Base!$A$3:$A$5001,L$3,Base!$B$3:$B$5001,$A$41,Base!$Z$3:$Z$5001,"&lt;&gt;")=0,"",SUMIFS(Base!$Z$3:$Z$5001,Base!$A$3:$A$5001,L$3,Base!$B$3:$B$5001,$A$41)))</f>
        <v/>
      </c>
      <c r="M55" s="89" t="str">
        <f>IF(M$3="","",IF(COUNTIFS(Base!$A$3:$A$5001,M$3,Base!$B$3:$B$5001,$A$41,Base!$Z$3:$Z$5001,"&lt;&gt;")=0,"",SUMIFS(Base!$Z$3:$Z$5001,Base!$A$3:$A$5001,M$3,Base!$B$3:$B$5001,$A$41)))</f>
        <v/>
      </c>
      <c r="N55" s="89" t="str">
        <f>IF(N$3="","",IF(COUNTIFS(Base!$A$3:$A$5001,N$3,Base!$B$3:$B$5001,$A$41,Base!$Z$3:$Z$5001,"&lt;&gt;")=0,"",SUMIFS(Base!$Z$3:$Z$5001,Base!$A$3:$A$5001,N$3,Base!$B$3:$B$5001,$A$41)))</f>
        <v/>
      </c>
      <c r="O55" s="89" t="str">
        <f>IF(O$3="","",IF(COUNTIFS(Base!$A$3:$A$5001,O$3,Base!$B$3:$B$5001,$A$41,Base!$Z$3:$Z$5001,"&lt;&gt;")=0,"",SUMIFS(Base!$Z$3:$Z$5001,Base!$A$3:$A$5001,O$3,Base!$B$3:$B$5001,$A$41)))</f>
        <v/>
      </c>
      <c r="P55" s="89" t="str">
        <f>IF(P$3="","",IF(COUNTIFS(Base!$A$3:$A$5001,P$3,Base!$B$3:$B$5001,$A$41,Base!$Z$3:$Z$5001,"&lt;&gt;")=0,"",SUMIFS(Base!$Z$3:$Z$5001,Base!$A$3:$A$5001,P$3,Base!$B$3:$B$5001,$A$41)))</f>
        <v/>
      </c>
      <c r="Q55" s="89" t="str">
        <f>IF(Q$3="","",IF(COUNTIFS(Base!$A$3:$A$5001,Q$3,Base!$B$3:$B$5001,$A$41,Base!$Z$3:$Z$5001,"&lt;&gt;")=0,"",SUMIFS(Base!$Z$3:$Z$5001,Base!$A$3:$A$5001,Q$3,Base!$B$3:$B$5001,$A$41)))</f>
        <v/>
      </c>
      <c r="R55" s="89" t="str">
        <f>IF(R$3="","",IF(COUNTIFS(Base!$A$3:$A$5001,R$3,Base!$B$3:$B$5001,$A$41,Base!$Z$3:$Z$5001,"&lt;&gt;")=0,"",SUMIFS(Base!$Z$3:$Z$5001,Base!$A$3:$A$5001,R$3,Base!$B$3:$B$5001,$A$41)))</f>
        <v/>
      </c>
      <c r="S55" s="89" t="str">
        <f>IF(S$3="","",IF(COUNTIFS(Base!$A$3:$A$5001,S$3,Base!$B$3:$B$5001,$A$41,Base!$Z$3:$Z$5001,"&lt;&gt;")=0,"",SUMIFS(Base!$Z$3:$Z$5001,Base!$A$3:$A$5001,S$3,Base!$B$3:$B$5001,$A$41)))</f>
        <v/>
      </c>
      <c r="T55" s="89" t="str">
        <f>IF(T$3="","",IF(COUNTIFS(Base!$A$3:$A$5001,T$3,Base!$B$3:$B$5001,$A$41,Base!$Z$3:$Z$5001,"&lt;&gt;")=0,"",SUMIFS(Base!$Z$3:$Z$5001,Base!$A$3:$A$5001,T$3,Base!$B$3:$B$5001,$A$41)))</f>
        <v/>
      </c>
      <c r="U55" s="89" t="str">
        <f>IF(U$3="","",IF(COUNTIFS(Base!$A$3:$A$5001,U$3,Base!$B$3:$B$5001,$A$41,Base!$Z$3:$Z$5001,"&lt;&gt;")=0,"",SUMIFS(Base!$Z$3:$Z$5001,Base!$A$3:$A$5001,U$3,Base!$B$3:$B$5001,$A$41)))</f>
        <v/>
      </c>
      <c r="V55" s="89" t="str">
        <f>IF(V$3="","",IF(COUNTIFS(Base!$A$3:$A$5001,V$3,Base!$B$3:$B$5001,$A$41,Base!$Z$3:$Z$5001,"&lt;&gt;")=0,"",SUMIFS(Base!$Z$3:$Z$5001,Base!$A$3:$A$5001,V$3,Base!$B$3:$B$5001,$A$41)))</f>
        <v/>
      </c>
      <c r="W55" s="89" t="str">
        <f>IF(W$3="","",IF(COUNTIFS(Base!$A$3:$A$5001,W$3,Base!$B$3:$B$5001,$A$41,Base!$Z$3:$Z$5001,"&lt;&gt;")=0,"",SUMIFS(Base!$Z$3:$Z$5001,Base!$A$3:$A$5001,W$3,Base!$B$3:$B$5001,$A$41)))</f>
        <v/>
      </c>
      <c r="X55" s="89" t="str">
        <f>IF(X$3="","",IF(COUNTIFS(Base!$A$3:$A$5001,X$3,Base!$B$3:$B$5001,$A$41,Base!$Z$3:$Z$5001,"&lt;&gt;")=0,"",SUMIFS(Base!$Z$3:$Z$5001,Base!$A$3:$A$5001,X$3,Base!$B$3:$B$5001,$A$41)))</f>
        <v/>
      </c>
      <c r="Y55" s="89" t="str">
        <f>IF(Y$3="","",IF(COUNTIFS(Base!$A$3:$A$5001,Y$3,Base!$B$3:$B$5001,$A$41,Base!$Z$3:$Z$5001,"&lt;&gt;")=0,"",SUMIFS(Base!$Z$3:$Z$5001,Base!$A$3:$A$5001,Y$3,Base!$B$3:$B$5001,$A$41)))</f>
        <v/>
      </c>
      <c r="Z55" s="89" t="str">
        <f>IF(Z$3="","",IF(COUNTIFS(Base!$A$3:$A$5001,Z$3,Base!$B$3:$B$5001,$A$41,Base!$Z$3:$Z$5001,"&lt;&gt;")=0,"",SUMIFS(Base!$Z$3:$Z$5001,Base!$A$3:$A$5001,Z$3,Base!$B$3:$B$5001,$A$41)))</f>
        <v/>
      </c>
      <c r="AA55" s="89" t="str">
        <f>IF(AA$3="","",IF(COUNTIFS(Base!$A$3:$A$5001,AA$3,Base!$B$3:$B$5001,$A$41,Base!$Z$3:$Z$5001,"&lt;&gt;")=0,"",SUMIFS(Base!$Z$3:$Z$5001,Base!$A$3:$A$5001,AA$3,Base!$B$3:$B$5001,$A$41)))</f>
        <v/>
      </c>
      <c r="AB55" s="89" t="str">
        <f>IF(AB$3="","",IF(COUNTIFS(Base!$A$3:$A$5001,AB$3,Base!$B$3:$B$5001,$A$41,Base!$Z$3:$Z$5001,"&lt;&gt;")=0,"",SUMIFS(Base!$Z$3:$Z$5001,Base!$A$3:$A$5001,AB$3,Base!$B$3:$B$5001,$A$41)))</f>
        <v/>
      </c>
      <c r="AC55" s="89" t="str">
        <f>IF(AC$3="","",IF(COUNTIFS(Base!$A$3:$A$5001,AC$3,Base!$B$3:$B$5001,$A$41,Base!$Z$3:$Z$5001,"&lt;&gt;")=0,"",SUMIFS(Base!$Z$3:$Z$5001,Base!$A$3:$A$5001,AC$3,Base!$B$3:$B$5001,$A$41)))</f>
        <v/>
      </c>
      <c r="AD55" s="89" t="str">
        <f>IF(AD$3="","",IF(COUNTIFS(Base!$A$3:$A$5001,AD$3,Base!$B$3:$B$5001,$A$41,Base!$Z$3:$Z$5001,"&lt;&gt;")=0,"",SUMIFS(Base!$Z$3:$Z$5001,Base!$A$3:$A$5001,AD$3,Base!$B$3:$B$5001,$A$41)))</f>
        <v/>
      </c>
      <c r="AE55" s="89" t="str">
        <f>IF(AE$3="","",IF(COUNTIFS(Base!$A$3:$A$5001,AE$3,Base!$B$3:$B$5001,$A$41,Base!$Z$3:$Z$5001,"&lt;&gt;")=0,"",SUMIFS(Base!$Z$3:$Z$5001,Base!$A$3:$A$5001,AE$3,Base!$B$3:$B$5001,$A$41)))</f>
        <v/>
      </c>
      <c r="AF55" s="89" t="str">
        <f>IF(AF$3="","",IF(COUNTIFS(Base!$A$3:$A$5001,AF$3,Base!$B$3:$B$5001,$A$41,Base!$Z$3:$Z$5001,"&lt;&gt;")=0,"",SUMIFS(Base!$Z$3:$Z$5001,Base!$A$3:$A$5001,AF$3,Base!$B$3:$B$5001,$A$41)))</f>
        <v/>
      </c>
      <c r="AG55" s="89" t="str">
        <f>IF(AG$3="","",IF(COUNTIFS(Base!$A$3:$A$5001,AG$3,Base!$B$3:$B$5001,$A$41,Base!$Z$3:$Z$5001,"&lt;&gt;")=0,"",SUMIFS(Base!$Z$3:$Z$5001,Base!$A$3:$A$5001,AG$3,Base!$B$3:$B$5001,$A$41)))</f>
        <v/>
      </c>
      <c r="AH55" s="89" t="str">
        <f>IF(AH$3="","",IF(COUNTIFS(Base!$A$3:$A$5001,AH$3,Base!$B$3:$B$5001,$A$41,Base!$Z$3:$Z$5001,"&lt;&gt;")=0,"",SUMIFS(Base!$Z$3:$Z$5001,Base!$A$3:$A$5001,AH$3,Base!$B$3:$B$5001,$A$41)))</f>
        <v/>
      </c>
      <c r="AI55" s="89" t="str">
        <f>IF(AI$3="","",IF(COUNTIFS(Base!$A$3:$A$5001,AI$3,Base!$B$3:$B$5001,$A$41,Base!$Z$3:$Z$5001,"&lt;&gt;")=0,"",SUMIFS(Base!$Z$3:$Z$5001,Base!$A$3:$A$5001,AI$3,Base!$B$3:$B$5001,$A$41)))</f>
        <v/>
      </c>
      <c r="AJ55" s="90" t="str">
        <f>IF(AJ$3="","",IF(COUNTIFS(Base!$A$3:$A$5001,AJ$3,Base!$B$3:$B$5001,$A$41,Base!$Z$3:$Z$5001,"&lt;&gt;")=0,"",SUMIFS(Base!$Z$3:$Z$5001,Base!$A$3:$A$5001,AJ$3,Base!$B$3:$B$5001,$A$41)))</f>
        <v/>
      </c>
      <c r="AK55" s="91" t="str">
        <f>IFERROR(LOOKUP(9.99E+307,F55:AJ55),"")</f>
        <v/>
      </c>
    </row>
    <row r="56" ht="15.75" customHeight="1">
      <c r="A56" s="118"/>
      <c r="B56" s="115"/>
      <c r="C56" s="92" t="inlineStr">
        <is>
          <t xml:space="preserve">Falta</t>
        </is>
      </c>
      <c r="D56" s="93" t="str">
        <f>IFERROR(1/(1/INDEX(calculos!$C$55:$K$83,MATCH("Falta",calculos!$A$55:$A$83,0),MATCH($A$41,calculos!$C$54:$K$54,0))),"")</f>
        <v/>
      </c>
      <c r="E56" s="94"/>
      <c r="F56" s="95" t="str">
        <f>IF(F$3="","",IF(COUNTIFS(Base!$A$3:$A$5001,F$3,Base!$B$3:$B$5001,$A$41,Base!$AA$3:$AA$5001,"&lt;&gt;")=0,"",SUMIFS(Base!$AA$3:$AA$5001,Base!$A$3:$A$5001,F$3,Base!$B$3:$B$5001,$A$41)))</f>
        <v/>
      </c>
      <c r="G56" s="96" t="str">
        <f>IF(G$3="","",IF(COUNTIFS(Base!$A$3:$A$5001,G$3,Base!$B$3:$B$5001,$A$41,Base!$AA$3:$AA$5001,"&lt;&gt;")=0,"",SUMIFS(Base!$AA$3:$AA$5001,Base!$A$3:$A$5001,G$3,Base!$B$3:$B$5001,$A$41)))</f>
        <v/>
      </c>
      <c r="H56" s="96" t="str">
        <f>IF(H$3="","",IF(COUNTIFS(Base!$A$3:$A$5001,H$3,Base!$B$3:$B$5001,$A$41,Base!$AA$3:$AA$5001,"&lt;&gt;")=0,"",SUMIFS(Base!$AA$3:$AA$5001,Base!$A$3:$A$5001,H$3,Base!$B$3:$B$5001,$A$41)))</f>
        <v/>
      </c>
      <c r="I56" s="96" t="str">
        <f>IF(I$3="","",IF(COUNTIFS(Base!$A$3:$A$5001,I$3,Base!$B$3:$B$5001,$A$41,Base!$AA$3:$AA$5001,"&lt;&gt;")=0,"",SUMIFS(Base!$AA$3:$AA$5001,Base!$A$3:$A$5001,I$3,Base!$B$3:$B$5001,$A$41)))</f>
        <v/>
      </c>
      <c r="J56" s="96" t="str">
        <f>IF(J$3="","",IF(COUNTIFS(Base!$A$3:$A$5001,J$3,Base!$B$3:$B$5001,$A$41,Base!$AA$3:$AA$5001,"&lt;&gt;")=0,"",SUMIFS(Base!$AA$3:$AA$5001,Base!$A$3:$A$5001,J$3,Base!$B$3:$B$5001,$A$41)))</f>
        <v/>
      </c>
      <c r="K56" s="96" t="str">
        <f>IF(K$3="","",IF(COUNTIFS(Base!$A$3:$A$5001,K$3,Base!$B$3:$B$5001,$A$41,Base!$AA$3:$AA$5001,"&lt;&gt;")=0,"",SUMIFS(Base!$AA$3:$AA$5001,Base!$A$3:$A$5001,K$3,Base!$B$3:$B$5001,$A$41)))</f>
        <v/>
      </c>
      <c r="L56" s="96" t="str">
        <f>IF(L$3="","",IF(COUNTIFS(Base!$A$3:$A$5001,L$3,Base!$B$3:$B$5001,$A$41,Base!$AA$3:$AA$5001,"&lt;&gt;")=0,"",SUMIFS(Base!$AA$3:$AA$5001,Base!$A$3:$A$5001,L$3,Base!$B$3:$B$5001,$A$41)))</f>
        <v/>
      </c>
      <c r="M56" s="96" t="str">
        <f>IF(M$3="","",IF(COUNTIFS(Base!$A$3:$A$5001,M$3,Base!$B$3:$B$5001,$A$41,Base!$AA$3:$AA$5001,"&lt;&gt;")=0,"",SUMIFS(Base!$AA$3:$AA$5001,Base!$A$3:$A$5001,M$3,Base!$B$3:$B$5001,$A$41)))</f>
        <v/>
      </c>
      <c r="N56" s="96" t="str">
        <f>IF(N$3="","",IF(COUNTIFS(Base!$A$3:$A$5001,N$3,Base!$B$3:$B$5001,$A$41,Base!$AA$3:$AA$5001,"&lt;&gt;")=0,"",SUMIFS(Base!$AA$3:$AA$5001,Base!$A$3:$A$5001,N$3,Base!$B$3:$B$5001,$A$41)))</f>
        <v/>
      </c>
      <c r="O56" s="96" t="str">
        <f>IF(O$3="","",IF(COUNTIFS(Base!$A$3:$A$5001,O$3,Base!$B$3:$B$5001,$A$41,Base!$AA$3:$AA$5001,"&lt;&gt;")=0,"",SUMIFS(Base!$AA$3:$AA$5001,Base!$A$3:$A$5001,O$3,Base!$B$3:$B$5001,$A$41)))</f>
        <v/>
      </c>
      <c r="P56" s="96" t="str">
        <f>IF(P$3="","",IF(COUNTIFS(Base!$A$3:$A$5001,P$3,Base!$B$3:$B$5001,$A$41,Base!$AA$3:$AA$5001,"&lt;&gt;")=0,"",SUMIFS(Base!$AA$3:$AA$5001,Base!$A$3:$A$5001,P$3,Base!$B$3:$B$5001,$A$41)))</f>
        <v/>
      </c>
      <c r="Q56" s="96" t="str">
        <f>IF(Q$3="","",IF(COUNTIFS(Base!$A$3:$A$5001,Q$3,Base!$B$3:$B$5001,$A$41,Base!$AA$3:$AA$5001,"&lt;&gt;")=0,"",SUMIFS(Base!$AA$3:$AA$5001,Base!$A$3:$A$5001,Q$3,Base!$B$3:$B$5001,$A$41)))</f>
        <v/>
      </c>
      <c r="R56" s="96" t="str">
        <f>IF(R$3="","",IF(COUNTIFS(Base!$A$3:$A$5001,R$3,Base!$B$3:$B$5001,$A$41,Base!$AA$3:$AA$5001,"&lt;&gt;")=0,"",SUMIFS(Base!$AA$3:$AA$5001,Base!$A$3:$A$5001,R$3,Base!$B$3:$B$5001,$A$41)))</f>
        <v/>
      </c>
      <c r="S56" s="96" t="str">
        <f>IF(S$3="","",IF(COUNTIFS(Base!$A$3:$A$5001,S$3,Base!$B$3:$B$5001,$A$41,Base!$AA$3:$AA$5001,"&lt;&gt;")=0,"",SUMIFS(Base!$AA$3:$AA$5001,Base!$A$3:$A$5001,S$3,Base!$B$3:$B$5001,$A$41)))</f>
        <v/>
      </c>
      <c r="T56" s="96" t="str">
        <f>IF(T$3="","",IF(COUNTIFS(Base!$A$3:$A$5001,T$3,Base!$B$3:$B$5001,$A$41,Base!$AA$3:$AA$5001,"&lt;&gt;")=0,"",SUMIFS(Base!$AA$3:$AA$5001,Base!$A$3:$A$5001,T$3,Base!$B$3:$B$5001,$A$41)))</f>
        <v/>
      </c>
      <c r="U56" s="96" t="str">
        <f>IF(U$3="","",IF(COUNTIFS(Base!$A$3:$A$5001,U$3,Base!$B$3:$B$5001,$A$41,Base!$AA$3:$AA$5001,"&lt;&gt;")=0,"",SUMIFS(Base!$AA$3:$AA$5001,Base!$A$3:$A$5001,U$3,Base!$B$3:$B$5001,$A$41)))</f>
        <v/>
      </c>
      <c r="V56" s="96" t="str">
        <f>IF(V$3="","",IF(COUNTIFS(Base!$A$3:$A$5001,V$3,Base!$B$3:$B$5001,$A$41,Base!$AA$3:$AA$5001,"&lt;&gt;")=0,"",SUMIFS(Base!$AA$3:$AA$5001,Base!$A$3:$A$5001,V$3,Base!$B$3:$B$5001,$A$41)))</f>
        <v/>
      </c>
      <c r="W56" s="96" t="str">
        <f>IF(W$3="","",IF(COUNTIFS(Base!$A$3:$A$5001,W$3,Base!$B$3:$B$5001,$A$41,Base!$AA$3:$AA$5001,"&lt;&gt;")=0,"",SUMIFS(Base!$AA$3:$AA$5001,Base!$A$3:$A$5001,W$3,Base!$B$3:$B$5001,$A$41)))</f>
        <v/>
      </c>
      <c r="X56" s="96" t="str">
        <f>IF(X$3="","",IF(COUNTIFS(Base!$A$3:$A$5001,X$3,Base!$B$3:$B$5001,$A$41,Base!$AA$3:$AA$5001,"&lt;&gt;")=0,"",SUMIFS(Base!$AA$3:$AA$5001,Base!$A$3:$A$5001,X$3,Base!$B$3:$B$5001,$A$41)))</f>
        <v/>
      </c>
      <c r="Y56" s="96" t="str">
        <f>IF(Y$3="","",IF(COUNTIFS(Base!$A$3:$A$5001,Y$3,Base!$B$3:$B$5001,$A$41,Base!$AA$3:$AA$5001,"&lt;&gt;")=0,"",SUMIFS(Base!$AA$3:$AA$5001,Base!$A$3:$A$5001,Y$3,Base!$B$3:$B$5001,$A$41)))</f>
        <v/>
      </c>
      <c r="Z56" s="96" t="str">
        <f>IF(Z$3="","",IF(COUNTIFS(Base!$A$3:$A$5001,Z$3,Base!$B$3:$B$5001,$A$41,Base!$AA$3:$AA$5001,"&lt;&gt;")=0,"",SUMIFS(Base!$AA$3:$AA$5001,Base!$A$3:$A$5001,Z$3,Base!$B$3:$B$5001,$A$41)))</f>
        <v/>
      </c>
      <c r="AA56" s="96" t="str">
        <f>IF(AA$3="","",IF(COUNTIFS(Base!$A$3:$A$5001,AA$3,Base!$B$3:$B$5001,$A$41,Base!$AA$3:$AA$5001,"&lt;&gt;")=0,"",SUMIFS(Base!$AA$3:$AA$5001,Base!$A$3:$A$5001,AA$3,Base!$B$3:$B$5001,$A$41)))</f>
        <v/>
      </c>
      <c r="AB56" s="96" t="str">
        <f>IF(AB$3="","",IF(COUNTIFS(Base!$A$3:$A$5001,AB$3,Base!$B$3:$B$5001,$A$41,Base!$AA$3:$AA$5001,"&lt;&gt;")=0,"",SUMIFS(Base!$AA$3:$AA$5001,Base!$A$3:$A$5001,AB$3,Base!$B$3:$B$5001,$A$41)))</f>
        <v/>
      </c>
      <c r="AC56" s="96" t="str">
        <f>IF(AC$3="","",IF(COUNTIFS(Base!$A$3:$A$5001,AC$3,Base!$B$3:$B$5001,$A$41,Base!$AA$3:$AA$5001,"&lt;&gt;")=0,"",SUMIFS(Base!$AA$3:$AA$5001,Base!$A$3:$A$5001,AC$3,Base!$B$3:$B$5001,$A$41)))</f>
        <v/>
      </c>
      <c r="AD56" s="96" t="str">
        <f>IF(AD$3="","",IF(COUNTIFS(Base!$A$3:$A$5001,AD$3,Base!$B$3:$B$5001,$A$41,Base!$AA$3:$AA$5001,"&lt;&gt;")=0,"",SUMIFS(Base!$AA$3:$AA$5001,Base!$A$3:$A$5001,AD$3,Base!$B$3:$B$5001,$A$41)))</f>
        <v/>
      </c>
      <c r="AE56" s="96" t="str">
        <f>IF(AE$3="","",IF(COUNTIFS(Base!$A$3:$A$5001,AE$3,Base!$B$3:$B$5001,$A$41,Base!$AA$3:$AA$5001,"&lt;&gt;")=0,"",SUMIFS(Base!$AA$3:$AA$5001,Base!$A$3:$A$5001,AE$3,Base!$B$3:$B$5001,$A$41)))</f>
        <v/>
      </c>
      <c r="AF56" s="96" t="str">
        <f>IF(AF$3="","",IF(COUNTIFS(Base!$A$3:$A$5001,AF$3,Base!$B$3:$B$5001,$A$41,Base!$AA$3:$AA$5001,"&lt;&gt;")=0,"",SUMIFS(Base!$AA$3:$AA$5001,Base!$A$3:$A$5001,AF$3,Base!$B$3:$B$5001,$A$41)))</f>
        <v/>
      </c>
      <c r="AG56" s="96" t="str">
        <f>IF(AG$3="","",IF(COUNTIFS(Base!$A$3:$A$5001,AG$3,Base!$B$3:$B$5001,$A$41,Base!$AA$3:$AA$5001,"&lt;&gt;")=0,"",SUMIFS(Base!$AA$3:$AA$5001,Base!$A$3:$A$5001,AG$3,Base!$B$3:$B$5001,$A$41)))</f>
        <v/>
      </c>
      <c r="AH56" s="96" t="str">
        <f>IF(AH$3="","",IF(COUNTIFS(Base!$A$3:$A$5001,AH$3,Base!$B$3:$B$5001,$A$41,Base!$AA$3:$AA$5001,"&lt;&gt;")=0,"",SUMIFS(Base!$AA$3:$AA$5001,Base!$A$3:$A$5001,AH$3,Base!$B$3:$B$5001,$A$41)))</f>
        <v/>
      </c>
      <c r="AI56" s="96" t="str">
        <f>IF(AI$3="","",IF(COUNTIFS(Base!$A$3:$A$5001,AI$3,Base!$B$3:$B$5001,$A$41,Base!$AA$3:$AA$5001,"&lt;&gt;")=0,"",SUMIFS(Base!$AA$3:$AA$5001,Base!$A$3:$A$5001,AI$3,Base!$B$3:$B$5001,$A$41)))</f>
        <v/>
      </c>
      <c r="AJ56" s="97" t="str">
        <f>IF(AJ$3="","",IF(COUNTIFS(Base!$A$3:$A$5001,AJ$3,Base!$B$3:$B$5001,$A$41,Base!$AA$3:$AA$5001,"&lt;&gt;")=0,"",SUMIFS(Base!$AA$3:$AA$5001,Base!$A$3:$A$5001,AJ$3,Base!$B$3:$B$5001,$A$41)))</f>
        <v/>
      </c>
      <c r="AK56" s="98" t="str">
        <f>IF(COUNT(F56:AJ56)=0,"",SUM(F56:AJ56))</f>
        <v/>
      </c>
    </row>
    <row r="57" ht="15.75" customHeight="1">
      <c r="A57" s="118"/>
      <c r="B57" s="115"/>
      <c r="C57" s="92" t="inlineStr">
        <is>
          <t xml:space="preserve">Folga</t>
        </is>
      </c>
      <c r="D57" s="93" t="str">
        <f>IFERROR(1/(1/INDEX(calculos!$C$55:$K$83,MATCH("Folga",calculos!$A$55:$A$83,0),MATCH($A$41,calculos!$C$54:$K$54,0))),"")</f>
        <v/>
      </c>
      <c r="E57" s="94"/>
      <c r="F57" s="95" t="str">
        <f>IF(F$3="","",IF(COUNTIFS(Base!$A$3:$A$5001,F$3,Base!$B$3:$B$5001,$A$41,Base!$AB$3:$AB$5001,"&lt;&gt;")=0,"",SUMIFS(Base!$AB$3:$AB$5001,Base!$A$3:$A$5001,F$3,Base!$B$3:$B$5001,$A$41)))</f>
        <v/>
      </c>
      <c r="G57" s="96" t="str">
        <f>IF(G$3="","",IF(COUNTIFS(Base!$A$3:$A$5001,G$3,Base!$B$3:$B$5001,$A$41,Base!$AB$3:$AB$5001,"&lt;&gt;")=0,"",SUMIFS(Base!$AB$3:$AB$5001,Base!$A$3:$A$5001,G$3,Base!$B$3:$B$5001,$A$41)))</f>
        <v/>
      </c>
      <c r="H57" s="96" t="str">
        <f>IF(H$3="","",IF(COUNTIFS(Base!$A$3:$A$5001,H$3,Base!$B$3:$B$5001,$A$41,Base!$AB$3:$AB$5001,"&lt;&gt;")=0,"",SUMIFS(Base!$AB$3:$AB$5001,Base!$A$3:$A$5001,H$3,Base!$B$3:$B$5001,$A$41)))</f>
        <v/>
      </c>
      <c r="I57" s="96" t="str">
        <f>IF(I$3="","",IF(COUNTIFS(Base!$A$3:$A$5001,I$3,Base!$B$3:$B$5001,$A$41,Base!$AB$3:$AB$5001,"&lt;&gt;")=0,"",SUMIFS(Base!$AB$3:$AB$5001,Base!$A$3:$A$5001,I$3,Base!$B$3:$B$5001,$A$41)))</f>
        <v/>
      </c>
      <c r="J57" s="96" t="str">
        <f>IF(J$3="","",IF(COUNTIFS(Base!$A$3:$A$5001,J$3,Base!$B$3:$B$5001,$A$41,Base!$AB$3:$AB$5001,"&lt;&gt;")=0,"",SUMIFS(Base!$AB$3:$AB$5001,Base!$A$3:$A$5001,J$3,Base!$B$3:$B$5001,$A$41)))</f>
        <v/>
      </c>
      <c r="K57" s="96" t="str">
        <f>IF(K$3="","",IF(COUNTIFS(Base!$A$3:$A$5001,K$3,Base!$B$3:$B$5001,$A$41,Base!$AB$3:$AB$5001,"&lt;&gt;")=0,"",SUMIFS(Base!$AB$3:$AB$5001,Base!$A$3:$A$5001,K$3,Base!$B$3:$B$5001,$A$41)))</f>
        <v/>
      </c>
      <c r="L57" s="96" t="str">
        <f>IF(L$3="","",IF(COUNTIFS(Base!$A$3:$A$5001,L$3,Base!$B$3:$B$5001,$A$41,Base!$AB$3:$AB$5001,"&lt;&gt;")=0,"",SUMIFS(Base!$AB$3:$AB$5001,Base!$A$3:$A$5001,L$3,Base!$B$3:$B$5001,$A$41)))</f>
        <v/>
      </c>
      <c r="M57" s="96" t="str">
        <f>IF(M$3="","",IF(COUNTIFS(Base!$A$3:$A$5001,M$3,Base!$B$3:$B$5001,$A$41,Base!$AB$3:$AB$5001,"&lt;&gt;")=0,"",SUMIFS(Base!$AB$3:$AB$5001,Base!$A$3:$A$5001,M$3,Base!$B$3:$B$5001,$A$41)))</f>
        <v/>
      </c>
      <c r="N57" s="96" t="str">
        <f>IF(N$3="","",IF(COUNTIFS(Base!$A$3:$A$5001,N$3,Base!$B$3:$B$5001,$A$41,Base!$AB$3:$AB$5001,"&lt;&gt;")=0,"",SUMIFS(Base!$AB$3:$AB$5001,Base!$A$3:$A$5001,N$3,Base!$B$3:$B$5001,$A$41)))</f>
        <v/>
      </c>
      <c r="O57" s="96" t="str">
        <f>IF(O$3="","",IF(COUNTIFS(Base!$A$3:$A$5001,O$3,Base!$B$3:$B$5001,$A$41,Base!$AB$3:$AB$5001,"&lt;&gt;")=0,"",SUMIFS(Base!$AB$3:$AB$5001,Base!$A$3:$A$5001,O$3,Base!$B$3:$B$5001,$A$41)))</f>
        <v/>
      </c>
      <c r="P57" s="96" t="str">
        <f>IF(P$3="","",IF(COUNTIFS(Base!$A$3:$A$5001,P$3,Base!$B$3:$B$5001,$A$41,Base!$AB$3:$AB$5001,"&lt;&gt;")=0,"",SUMIFS(Base!$AB$3:$AB$5001,Base!$A$3:$A$5001,P$3,Base!$B$3:$B$5001,$A$41)))</f>
        <v/>
      </c>
      <c r="Q57" s="96" t="str">
        <f>IF(Q$3="","",IF(COUNTIFS(Base!$A$3:$A$5001,Q$3,Base!$B$3:$B$5001,$A$41,Base!$AB$3:$AB$5001,"&lt;&gt;")=0,"",SUMIFS(Base!$AB$3:$AB$5001,Base!$A$3:$A$5001,Q$3,Base!$B$3:$B$5001,$A$41)))</f>
        <v/>
      </c>
      <c r="R57" s="96" t="str">
        <f>IF(R$3="","",IF(COUNTIFS(Base!$A$3:$A$5001,R$3,Base!$B$3:$B$5001,$A$41,Base!$AB$3:$AB$5001,"&lt;&gt;")=0,"",SUMIFS(Base!$AB$3:$AB$5001,Base!$A$3:$A$5001,R$3,Base!$B$3:$B$5001,$A$41)))</f>
        <v/>
      </c>
      <c r="S57" s="96" t="str">
        <f>IF(S$3="","",IF(COUNTIFS(Base!$A$3:$A$5001,S$3,Base!$B$3:$B$5001,$A$41,Base!$AB$3:$AB$5001,"&lt;&gt;")=0,"",SUMIFS(Base!$AB$3:$AB$5001,Base!$A$3:$A$5001,S$3,Base!$B$3:$B$5001,$A$41)))</f>
        <v/>
      </c>
      <c r="T57" s="96" t="str">
        <f>IF(T$3="","",IF(COUNTIFS(Base!$A$3:$A$5001,T$3,Base!$B$3:$B$5001,$A$41,Base!$AB$3:$AB$5001,"&lt;&gt;")=0,"",SUMIFS(Base!$AB$3:$AB$5001,Base!$A$3:$A$5001,T$3,Base!$B$3:$B$5001,$A$41)))</f>
        <v/>
      </c>
      <c r="U57" s="96" t="str">
        <f>IF(U$3="","",IF(COUNTIFS(Base!$A$3:$A$5001,U$3,Base!$B$3:$B$5001,$A$41,Base!$AB$3:$AB$5001,"&lt;&gt;")=0,"",SUMIFS(Base!$AB$3:$AB$5001,Base!$A$3:$A$5001,U$3,Base!$B$3:$B$5001,$A$41)))</f>
        <v/>
      </c>
      <c r="V57" s="96" t="str">
        <f>IF(V$3="","",IF(COUNTIFS(Base!$A$3:$A$5001,V$3,Base!$B$3:$B$5001,$A$41,Base!$AB$3:$AB$5001,"&lt;&gt;")=0,"",SUMIFS(Base!$AB$3:$AB$5001,Base!$A$3:$A$5001,V$3,Base!$B$3:$B$5001,$A$41)))</f>
        <v/>
      </c>
      <c r="W57" s="96" t="str">
        <f>IF(W$3="","",IF(COUNTIFS(Base!$A$3:$A$5001,W$3,Base!$B$3:$B$5001,$A$41,Base!$AB$3:$AB$5001,"&lt;&gt;")=0,"",SUMIFS(Base!$AB$3:$AB$5001,Base!$A$3:$A$5001,W$3,Base!$B$3:$B$5001,$A$41)))</f>
        <v/>
      </c>
      <c r="X57" s="96" t="str">
        <f>IF(X$3="","",IF(COUNTIFS(Base!$A$3:$A$5001,X$3,Base!$B$3:$B$5001,$A$41,Base!$AB$3:$AB$5001,"&lt;&gt;")=0,"",SUMIFS(Base!$AB$3:$AB$5001,Base!$A$3:$A$5001,X$3,Base!$B$3:$B$5001,$A$41)))</f>
        <v/>
      </c>
      <c r="Y57" s="96" t="str">
        <f>IF(Y$3="","",IF(COUNTIFS(Base!$A$3:$A$5001,Y$3,Base!$B$3:$B$5001,$A$41,Base!$AB$3:$AB$5001,"&lt;&gt;")=0,"",SUMIFS(Base!$AB$3:$AB$5001,Base!$A$3:$A$5001,Y$3,Base!$B$3:$B$5001,$A$41)))</f>
        <v/>
      </c>
      <c r="Z57" s="96" t="str">
        <f>IF(Z$3="","",IF(COUNTIFS(Base!$A$3:$A$5001,Z$3,Base!$B$3:$B$5001,$A$41,Base!$AB$3:$AB$5001,"&lt;&gt;")=0,"",SUMIFS(Base!$AB$3:$AB$5001,Base!$A$3:$A$5001,Z$3,Base!$B$3:$B$5001,$A$41)))</f>
        <v/>
      </c>
      <c r="AA57" s="96" t="str">
        <f>IF(AA$3="","",IF(COUNTIFS(Base!$A$3:$A$5001,AA$3,Base!$B$3:$B$5001,$A$41,Base!$AB$3:$AB$5001,"&lt;&gt;")=0,"",SUMIFS(Base!$AB$3:$AB$5001,Base!$A$3:$A$5001,AA$3,Base!$B$3:$B$5001,$A$41)))</f>
        <v/>
      </c>
      <c r="AB57" s="96" t="str">
        <f>IF(AB$3="","",IF(COUNTIFS(Base!$A$3:$A$5001,AB$3,Base!$B$3:$B$5001,$A$41,Base!$AB$3:$AB$5001,"&lt;&gt;")=0,"",SUMIFS(Base!$AB$3:$AB$5001,Base!$A$3:$A$5001,AB$3,Base!$B$3:$B$5001,$A$41)))</f>
        <v/>
      </c>
      <c r="AC57" s="96" t="str">
        <f>IF(AC$3="","",IF(COUNTIFS(Base!$A$3:$A$5001,AC$3,Base!$B$3:$B$5001,$A$41,Base!$AB$3:$AB$5001,"&lt;&gt;")=0,"",SUMIFS(Base!$AB$3:$AB$5001,Base!$A$3:$A$5001,AC$3,Base!$B$3:$B$5001,$A$41)))</f>
        <v/>
      </c>
      <c r="AD57" s="96" t="str">
        <f>IF(AD$3="","",IF(COUNTIFS(Base!$A$3:$A$5001,AD$3,Base!$B$3:$B$5001,$A$41,Base!$AB$3:$AB$5001,"&lt;&gt;")=0,"",SUMIFS(Base!$AB$3:$AB$5001,Base!$A$3:$A$5001,AD$3,Base!$B$3:$B$5001,$A$41)))</f>
        <v/>
      </c>
      <c r="AE57" s="96" t="str">
        <f>IF(AE$3="","",IF(COUNTIFS(Base!$A$3:$A$5001,AE$3,Base!$B$3:$B$5001,$A$41,Base!$AB$3:$AB$5001,"&lt;&gt;")=0,"",SUMIFS(Base!$AB$3:$AB$5001,Base!$A$3:$A$5001,AE$3,Base!$B$3:$B$5001,$A$41)))</f>
        <v/>
      </c>
      <c r="AF57" s="96" t="str">
        <f>IF(AF$3="","",IF(COUNTIFS(Base!$A$3:$A$5001,AF$3,Base!$B$3:$B$5001,$A$41,Base!$AB$3:$AB$5001,"&lt;&gt;")=0,"",SUMIFS(Base!$AB$3:$AB$5001,Base!$A$3:$A$5001,AF$3,Base!$B$3:$B$5001,$A$41)))</f>
        <v/>
      </c>
      <c r="AG57" s="96" t="str">
        <f>IF(AG$3="","",IF(COUNTIFS(Base!$A$3:$A$5001,AG$3,Base!$B$3:$B$5001,$A$41,Base!$AB$3:$AB$5001,"&lt;&gt;")=0,"",SUMIFS(Base!$AB$3:$AB$5001,Base!$A$3:$A$5001,AG$3,Base!$B$3:$B$5001,$A$41)))</f>
        <v/>
      </c>
      <c r="AH57" s="96" t="str">
        <f>IF(AH$3="","",IF(COUNTIFS(Base!$A$3:$A$5001,AH$3,Base!$B$3:$B$5001,$A$41,Base!$AB$3:$AB$5001,"&lt;&gt;")=0,"",SUMIFS(Base!$AB$3:$AB$5001,Base!$A$3:$A$5001,AH$3,Base!$B$3:$B$5001,$A$41)))</f>
        <v/>
      </c>
      <c r="AI57" s="96" t="str">
        <f>IF(AI$3="","",IF(COUNTIFS(Base!$A$3:$A$5001,AI$3,Base!$B$3:$B$5001,$A$41,Base!$AB$3:$AB$5001,"&lt;&gt;")=0,"",SUMIFS(Base!$AB$3:$AB$5001,Base!$A$3:$A$5001,AI$3,Base!$B$3:$B$5001,$A$41)))</f>
        <v/>
      </c>
      <c r="AJ57" s="97" t="str">
        <f>IF(AJ$3="","",IF(COUNTIFS(Base!$A$3:$A$5001,AJ$3,Base!$B$3:$B$5001,$A$41,Base!$AB$3:$AB$5001,"&lt;&gt;")=0,"",SUMIFS(Base!$AB$3:$AB$5001,Base!$A$3:$A$5001,AJ$3,Base!$B$3:$B$5001,$A$41)))</f>
        <v/>
      </c>
      <c r="AK57" s="98" t="str">
        <f>IF(COUNT(F57:AJ57)=0,"",SUM(F57:AJ57))</f>
        <v/>
      </c>
    </row>
    <row r="58" ht="15.75" customHeight="1">
      <c r="A58" s="118"/>
      <c r="B58" s="115"/>
      <c r="C58" s="92" t="inlineStr">
        <is>
          <t xml:space="preserve">Férias</t>
        </is>
      </c>
      <c r="D58" s="93" t="str">
        <f>IFERROR(1/(1/INDEX(calculos!$C$55:$K$83,MATCH("Férias",calculos!$A$55:$A$83,0),MATCH($A$41,calculos!$C$54:$K$54,0))),"")</f>
        <v/>
      </c>
      <c r="E58" s="94"/>
      <c r="F58" s="95" t="str">
        <f>IF(F$3="","",IF(COUNTIFS(Base!$A$3:$A$5001,F$3,Base!$B$3:$B$5001,$A$41,Base!$AC$3:$AC$5001,"&lt;&gt;")=0,"",SUMIFS(Base!$AC$3:$AC$5001,Base!$A$3:$A$5001,F$3,Base!$B$3:$B$5001,$A$41)))</f>
        <v/>
      </c>
      <c r="G58" s="96" t="str">
        <f>IF(G$3="","",IF(COUNTIFS(Base!$A$3:$A$5001,G$3,Base!$B$3:$B$5001,$A$41,Base!$AC$3:$AC$5001,"&lt;&gt;")=0,"",SUMIFS(Base!$AC$3:$AC$5001,Base!$A$3:$A$5001,G$3,Base!$B$3:$B$5001,$A$41)))</f>
        <v/>
      </c>
      <c r="H58" s="96" t="str">
        <f>IF(H$3="","",IF(COUNTIFS(Base!$A$3:$A$5001,H$3,Base!$B$3:$B$5001,$A$41,Base!$AC$3:$AC$5001,"&lt;&gt;")=0,"",SUMIFS(Base!$AC$3:$AC$5001,Base!$A$3:$A$5001,H$3,Base!$B$3:$B$5001,$A$41)))</f>
        <v/>
      </c>
      <c r="I58" s="96" t="str">
        <f>IF(I$3="","",IF(COUNTIFS(Base!$A$3:$A$5001,I$3,Base!$B$3:$B$5001,$A$41,Base!$AC$3:$AC$5001,"&lt;&gt;")=0,"",SUMIFS(Base!$AC$3:$AC$5001,Base!$A$3:$A$5001,I$3,Base!$B$3:$B$5001,$A$41)))</f>
        <v/>
      </c>
      <c r="J58" s="96" t="str">
        <f>IF(J$3="","",IF(COUNTIFS(Base!$A$3:$A$5001,J$3,Base!$B$3:$B$5001,$A$41,Base!$AC$3:$AC$5001,"&lt;&gt;")=0,"",SUMIFS(Base!$AC$3:$AC$5001,Base!$A$3:$A$5001,J$3,Base!$B$3:$B$5001,$A$41)))</f>
        <v/>
      </c>
      <c r="K58" s="96" t="str">
        <f>IF(K$3="","",IF(COUNTIFS(Base!$A$3:$A$5001,K$3,Base!$B$3:$B$5001,$A$41,Base!$AC$3:$AC$5001,"&lt;&gt;")=0,"",SUMIFS(Base!$AC$3:$AC$5001,Base!$A$3:$A$5001,K$3,Base!$B$3:$B$5001,$A$41)))</f>
        <v/>
      </c>
      <c r="L58" s="96" t="str">
        <f>IF(L$3="","",IF(COUNTIFS(Base!$A$3:$A$5001,L$3,Base!$B$3:$B$5001,$A$41,Base!$AC$3:$AC$5001,"&lt;&gt;")=0,"",SUMIFS(Base!$AC$3:$AC$5001,Base!$A$3:$A$5001,L$3,Base!$B$3:$B$5001,$A$41)))</f>
        <v/>
      </c>
      <c r="M58" s="96" t="str">
        <f>IF(M$3="","",IF(COUNTIFS(Base!$A$3:$A$5001,M$3,Base!$B$3:$B$5001,$A$41,Base!$AC$3:$AC$5001,"&lt;&gt;")=0,"",SUMIFS(Base!$AC$3:$AC$5001,Base!$A$3:$A$5001,M$3,Base!$B$3:$B$5001,$A$41)))</f>
        <v/>
      </c>
      <c r="N58" s="96" t="str">
        <f>IF(N$3="","",IF(COUNTIFS(Base!$A$3:$A$5001,N$3,Base!$B$3:$B$5001,$A$41,Base!$AC$3:$AC$5001,"&lt;&gt;")=0,"",SUMIFS(Base!$AC$3:$AC$5001,Base!$A$3:$A$5001,N$3,Base!$B$3:$B$5001,$A$41)))</f>
        <v/>
      </c>
      <c r="O58" s="96" t="str">
        <f>IF(O$3="","",IF(COUNTIFS(Base!$A$3:$A$5001,O$3,Base!$B$3:$B$5001,$A$41,Base!$AC$3:$AC$5001,"&lt;&gt;")=0,"",SUMIFS(Base!$AC$3:$AC$5001,Base!$A$3:$A$5001,O$3,Base!$B$3:$B$5001,$A$41)))</f>
        <v/>
      </c>
      <c r="P58" s="96" t="str">
        <f>IF(P$3="","",IF(COUNTIFS(Base!$A$3:$A$5001,P$3,Base!$B$3:$B$5001,$A$41,Base!$AC$3:$AC$5001,"&lt;&gt;")=0,"",SUMIFS(Base!$AC$3:$AC$5001,Base!$A$3:$A$5001,P$3,Base!$B$3:$B$5001,$A$41)))</f>
        <v/>
      </c>
      <c r="Q58" s="96" t="str">
        <f>IF(Q$3="","",IF(COUNTIFS(Base!$A$3:$A$5001,Q$3,Base!$B$3:$B$5001,$A$41,Base!$AC$3:$AC$5001,"&lt;&gt;")=0,"",SUMIFS(Base!$AC$3:$AC$5001,Base!$A$3:$A$5001,Q$3,Base!$B$3:$B$5001,$A$41)))</f>
        <v/>
      </c>
      <c r="R58" s="96" t="str">
        <f>IF(R$3="","",IF(COUNTIFS(Base!$A$3:$A$5001,R$3,Base!$B$3:$B$5001,$A$41,Base!$AC$3:$AC$5001,"&lt;&gt;")=0,"",SUMIFS(Base!$AC$3:$AC$5001,Base!$A$3:$A$5001,R$3,Base!$B$3:$B$5001,$A$41)))</f>
        <v/>
      </c>
      <c r="S58" s="96" t="str">
        <f>IF(S$3="","",IF(COUNTIFS(Base!$A$3:$A$5001,S$3,Base!$B$3:$B$5001,$A$41,Base!$AC$3:$AC$5001,"&lt;&gt;")=0,"",SUMIFS(Base!$AC$3:$AC$5001,Base!$A$3:$A$5001,S$3,Base!$B$3:$B$5001,$A$41)))</f>
        <v/>
      </c>
      <c r="T58" s="96" t="str">
        <f>IF(T$3="","",IF(COUNTIFS(Base!$A$3:$A$5001,T$3,Base!$B$3:$B$5001,$A$41,Base!$AC$3:$AC$5001,"&lt;&gt;")=0,"",SUMIFS(Base!$AC$3:$AC$5001,Base!$A$3:$A$5001,T$3,Base!$B$3:$B$5001,$A$41)))</f>
        <v/>
      </c>
      <c r="U58" s="96" t="str">
        <f>IF(U$3="","",IF(COUNTIFS(Base!$A$3:$A$5001,U$3,Base!$B$3:$B$5001,$A$41,Base!$AC$3:$AC$5001,"&lt;&gt;")=0,"",SUMIFS(Base!$AC$3:$AC$5001,Base!$A$3:$A$5001,U$3,Base!$B$3:$B$5001,$A$41)))</f>
        <v/>
      </c>
      <c r="V58" s="96" t="str">
        <f>IF(V$3="","",IF(COUNTIFS(Base!$A$3:$A$5001,V$3,Base!$B$3:$B$5001,$A$41,Base!$AC$3:$AC$5001,"&lt;&gt;")=0,"",SUMIFS(Base!$AC$3:$AC$5001,Base!$A$3:$A$5001,V$3,Base!$B$3:$B$5001,$A$41)))</f>
        <v/>
      </c>
      <c r="W58" s="96" t="str">
        <f>IF(W$3="","",IF(COUNTIFS(Base!$A$3:$A$5001,W$3,Base!$B$3:$B$5001,$A$41,Base!$AC$3:$AC$5001,"&lt;&gt;")=0,"",SUMIFS(Base!$AC$3:$AC$5001,Base!$A$3:$A$5001,W$3,Base!$B$3:$B$5001,$A$41)))</f>
        <v/>
      </c>
      <c r="X58" s="96" t="str">
        <f>IF(X$3="","",IF(COUNTIFS(Base!$A$3:$A$5001,X$3,Base!$B$3:$B$5001,$A$41,Base!$AC$3:$AC$5001,"&lt;&gt;")=0,"",SUMIFS(Base!$AC$3:$AC$5001,Base!$A$3:$A$5001,X$3,Base!$B$3:$B$5001,$A$41)))</f>
        <v/>
      </c>
      <c r="Y58" s="96" t="str">
        <f>IF(Y$3="","",IF(COUNTIFS(Base!$A$3:$A$5001,Y$3,Base!$B$3:$B$5001,$A$41,Base!$AC$3:$AC$5001,"&lt;&gt;")=0,"",SUMIFS(Base!$AC$3:$AC$5001,Base!$A$3:$A$5001,Y$3,Base!$B$3:$B$5001,$A$41)))</f>
        <v/>
      </c>
      <c r="Z58" s="96" t="str">
        <f>IF(Z$3="","",IF(COUNTIFS(Base!$A$3:$A$5001,Z$3,Base!$B$3:$B$5001,$A$41,Base!$AC$3:$AC$5001,"&lt;&gt;")=0,"",SUMIFS(Base!$AC$3:$AC$5001,Base!$A$3:$A$5001,Z$3,Base!$B$3:$B$5001,$A$41)))</f>
        <v/>
      </c>
      <c r="AA58" s="96" t="str">
        <f>IF(AA$3="","",IF(COUNTIFS(Base!$A$3:$A$5001,AA$3,Base!$B$3:$B$5001,$A$41,Base!$AC$3:$AC$5001,"&lt;&gt;")=0,"",SUMIFS(Base!$AC$3:$AC$5001,Base!$A$3:$A$5001,AA$3,Base!$B$3:$B$5001,$A$41)))</f>
        <v/>
      </c>
      <c r="AB58" s="96" t="str">
        <f>IF(AB$3="","",IF(COUNTIFS(Base!$A$3:$A$5001,AB$3,Base!$B$3:$B$5001,$A$41,Base!$AC$3:$AC$5001,"&lt;&gt;")=0,"",SUMIFS(Base!$AC$3:$AC$5001,Base!$A$3:$A$5001,AB$3,Base!$B$3:$B$5001,$A$41)))</f>
        <v/>
      </c>
      <c r="AC58" s="96" t="str">
        <f>IF(AC$3="","",IF(COUNTIFS(Base!$A$3:$A$5001,AC$3,Base!$B$3:$B$5001,$A$41,Base!$AC$3:$AC$5001,"&lt;&gt;")=0,"",SUMIFS(Base!$AC$3:$AC$5001,Base!$A$3:$A$5001,AC$3,Base!$B$3:$B$5001,$A$41)))</f>
        <v/>
      </c>
      <c r="AD58" s="96" t="str">
        <f>IF(AD$3="","",IF(COUNTIFS(Base!$A$3:$A$5001,AD$3,Base!$B$3:$B$5001,$A$41,Base!$AC$3:$AC$5001,"&lt;&gt;")=0,"",SUMIFS(Base!$AC$3:$AC$5001,Base!$A$3:$A$5001,AD$3,Base!$B$3:$B$5001,$A$41)))</f>
        <v/>
      </c>
      <c r="AE58" s="96" t="str">
        <f>IF(AE$3="","",IF(COUNTIFS(Base!$A$3:$A$5001,AE$3,Base!$B$3:$B$5001,$A$41,Base!$AC$3:$AC$5001,"&lt;&gt;")=0,"",SUMIFS(Base!$AC$3:$AC$5001,Base!$A$3:$A$5001,AE$3,Base!$B$3:$B$5001,$A$41)))</f>
        <v/>
      </c>
      <c r="AF58" s="96" t="str">
        <f>IF(AF$3="","",IF(COUNTIFS(Base!$A$3:$A$5001,AF$3,Base!$B$3:$B$5001,$A$41,Base!$AC$3:$AC$5001,"&lt;&gt;")=0,"",SUMIFS(Base!$AC$3:$AC$5001,Base!$A$3:$A$5001,AF$3,Base!$B$3:$B$5001,$A$41)))</f>
        <v/>
      </c>
      <c r="AG58" s="96" t="str">
        <f>IF(AG$3="","",IF(COUNTIFS(Base!$A$3:$A$5001,AG$3,Base!$B$3:$B$5001,$A$41,Base!$AC$3:$AC$5001,"&lt;&gt;")=0,"",SUMIFS(Base!$AC$3:$AC$5001,Base!$A$3:$A$5001,AG$3,Base!$B$3:$B$5001,$A$41)))</f>
        <v/>
      </c>
      <c r="AH58" s="96" t="str">
        <f>IF(AH$3="","",IF(COUNTIFS(Base!$A$3:$A$5001,AH$3,Base!$B$3:$B$5001,$A$41,Base!$AC$3:$AC$5001,"&lt;&gt;")=0,"",SUMIFS(Base!$AC$3:$AC$5001,Base!$A$3:$A$5001,AH$3,Base!$B$3:$B$5001,$A$41)))</f>
        <v/>
      </c>
      <c r="AI58" s="96" t="str">
        <f>IF(AI$3="","",IF(COUNTIFS(Base!$A$3:$A$5001,AI$3,Base!$B$3:$B$5001,$A$41,Base!$AC$3:$AC$5001,"&lt;&gt;")=0,"",SUMIFS(Base!$AC$3:$AC$5001,Base!$A$3:$A$5001,AI$3,Base!$B$3:$B$5001,$A$41)))</f>
        <v/>
      </c>
      <c r="AJ58" s="97" t="str">
        <f>IF(AJ$3="","",IF(COUNTIFS(Base!$A$3:$A$5001,AJ$3,Base!$B$3:$B$5001,$A$41,Base!$AC$3:$AC$5001,"&lt;&gt;")=0,"",SUMIFS(Base!$AC$3:$AC$5001,Base!$A$3:$A$5001,AJ$3,Base!$B$3:$B$5001,$A$41)))</f>
        <v/>
      </c>
      <c r="AK58" s="98" t="str">
        <f>IF(COUNT(F58:AJ58)=0,"",SUM(F58:AJ58))</f>
        <v/>
      </c>
    </row>
    <row r="59" ht="15.75" customHeight="1">
      <c r="A59" s="119"/>
      <c r="B59" s="116"/>
      <c r="C59" s="99" t="inlineStr">
        <is>
          <t xml:space="preserve">Desligamentos</t>
        </is>
      </c>
      <c r="D59" s="100" t="str">
        <f>IFERROR(1/(1/INDEX(calculos!$C$55:$K$83,MATCH("Desligamentos",calculos!$A$55:$A$83,0),MATCH($A$41,calculos!$C$54:$K$54,0))),"")</f>
        <v/>
      </c>
      <c r="E59" s="101"/>
      <c r="F59" s="102" t="str">
        <f>IF(F$3="","",IF(COUNTIFS(Base!$A$3:$A$5001,F$3,Base!$B$3:$B$5001,$A$41,Base!$AD$3:$AD$5001,"&lt;&gt;")=0,"",SUMIFS(Base!$AD$3:$AD$5001,Base!$A$3:$A$5001,F$3,Base!$B$3:$B$5001,$A$41)))</f>
        <v/>
      </c>
      <c r="G59" s="103" t="str">
        <f>IF(G$3="","",IF(COUNTIFS(Base!$A$3:$A$5001,G$3,Base!$B$3:$B$5001,$A$41,Base!$AD$3:$AD$5001,"&lt;&gt;")=0,"",SUMIFS(Base!$AD$3:$AD$5001,Base!$A$3:$A$5001,G$3,Base!$B$3:$B$5001,$A$41)))</f>
        <v/>
      </c>
      <c r="H59" s="103" t="str">
        <f>IF(H$3="","",IF(COUNTIFS(Base!$A$3:$A$5001,H$3,Base!$B$3:$B$5001,$A$41,Base!$AD$3:$AD$5001,"&lt;&gt;")=0,"",SUMIFS(Base!$AD$3:$AD$5001,Base!$A$3:$A$5001,H$3,Base!$B$3:$B$5001,$A$41)))</f>
        <v/>
      </c>
      <c r="I59" s="103" t="str">
        <f>IF(I$3="","",IF(COUNTIFS(Base!$A$3:$A$5001,I$3,Base!$B$3:$B$5001,$A$41,Base!$AD$3:$AD$5001,"&lt;&gt;")=0,"",SUMIFS(Base!$AD$3:$AD$5001,Base!$A$3:$A$5001,I$3,Base!$B$3:$B$5001,$A$41)))</f>
        <v/>
      </c>
      <c r="J59" s="103" t="str">
        <f>IF(J$3="","",IF(COUNTIFS(Base!$A$3:$A$5001,J$3,Base!$B$3:$B$5001,$A$41,Base!$AD$3:$AD$5001,"&lt;&gt;")=0,"",SUMIFS(Base!$AD$3:$AD$5001,Base!$A$3:$A$5001,J$3,Base!$B$3:$B$5001,$A$41)))</f>
        <v/>
      </c>
      <c r="K59" s="103" t="str">
        <f>IF(K$3="","",IF(COUNTIFS(Base!$A$3:$A$5001,K$3,Base!$B$3:$B$5001,$A$41,Base!$AD$3:$AD$5001,"&lt;&gt;")=0,"",SUMIFS(Base!$AD$3:$AD$5001,Base!$A$3:$A$5001,K$3,Base!$B$3:$B$5001,$A$41)))</f>
        <v/>
      </c>
      <c r="L59" s="103" t="str">
        <f>IF(L$3="","",IF(COUNTIFS(Base!$A$3:$A$5001,L$3,Base!$B$3:$B$5001,$A$41,Base!$AD$3:$AD$5001,"&lt;&gt;")=0,"",SUMIFS(Base!$AD$3:$AD$5001,Base!$A$3:$A$5001,L$3,Base!$B$3:$B$5001,$A$41)))</f>
        <v/>
      </c>
      <c r="M59" s="103" t="str">
        <f>IF(M$3="","",IF(COUNTIFS(Base!$A$3:$A$5001,M$3,Base!$B$3:$B$5001,$A$41,Base!$AD$3:$AD$5001,"&lt;&gt;")=0,"",SUMIFS(Base!$AD$3:$AD$5001,Base!$A$3:$A$5001,M$3,Base!$B$3:$B$5001,$A$41)))</f>
        <v/>
      </c>
      <c r="N59" s="103" t="str">
        <f>IF(N$3="","",IF(COUNTIFS(Base!$A$3:$A$5001,N$3,Base!$B$3:$B$5001,$A$41,Base!$AD$3:$AD$5001,"&lt;&gt;")=0,"",SUMIFS(Base!$AD$3:$AD$5001,Base!$A$3:$A$5001,N$3,Base!$B$3:$B$5001,$A$41)))</f>
        <v/>
      </c>
      <c r="O59" s="103" t="str">
        <f>IF(O$3="","",IF(COUNTIFS(Base!$A$3:$A$5001,O$3,Base!$B$3:$B$5001,$A$41,Base!$AD$3:$AD$5001,"&lt;&gt;")=0,"",SUMIFS(Base!$AD$3:$AD$5001,Base!$A$3:$A$5001,O$3,Base!$B$3:$B$5001,$A$41)))</f>
        <v/>
      </c>
      <c r="P59" s="103" t="str">
        <f>IF(P$3="","",IF(COUNTIFS(Base!$A$3:$A$5001,P$3,Base!$B$3:$B$5001,$A$41,Base!$AD$3:$AD$5001,"&lt;&gt;")=0,"",SUMIFS(Base!$AD$3:$AD$5001,Base!$A$3:$A$5001,P$3,Base!$B$3:$B$5001,$A$41)))</f>
        <v/>
      </c>
      <c r="Q59" s="103" t="str">
        <f>IF(Q$3="","",IF(COUNTIFS(Base!$A$3:$A$5001,Q$3,Base!$B$3:$B$5001,$A$41,Base!$AD$3:$AD$5001,"&lt;&gt;")=0,"",SUMIFS(Base!$AD$3:$AD$5001,Base!$A$3:$A$5001,Q$3,Base!$B$3:$B$5001,$A$41)))</f>
        <v/>
      </c>
      <c r="R59" s="103" t="str">
        <f>IF(R$3="","",IF(COUNTIFS(Base!$A$3:$A$5001,R$3,Base!$B$3:$B$5001,$A$41,Base!$AD$3:$AD$5001,"&lt;&gt;")=0,"",SUMIFS(Base!$AD$3:$AD$5001,Base!$A$3:$A$5001,R$3,Base!$B$3:$B$5001,$A$41)))</f>
        <v/>
      </c>
      <c r="S59" s="103" t="str">
        <f>IF(S$3="","",IF(COUNTIFS(Base!$A$3:$A$5001,S$3,Base!$B$3:$B$5001,$A$41,Base!$AD$3:$AD$5001,"&lt;&gt;")=0,"",SUMIFS(Base!$AD$3:$AD$5001,Base!$A$3:$A$5001,S$3,Base!$B$3:$B$5001,$A$41)))</f>
        <v/>
      </c>
      <c r="T59" s="103" t="str">
        <f>IF(T$3="","",IF(COUNTIFS(Base!$A$3:$A$5001,T$3,Base!$B$3:$B$5001,$A$41,Base!$AD$3:$AD$5001,"&lt;&gt;")=0,"",SUMIFS(Base!$AD$3:$AD$5001,Base!$A$3:$A$5001,T$3,Base!$B$3:$B$5001,$A$41)))</f>
        <v/>
      </c>
      <c r="U59" s="103" t="str">
        <f>IF(U$3="","",IF(COUNTIFS(Base!$A$3:$A$5001,U$3,Base!$B$3:$B$5001,$A$41,Base!$AD$3:$AD$5001,"&lt;&gt;")=0,"",SUMIFS(Base!$AD$3:$AD$5001,Base!$A$3:$A$5001,U$3,Base!$B$3:$B$5001,$A$41)))</f>
        <v/>
      </c>
      <c r="V59" s="103" t="str">
        <f>IF(V$3="","",IF(COUNTIFS(Base!$A$3:$A$5001,V$3,Base!$B$3:$B$5001,$A$41,Base!$AD$3:$AD$5001,"&lt;&gt;")=0,"",SUMIFS(Base!$AD$3:$AD$5001,Base!$A$3:$A$5001,V$3,Base!$B$3:$B$5001,$A$41)))</f>
        <v/>
      </c>
      <c r="W59" s="103" t="str">
        <f>IF(W$3="","",IF(COUNTIFS(Base!$A$3:$A$5001,W$3,Base!$B$3:$B$5001,$A$41,Base!$AD$3:$AD$5001,"&lt;&gt;")=0,"",SUMIFS(Base!$AD$3:$AD$5001,Base!$A$3:$A$5001,W$3,Base!$B$3:$B$5001,$A$41)))</f>
        <v/>
      </c>
      <c r="X59" s="103" t="str">
        <f>IF(X$3="","",IF(COUNTIFS(Base!$A$3:$A$5001,X$3,Base!$B$3:$B$5001,$A$41,Base!$AD$3:$AD$5001,"&lt;&gt;")=0,"",SUMIFS(Base!$AD$3:$AD$5001,Base!$A$3:$A$5001,X$3,Base!$B$3:$B$5001,$A$41)))</f>
        <v/>
      </c>
      <c r="Y59" s="103" t="str">
        <f>IF(Y$3="","",IF(COUNTIFS(Base!$A$3:$A$5001,Y$3,Base!$B$3:$B$5001,$A$41,Base!$AD$3:$AD$5001,"&lt;&gt;")=0,"",SUMIFS(Base!$AD$3:$AD$5001,Base!$A$3:$A$5001,Y$3,Base!$B$3:$B$5001,$A$41)))</f>
        <v/>
      </c>
      <c r="Z59" s="103" t="str">
        <f>IF(Z$3="","",IF(COUNTIFS(Base!$A$3:$A$5001,Z$3,Base!$B$3:$B$5001,$A$41,Base!$AD$3:$AD$5001,"&lt;&gt;")=0,"",SUMIFS(Base!$AD$3:$AD$5001,Base!$A$3:$A$5001,Z$3,Base!$B$3:$B$5001,$A$41)))</f>
        <v/>
      </c>
      <c r="AA59" s="103" t="str">
        <f>IF(AA$3="","",IF(COUNTIFS(Base!$A$3:$A$5001,AA$3,Base!$B$3:$B$5001,$A$41,Base!$AD$3:$AD$5001,"&lt;&gt;")=0,"",SUMIFS(Base!$AD$3:$AD$5001,Base!$A$3:$A$5001,AA$3,Base!$B$3:$B$5001,$A$41)))</f>
        <v/>
      </c>
      <c r="AB59" s="103" t="str">
        <f>IF(AB$3="","",IF(COUNTIFS(Base!$A$3:$A$5001,AB$3,Base!$B$3:$B$5001,$A$41,Base!$AD$3:$AD$5001,"&lt;&gt;")=0,"",SUMIFS(Base!$AD$3:$AD$5001,Base!$A$3:$A$5001,AB$3,Base!$B$3:$B$5001,$A$41)))</f>
        <v/>
      </c>
      <c r="AC59" s="103" t="str">
        <f>IF(AC$3="","",IF(COUNTIFS(Base!$A$3:$A$5001,AC$3,Base!$B$3:$B$5001,$A$41,Base!$AD$3:$AD$5001,"&lt;&gt;")=0,"",SUMIFS(Base!$AD$3:$AD$5001,Base!$A$3:$A$5001,AC$3,Base!$B$3:$B$5001,$A$41)))</f>
        <v/>
      </c>
      <c r="AD59" s="103" t="str">
        <f>IF(AD$3="","",IF(COUNTIFS(Base!$A$3:$A$5001,AD$3,Base!$B$3:$B$5001,$A$41,Base!$AD$3:$AD$5001,"&lt;&gt;")=0,"",SUMIFS(Base!$AD$3:$AD$5001,Base!$A$3:$A$5001,AD$3,Base!$B$3:$B$5001,$A$41)))</f>
        <v/>
      </c>
      <c r="AE59" s="103" t="str">
        <f>IF(AE$3="","",IF(COUNTIFS(Base!$A$3:$A$5001,AE$3,Base!$B$3:$B$5001,$A$41,Base!$AD$3:$AD$5001,"&lt;&gt;")=0,"",SUMIFS(Base!$AD$3:$AD$5001,Base!$A$3:$A$5001,AE$3,Base!$B$3:$B$5001,$A$41)))</f>
        <v/>
      </c>
      <c r="AF59" s="103" t="str">
        <f>IF(AF$3="","",IF(COUNTIFS(Base!$A$3:$A$5001,AF$3,Base!$B$3:$B$5001,$A$41,Base!$AD$3:$AD$5001,"&lt;&gt;")=0,"",SUMIFS(Base!$AD$3:$AD$5001,Base!$A$3:$A$5001,AF$3,Base!$B$3:$B$5001,$A$41)))</f>
        <v/>
      </c>
      <c r="AG59" s="103" t="str">
        <f>IF(AG$3="","",IF(COUNTIFS(Base!$A$3:$A$5001,AG$3,Base!$B$3:$B$5001,$A$41,Base!$AD$3:$AD$5001,"&lt;&gt;")=0,"",SUMIFS(Base!$AD$3:$AD$5001,Base!$A$3:$A$5001,AG$3,Base!$B$3:$B$5001,$A$41)))</f>
        <v/>
      </c>
      <c r="AH59" s="103" t="str">
        <f>IF(AH$3="","",IF(COUNTIFS(Base!$A$3:$A$5001,AH$3,Base!$B$3:$B$5001,$A$41,Base!$AD$3:$AD$5001,"&lt;&gt;")=0,"",SUMIFS(Base!$AD$3:$AD$5001,Base!$A$3:$A$5001,AH$3,Base!$B$3:$B$5001,$A$41)))</f>
        <v/>
      </c>
      <c r="AI59" s="103" t="str">
        <f>IF(AI$3="","",IF(COUNTIFS(Base!$A$3:$A$5001,AI$3,Base!$B$3:$B$5001,$A$41,Base!$AD$3:$AD$5001,"&lt;&gt;")=0,"",SUMIFS(Base!$AD$3:$AD$5001,Base!$A$3:$A$5001,AI$3,Base!$B$3:$B$5001,$A$41)))</f>
        <v/>
      </c>
      <c r="AJ59" s="104" t="str">
        <f>IF(AJ$3="","",IF(COUNTIFS(Base!$A$3:$A$5001,AJ$3,Base!$B$3:$B$5001,$A$41,Base!$AD$3:$AD$5001,"&lt;&gt;")=0,"",SUMIFS(Base!$AD$3:$AD$5001,Base!$A$3:$A$5001,AJ$3,Base!$B$3:$B$5001,$A$41)))</f>
        <v/>
      </c>
      <c r="AK59" s="100" t="str">
        <f>IF(COUNT(F59:AJ59)=0,"",SUM(F59:AJ59))</f>
        <v/>
      </c>
    </row>
    <row r="61" ht="15.75" customHeight="1">
      <c r="A61" s="117" t="inlineStr">
        <is>
          <t xml:space="preserve">SUPPLY</t>
        </is>
      </c>
      <c r="B61" s="105" t="inlineStr">
        <is>
          <t xml:space="preserve">IN</t>
        </is>
      </c>
      <c r="C61" s="21" t="inlineStr">
        <is>
          <t xml:space="preserve">Veículos Recebidos</t>
        </is>
      </c>
      <c r="D61" s="22" t="str">
        <f>IFERROR(1/(1/INDEX(calculos!$C$55:$K$83,MATCH("IN Veículos Recebidos",calculos!$A$55:$A$83,0),MATCH($A$61,calculos!$C$54:$K$54,0))),"")</f>
        <v/>
      </c>
      <c r="E61" s="23"/>
      <c r="F61" s="24" t="str">
        <f>IF(F$3="","",IF(COUNTIFS(Base!$A$3:$A$5001,F$3,Base!$B$3:$B$5001,$A$61,Base!$C$3:$C$5001,"&lt;&gt;")=0,"",SUMIFS(Base!$C$3:$C$5001,Base!$A$3:$A$5001,F$3,Base!$B$3:$B$5001,$A$61)))</f>
        <v/>
      </c>
      <c r="G61" s="25" t="str">
        <f>IF(G$3="","",IF(COUNTIFS(Base!$A$3:$A$5001,G$3,Base!$B$3:$B$5001,$A$61,Base!$C$3:$C$5001,"&lt;&gt;")=0,"",SUMIFS(Base!$C$3:$C$5001,Base!$A$3:$A$5001,G$3,Base!$B$3:$B$5001,$A$61)))</f>
        <v/>
      </c>
      <c r="H61" s="25" t="str">
        <f>IF(H$3="","",IF(COUNTIFS(Base!$A$3:$A$5001,H$3,Base!$B$3:$B$5001,$A$61,Base!$C$3:$C$5001,"&lt;&gt;")=0,"",SUMIFS(Base!$C$3:$C$5001,Base!$A$3:$A$5001,H$3,Base!$B$3:$B$5001,$A$61)))</f>
        <v/>
      </c>
      <c r="I61" s="25" t="str">
        <f>IF(I$3="","",IF(COUNTIFS(Base!$A$3:$A$5001,I$3,Base!$B$3:$B$5001,$A$61,Base!$C$3:$C$5001,"&lt;&gt;")=0,"",SUMIFS(Base!$C$3:$C$5001,Base!$A$3:$A$5001,I$3,Base!$B$3:$B$5001,$A$61)))</f>
        <v/>
      </c>
      <c r="J61" s="25" t="str">
        <f>IF(J$3="","",IF(COUNTIFS(Base!$A$3:$A$5001,J$3,Base!$B$3:$B$5001,$A$61,Base!$C$3:$C$5001,"&lt;&gt;")=0,"",SUMIFS(Base!$C$3:$C$5001,Base!$A$3:$A$5001,J$3,Base!$B$3:$B$5001,$A$61)))</f>
        <v/>
      </c>
      <c r="K61" s="25" t="str">
        <f>IF(K$3="","",IF(COUNTIFS(Base!$A$3:$A$5001,K$3,Base!$B$3:$B$5001,$A$61,Base!$C$3:$C$5001,"&lt;&gt;")=0,"",SUMIFS(Base!$C$3:$C$5001,Base!$A$3:$A$5001,K$3,Base!$B$3:$B$5001,$A$61)))</f>
        <v/>
      </c>
      <c r="L61" s="25" t="str">
        <f>IF(L$3="","",IF(COUNTIFS(Base!$A$3:$A$5001,L$3,Base!$B$3:$B$5001,$A$61,Base!$C$3:$C$5001,"&lt;&gt;")=0,"",SUMIFS(Base!$C$3:$C$5001,Base!$A$3:$A$5001,L$3,Base!$B$3:$B$5001,$A$61)))</f>
        <v/>
      </c>
      <c r="M61" s="25" t="str">
        <f>IF(M$3="","",IF(COUNTIFS(Base!$A$3:$A$5001,M$3,Base!$B$3:$B$5001,$A$61,Base!$C$3:$C$5001,"&lt;&gt;")=0,"",SUMIFS(Base!$C$3:$C$5001,Base!$A$3:$A$5001,M$3,Base!$B$3:$B$5001,$A$61)))</f>
        <v/>
      </c>
      <c r="N61" s="25" t="str">
        <f>IF(N$3="","",IF(COUNTIFS(Base!$A$3:$A$5001,N$3,Base!$B$3:$B$5001,$A$61,Base!$C$3:$C$5001,"&lt;&gt;")=0,"",SUMIFS(Base!$C$3:$C$5001,Base!$A$3:$A$5001,N$3,Base!$B$3:$B$5001,$A$61)))</f>
        <v/>
      </c>
      <c r="O61" s="25" t="str">
        <f>IF(O$3="","",IF(COUNTIFS(Base!$A$3:$A$5001,O$3,Base!$B$3:$B$5001,$A$61,Base!$C$3:$C$5001,"&lt;&gt;")=0,"",SUMIFS(Base!$C$3:$C$5001,Base!$A$3:$A$5001,O$3,Base!$B$3:$B$5001,$A$61)))</f>
        <v/>
      </c>
      <c r="P61" s="25" t="str">
        <f>IF(P$3="","",IF(COUNTIFS(Base!$A$3:$A$5001,P$3,Base!$B$3:$B$5001,$A$61,Base!$C$3:$C$5001,"&lt;&gt;")=0,"",SUMIFS(Base!$C$3:$C$5001,Base!$A$3:$A$5001,P$3,Base!$B$3:$B$5001,$A$61)))</f>
        <v/>
      </c>
      <c r="Q61" s="25" t="str">
        <f>IF(Q$3="","",IF(COUNTIFS(Base!$A$3:$A$5001,Q$3,Base!$B$3:$B$5001,$A$61,Base!$C$3:$C$5001,"&lt;&gt;")=0,"",SUMIFS(Base!$C$3:$C$5001,Base!$A$3:$A$5001,Q$3,Base!$B$3:$B$5001,$A$61)))</f>
        <v/>
      </c>
      <c r="R61" s="25" t="str">
        <f>IF(R$3="","",IF(COUNTIFS(Base!$A$3:$A$5001,R$3,Base!$B$3:$B$5001,$A$61,Base!$C$3:$C$5001,"&lt;&gt;")=0,"",SUMIFS(Base!$C$3:$C$5001,Base!$A$3:$A$5001,R$3,Base!$B$3:$B$5001,$A$61)))</f>
        <v/>
      </c>
      <c r="S61" s="25" t="str">
        <f>IF(S$3="","",IF(COUNTIFS(Base!$A$3:$A$5001,S$3,Base!$B$3:$B$5001,$A$61,Base!$C$3:$C$5001,"&lt;&gt;")=0,"",SUMIFS(Base!$C$3:$C$5001,Base!$A$3:$A$5001,S$3,Base!$B$3:$B$5001,$A$61)))</f>
        <v/>
      </c>
      <c r="T61" s="25" t="str">
        <f>IF(T$3="","",IF(COUNTIFS(Base!$A$3:$A$5001,T$3,Base!$B$3:$B$5001,$A$61,Base!$C$3:$C$5001,"&lt;&gt;")=0,"",SUMIFS(Base!$C$3:$C$5001,Base!$A$3:$A$5001,T$3,Base!$B$3:$B$5001,$A$61)))</f>
        <v/>
      </c>
      <c r="U61" s="25" t="str">
        <f>IF(U$3="","",IF(COUNTIFS(Base!$A$3:$A$5001,U$3,Base!$B$3:$B$5001,$A$61,Base!$C$3:$C$5001,"&lt;&gt;")=0,"",SUMIFS(Base!$C$3:$C$5001,Base!$A$3:$A$5001,U$3,Base!$B$3:$B$5001,$A$61)))</f>
        <v/>
      </c>
      <c r="V61" s="25" t="str">
        <f>IF(V$3="","",IF(COUNTIFS(Base!$A$3:$A$5001,V$3,Base!$B$3:$B$5001,$A$61,Base!$C$3:$C$5001,"&lt;&gt;")=0,"",SUMIFS(Base!$C$3:$C$5001,Base!$A$3:$A$5001,V$3,Base!$B$3:$B$5001,$A$61)))</f>
        <v/>
      </c>
      <c r="W61" s="25" t="str">
        <f>IF(W$3="","",IF(COUNTIFS(Base!$A$3:$A$5001,W$3,Base!$B$3:$B$5001,$A$61,Base!$C$3:$C$5001,"&lt;&gt;")=0,"",SUMIFS(Base!$C$3:$C$5001,Base!$A$3:$A$5001,W$3,Base!$B$3:$B$5001,$A$61)))</f>
        <v/>
      </c>
      <c r="X61" s="25" t="str">
        <f>IF(X$3="","",IF(COUNTIFS(Base!$A$3:$A$5001,X$3,Base!$B$3:$B$5001,$A$61,Base!$C$3:$C$5001,"&lt;&gt;")=0,"",SUMIFS(Base!$C$3:$C$5001,Base!$A$3:$A$5001,X$3,Base!$B$3:$B$5001,$A$61)))</f>
        <v/>
      </c>
      <c r="Y61" s="25" t="str">
        <f>IF(Y$3="","",IF(COUNTIFS(Base!$A$3:$A$5001,Y$3,Base!$B$3:$B$5001,$A$61,Base!$C$3:$C$5001,"&lt;&gt;")=0,"",SUMIFS(Base!$C$3:$C$5001,Base!$A$3:$A$5001,Y$3,Base!$B$3:$B$5001,$A$61)))</f>
        <v/>
      </c>
      <c r="Z61" s="25" t="str">
        <f>IF(Z$3="","",IF(COUNTIFS(Base!$A$3:$A$5001,Z$3,Base!$B$3:$B$5001,$A$61,Base!$C$3:$C$5001,"&lt;&gt;")=0,"",SUMIFS(Base!$C$3:$C$5001,Base!$A$3:$A$5001,Z$3,Base!$B$3:$B$5001,$A$61)))</f>
        <v/>
      </c>
      <c r="AA61" s="25" t="str">
        <f>IF(AA$3="","",IF(COUNTIFS(Base!$A$3:$A$5001,AA$3,Base!$B$3:$B$5001,$A$61,Base!$C$3:$C$5001,"&lt;&gt;")=0,"",SUMIFS(Base!$C$3:$C$5001,Base!$A$3:$A$5001,AA$3,Base!$B$3:$B$5001,$A$61)))</f>
        <v/>
      </c>
      <c r="AB61" s="25" t="str">
        <f>IF(AB$3="","",IF(COUNTIFS(Base!$A$3:$A$5001,AB$3,Base!$B$3:$B$5001,$A$61,Base!$C$3:$C$5001,"&lt;&gt;")=0,"",SUMIFS(Base!$C$3:$C$5001,Base!$A$3:$A$5001,AB$3,Base!$B$3:$B$5001,$A$61)))</f>
        <v/>
      </c>
      <c r="AC61" s="25" t="str">
        <f>IF(AC$3="","",IF(COUNTIFS(Base!$A$3:$A$5001,AC$3,Base!$B$3:$B$5001,$A$61,Base!$C$3:$C$5001,"&lt;&gt;")=0,"",SUMIFS(Base!$C$3:$C$5001,Base!$A$3:$A$5001,AC$3,Base!$B$3:$B$5001,$A$61)))</f>
        <v/>
      </c>
      <c r="AD61" s="25" t="str">
        <f>IF(AD$3="","",IF(COUNTIFS(Base!$A$3:$A$5001,AD$3,Base!$B$3:$B$5001,$A$61,Base!$C$3:$C$5001,"&lt;&gt;")=0,"",SUMIFS(Base!$C$3:$C$5001,Base!$A$3:$A$5001,AD$3,Base!$B$3:$B$5001,$A$61)))</f>
        <v/>
      </c>
      <c r="AE61" s="25" t="str">
        <f>IF(AE$3="","",IF(COUNTIFS(Base!$A$3:$A$5001,AE$3,Base!$B$3:$B$5001,$A$61,Base!$C$3:$C$5001,"&lt;&gt;")=0,"",SUMIFS(Base!$C$3:$C$5001,Base!$A$3:$A$5001,AE$3,Base!$B$3:$B$5001,$A$61)))</f>
        <v/>
      </c>
      <c r="AF61" s="25" t="str">
        <f>IF(AF$3="","",IF(COUNTIFS(Base!$A$3:$A$5001,AF$3,Base!$B$3:$B$5001,$A$61,Base!$C$3:$C$5001,"&lt;&gt;")=0,"",SUMIFS(Base!$C$3:$C$5001,Base!$A$3:$A$5001,AF$3,Base!$B$3:$B$5001,$A$61)))</f>
        <v/>
      </c>
      <c r="AG61" s="25" t="str">
        <f>IF(AG$3="","",IF(COUNTIFS(Base!$A$3:$A$5001,AG$3,Base!$B$3:$B$5001,$A$61,Base!$C$3:$C$5001,"&lt;&gt;")=0,"",SUMIFS(Base!$C$3:$C$5001,Base!$A$3:$A$5001,AG$3,Base!$B$3:$B$5001,$A$61)))</f>
        <v/>
      </c>
      <c r="AH61" s="25" t="str">
        <f>IF(AH$3="","",IF(COUNTIFS(Base!$A$3:$A$5001,AH$3,Base!$B$3:$B$5001,$A$61,Base!$C$3:$C$5001,"&lt;&gt;")=0,"",SUMIFS(Base!$C$3:$C$5001,Base!$A$3:$A$5001,AH$3,Base!$B$3:$B$5001,$A$61)))</f>
        <v/>
      </c>
      <c r="AI61" s="25" t="str">
        <f>IF(AI$3="","",IF(COUNTIFS(Base!$A$3:$A$5001,AI$3,Base!$B$3:$B$5001,$A$61,Base!$C$3:$C$5001,"&lt;&gt;")=0,"",SUMIFS(Base!$C$3:$C$5001,Base!$A$3:$A$5001,AI$3,Base!$B$3:$B$5001,$A$61)))</f>
        <v/>
      </c>
      <c r="AJ61" s="26" t="str">
        <f>IF(AJ$3="","",IF(COUNTIFS(Base!$A$3:$A$5001,AJ$3,Base!$B$3:$B$5001,$A$61,Base!$C$3:$C$5001,"&lt;&gt;")=0,"",SUMIFS(Base!$C$3:$C$5001,Base!$A$3:$A$5001,AJ$3,Base!$B$3:$B$5001,$A$61)))</f>
        <v/>
      </c>
      <c r="AK61" s="27" t="str">
        <f>IF(COUNT(F61:AJ61)=0,"",SUM(F61:AJ61))</f>
        <v/>
      </c>
    </row>
    <row r="62" ht="15.75" customHeight="1">
      <c r="A62" s="118"/>
      <c r="B62" s="106"/>
      <c r="C62" s="28" t="inlineStr">
        <is>
          <t xml:space="preserve">Pallets Movimentados</t>
        </is>
      </c>
      <c r="D62" s="29" t="str">
        <f>IFERROR(1/(1/INDEX(calculos!$C$55:$K$83,MATCH("IN Pallets Movimentados",calculos!$A$55:$A$83,0),MATCH($A$61,calculos!$C$54:$K$54,0))),"")</f>
        <v/>
      </c>
      <c r="E62" s="30"/>
      <c r="F62" s="31" t="str">
        <f>IF(F$3="","",IF(COUNTIFS(Base!$A$3:$A$5001,F$3,Base!$B$3:$B$5001,$A$61,Base!$D$3:$D$5001,"&lt;&gt;")=0,"",SUMIFS(Base!$D$3:$D$5001,Base!$A$3:$A$5001,F$3,Base!$B$3:$B$5001,$A$61)))</f>
        <v/>
      </c>
      <c r="G62" s="32" t="str">
        <f>IF(G$3="","",IF(COUNTIFS(Base!$A$3:$A$5001,G$3,Base!$B$3:$B$5001,$A$61,Base!$D$3:$D$5001,"&lt;&gt;")=0,"",SUMIFS(Base!$D$3:$D$5001,Base!$A$3:$A$5001,G$3,Base!$B$3:$B$5001,$A$61)))</f>
        <v/>
      </c>
      <c r="H62" s="32" t="str">
        <f>IF(H$3="","",IF(COUNTIFS(Base!$A$3:$A$5001,H$3,Base!$B$3:$B$5001,$A$61,Base!$D$3:$D$5001,"&lt;&gt;")=0,"",SUMIFS(Base!$D$3:$D$5001,Base!$A$3:$A$5001,H$3,Base!$B$3:$B$5001,$A$61)))</f>
        <v/>
      </c>
      <c r="I62" s="32" t="str">
        <f>IF(I$3="","",IF(COUNTIFS(Base!$A$3:$A$5001,I$3,Base!$B$3:$B$5001,$A$61,Base!$D$3:$D$5001,"&lt;&gt;")=0,"",SUMIFS(Base!$D$3:$D$5001,Base!$A$3:$A$5001,I$3,Base!$B$3:$B$5001,$A$61)))</f>
        <v/>
      </c>
      <c r="J62" s="32" t="str">
        <f>IF(J$3="","",IF(COUNTIFS(Base!$A$3:$A$5001,J$3,Base!$B$3:$B$5001,$A$61,Base!$D$3:$D$5001,"&lt;&gt;")=0,"",SUMIFS(Base!$D$3:$D$5001,Base!$A$3:$A$5001,J$3,Base!$B$3:$B$5001,$A$61)))</f>
        <v/>
      </c>
      <c r="K62" s="32" t="str">
        <f>IF(K$3="","",IF(COUNTIFS(Base!$A$3:$A$5001,K$3,Base!$B$3:$B$5001,$A$61,Base!$D$3:$D$5001,"&lt;&gt;")=0,"",SUMIFS(Base!$D$3:$D$5001,Base!$A$3:$A$5001,K$3,Base!$B$3:$B$5001,$A$61)))</f>
        <v/>
      </c>
      <c r="L62" s="32" t="str">
        <f>IF(L$3="","",IF(COUNTIFS(Base!$A$3:$A$5001,L$3,Base!$B$3:$B$5001,$A$61,Base!$D$3:$D$5001,"&lt;&gt;")=0,"",SUMIFS(Base!$D$3:$D$5001,Base!$A$3:$A$5001,L$3,Base!$B$3:$B$5001,$A$61)))</f>
        <v/>
      </c>
      <c r="M62" s="32" t="str">
        <f>IF(M$3="","",IF(COUNTIFS(Base!$A$3:$A$5001,M$3,Base!$B$3:$B$5001,$A$61,Base!$D$3:$D$5001,"&lt;&gt;")=0,"",SUMIFS(Base!$D$3:$D$5001,Base!$A$3:$A$5001,M$3,Base!$B$3:$B$5001,$A$61)))</f>
        <v/>
      </c>
      <c r="N62" s="32" t="str">
        <f>IF(N$3="","",IF(COUNTIFS(Base!$A$3:$A$5001,N$3,Base!$B$3:$B$5001,$A$61,Base!$D$3:$D$5001,"&lt;&gt;")=0,"",SUMIFS(Base!$D$3:$D$5001,Base!$A$3:$A$5001,N$3,Base!$B$3:$B$5001,$A$61)))</f>
        <v/>
      </c>
      <c r="O62" s="32" t="str">
        <f>IF(O$3="","",IF(COUNTIFS(Base!$A$3:$A$5001,O$3,Base!$B$3:$B$5001,$A$61,Base!$D$3:$D$5001,"&lt;&gt;")=0,"",SUMIFS(Base!$D$3:$D$5001,Base!$A$3:$A$5001,O$3,Base!$B$3:$B$5001,$A$61)))</f>
        <v/>
      </c>
      <c r="P62" s="32" t="str">
        <f>IF(P$3="","",IF(COUNTIFS(Base!$A$3:$A$5001,P$3,Base!$B$3:$B$5001,$A$61,Base!$D$3:$D$5001,"&lt;&gt;")=0,"",SUMIFS(Base!$D$3:$D$5001,Base!$A$3:$A$5001,P$3,Base!$B$3:$B$5001,$A$61)))</f>
        <v/>
      </c>
      <c r="Q62" s="32" t="str">
        <f>IF(Q$3="","",IF(COUNTIFS(Base!$A$3:$A$5001,Q$3,Base!$B$3:$B$5001,$A$61,Base!$D$3:$D$5001,"&lt;&gt;")=0,"",SUMIFS(Base!$D$3:$D$5001,Base!$A$3:$A$5001,Q$3,Base!$B$3:$B$5001,$A$61)))</f>
        <v/>
      </c>
      <c r="R62" s="32" t="str">
        <f>IF(R$3="","",IF(COUNTIFS(Base!$A$3:$A$5001,R$3,Base!$B$3:$B$5001,$A$61,Base!$D$3:$D$5001,"&lt;&gt;")=0,"",SUMIFS(Base!$D$3:$D$5001,Base!$A$3:$A$5001,R$3,Base!$B$3:$B$5001,$A$61)))</f>
        <v/>
      </c>
      <c r="S62" s="32" t="str">
        <f>IF(S$3="","",IF(COUNTIFS(Base!$A$3:$A$5001,S$3,Base!$B$3:$B$5001,$A$61,Base!$D$3:$D$5001,"&lt;&gt;")=0,"",SUMIFS(Base!$D$3:$D$5001,Base!$A$3:$A$5001,S$3,Base!$B$3:$B$5001,$A$61)))</f>
        <v/>
      </c>
      <c r="T62" s="32" t="str">
        <f>IF(T$3="","",IF(COUNTIFS(Base!$A$3:$A$5001,T$3,Base!$B$3:$B$5001,$A$61,Base!$D$3:$D$5001,"&lt;&gt;")=0,"",SUMIFS(Base!$D$3:$D$5001,Base!$A$3:$A$5001,T$3,Base!$B$3:$B$5001,$A$61)))</f>
        <v/>
      </c>
      <c r="U62" s="32" t="str">
        <f>IF(U$3="","",IF(COUNTIFS(Base!$A$3:$A$5001,U$3,Base!$B$3:$B$5001,$A$61,Base!$D$3:$D$5001,"&lt;&gt;")=0,"",SUMIFS(Base!$D$3:$D$5001,Base!$A$3:$A$5001,U$3,Base!$B$3:$B$5001,$A$61)))</f>
        <v/>
      </c>
      <c r="V62" s="32" t="str">
        <f>IF(V$3="","",IF(COUNTIFS(Base!$A$3:$A$5001,V$3,Base!$B$3:$B$5001,$A$61,Base!$D$3:$D$5001,"&lt;&gt;")=0,"",SUMIFS(Base!$D$3:$D$5001,Base!$A$3:$A$5001,V$3,Base!$B$3:$B$5001,$A$61)))</f>
        <v/>
      </c>
      <c r="W62" s="32" t="str">
        <f>IF(W$3="","",IF(COUNTIFS(Base!$A$3:$A$5001,W$3,Base!$B$3:$B$5001,$A$61,Base!$D$3:$D$5001,"&lt;&gt;")=0,"",SUMIFS(Base!$D$3:$D$5001,Base!$A$3:$A$5001,W$3,Base!$B$3:$B$5001,$A$61)))</f>
        <v/>
      </c>
      <c r="X62" s="32" t="str">
        <f>IF(X$3="","",IF(COUNTIFS(Base!$A$3:$A$5001,X$3,Base!$B$3:$B$5001,$A$61,Base!$D$3:$D$5001,"&lt;&gt;")=0,"",SUMIFS(Base!$D$3:$D$5001,Base!$A$3:$A$5001,X$3,Base!$B$3:$B$5001,$A$61)))</f>
        <v/>
      </c>
      <c r="Y62" s="32" t="str">
        <f>IF(Y$3="","",IF(COUNTIFS(Base!$A$3:$A$5001,Y$3,Base!$B$3:$B$5001,$A$61,Base!$D$3:$D$5001,"&lt;&gt;")=0,"",SUMIFS(Base!$D$3:$D$5001,Base!$A$3:$A$5001,Y$3,Base!$B$3:$B$5001,$A$61)))</f>
        <v/>
      </c>
      <c r="Z62" s="32" t="str">
        <f>IF(Z$3="","",IF(COUNTIFS(Base!$A$3:$A$5001,Z$3,Base!$B$3:$B$5001,$A$61,Base!$D$3:$D$5001,"&lt;&gt;")=0,"",SUMIFS(Base!$D$3:$D$5001,Base!$A$3:$A$5001,Z$3,Base!$B$3:$B$5001,$A$61)))</f>
        <v/>
      </c>
      <c r="AA62" s="32" t="str">
        <f>IF(AA$3="","",IF(COUNTIFS(Base!$A$3:$A$5001,AA$3,Base!$B$3:$B$5001,$A$61,Base!$D$3:$D$5001,"&lt;&gt;")=0,"",SUMIFS(Base!$D$3:$D$5001,Base!$A$3:$A$5001,AA$3,Base!$B$3:$B$5001,$A$61)))</f>
        <v/>
      </c>
      <c r="AB62" s="32" t="str">
        <f>IF(AB$3="","",IF(COUNTIFS(Base!$A$3:$A$5001,AB$3,Base!$B$3:$B$5001,$A$61,Base!$D$3:$D$5001,"&lt;&gt;")=0,"",SUMIFS(Base!$D$3:$D$5001,Base!$A$3:$A$5001,AB$3,Base!$B$3:$B$5001,$A$61)))</f>
        <v/>
      </c>
      <c r="AC62" s="32" t="str">
        <f>IF(AC$3="","",IF(COUNTIFS(Base!$A$3:$A$5001,AC$3,Base!$B$3:$B$5001,$A$61,Base!$D$3:$D$5001,"&lt;&gt;")=0,"",SUMIFS(Base!$D$3:$D$5001,Base!$A$3:$A$5001,AC$3,Base!$B$3:$B$5001,$A$61)))</f>
        <v/>
      </c>
      <c r="AD62" s="32" t="str">
        <f>IF(AD$3="","",IF(COUNTIFS(Base!$A$3:$A$5001,AD$3,Base!$B$3:$B$5001,$A$61,Base!$D$3:$D$5001,"&lt;&gt;")=0,"",SUMIFS(Base!$D$3:$D$5001,Base!$A$3:$A$5001,AD$3,Base!$B$3:$B$5001,$A$61)))</f>
        <v/>
      </c>
      <c r="AE62" s="32" t="str">
        <f>IF(AE$3="","",IF(COUNTIFS(Base!$A$3:$A$5001,AE$3,Base!$B$3:$B$5001,$A$61,Base!$D$3:$D$5001,"&lt;&gt;")=0,"",SUMIFS(Base!$D$3:$D$5001,Base!$A$3:$A$5001,AE$3,Base!$B$3:$B$5001,$A$61)))</f>
        <v/>
      </c>
      <c r="AF62" s="32" t="str">
        <f>IF(AF$3="","",IF(COUNTIFS(Base!$A$3:$A$5001,AF$3,Base!$B$3:$B$5001,$A$61,Base!$D$3:$D$5001,"&lt;&gt;")=0,"",SUMIFS(Base!$D$3:$D$5001,Base!$A$3:$A$5001,AF$3,Base!$B$3:$B$5001,$A$61)))</f>
        <v/>
      </c>
      <c r="AG62" s="32" t="str">
        <f>IF(AG$3="","",IF(COUNTIFS(Base!$A$3:$A$5001,AG$3,Base!$B$3:$B$5001,$A$61,Base!$D$3:$D$5001,"&lt;&gt;")=0,"",SUMIFS(Base!$D$3:$D$5001,Base!$A$3:$A$5001,AG$3,Base!$B$3:$B$5001,$A$61)))</f>
        <v/>
      </c>
      <c r="AH62" s="32" t="str">
        <f>IF(AH$3="","",IF(COUNTIFS(Base!$A$3:$A$5001,AH$3,Base!$B$3:$B$5001,$A$61,Base!$D$3:$D$5001,"&lt;&gt;")=0,"",SUMIFS(Base!$D$3:$D$5001,Base!$A$3:$A$5001,AH$3,Base!$B$3:$B$5001,$A$61)))</f>
        <v/>
      </c>
      <c r="AI62" s="32" t="str">
        <f>IF(AI$3="","",IF(COUNTIFS(Base!$A$3:$A$5001,AI$3,Base!$B$3:$B$5001,$A$61,Base!$D$3:$D$5001,"&lt;&gt;")=0,"",SUMIFS(Base!$D$3:$D$5001,Base!$A$3:$A$5001,AI$3,Base!$B$3:$B$5001,$A$61)))</f>
        <v/>
      </c>
      <c r="AJ62" s="33" t="str">
        <f>IF(AJ$3="","",IF(COUNTIFS(Base!$A$3:$A$5001,AJ$3,Base!$B$3:$B$5001,$A$61,Base!$D$3:$D$5001,"&lt;&gt;")=0,"",SUMIFS(Base!$D$3:$D$5001,Base!$A$3:$A$5001,AJ$3,Base!$B$3:$B$5001,$A$61)))</f>
        <v/>
      </c>
      <c r="AK62" s="34" t="str">
        <f>IF(COUNT(F62:AJ62)=0,"",SUM(F62:AJ62))</f>
        <v/>
      </c>
    </row>
    <row r="63" ht="15.75" customHeight="1">
      <c r="A63" s="118"/>
      <c r="B63" s="107"/>
      <c r="C63" s="35" t="inlineStr">
        <is>
          <t xml:space="preserve">Toneladas Movimentadas</t>
        </is>
      </c>
      <c r="D63" s="36" t="str">
        <f>IFERROR(1/(1/INDEX(calculos!$C$55:$K$83,MATCH("IN Toneladas Movimentadas",calculos!$A$55:$A$83,0),MATCH($A$61,calculos!$C$54:$K$54,0))),"")</f>
        <v/>
      </c>
      <c r="E63" s="37"/>
      <c r="F63" s="38" t="str">
        <f>IF(F$3="","",IF(COUNTIFS(Base!$A$3:$A$5001,F$3,Base!$B$3:$B$5001,$A$61,Base!$E$3:$E$5001,"&lt;&gt;")=0,"",SUMIFS(Base!$E$3:$E$5001,Base!$A$3:$A$5001,F$3,Base!$B$3:$B$5001,$A$61)))</f>
        <v/>
      </c>
      <c r="G63" s="39" t="str">
        <f>IF(G$3="","",IF(COUNTIFS(Base!$A$3:$A$5001,G$3,Base!$B$3:$B$5001,$A$61,Base!$E$3:$E$5001,"&lt;&gt;")=0,"",SUMIFS(Base!$E$3:$E$5001,Base!$A$3:$A$5001,G$3,Base!$B$3:$B$5001,$A$61)))</f>
        <v/>
      </c>
      <c r="H63" s="39" t="str">
        <f>IF(H$3="","",IF(COUNTIFS(Base!$A$3:$A$5001,H$3,Base!$B$3:$B$5001,$A$61,Base!$E$3:$E$5001,"&lt;&gt;")=0,"",SUMIFS(Base!$E$3:$E$5001,Base!$A$3:$A$5001,H$3,Base!$B$3:$B$5001,$A$61)))</f>
        <v/>
      </c>
      <c r="I63" s="39" t="str">
        <f>IF(I$3="","",IF(COUNTIFS(Base!$A$3:$A$5001,I$3,Base!$B$3:$B$5001,$A$61,Base!$E$3:$E$5001,"&lt;&gt;")=0,"",SUMIFS(Base!$E$3:$E$5001,Base!$A$3:$A$5001,I$3,Base!$B$3:$B$5001,$A$61)))</f>
        <v/>
      </c>
      <c r="J63" s="39" t="str">
        <f>IF(J$3="","",IF(COUNTIFS(Base!$A$3:$A$5001,J$3,Base!$B$3:$B$5001,$A$61,Base!$E$3:$E$5001,"&lt;&gt;")=0,"",SUMIFS(Base!$E$3:$E$5001,Base!$A$3:$A$5001,J$3,Base!$B$3:$B$5001,$A$61)))</f>
        <v/>
      </c>
      <c r="K63" s="39" t="str">
        <f>IF(K$3="","",IF(COUNTIFS(Base!$A$3:$A$5001,K$3,Base!$B$3:$B$5001,$A$61,Base!$E$3:$E$5001,"&lt;&gt;")=0,"",SUMIFS(Base!$E$3:$E$5001,Base!$A$3:$A$5001,K$3,Base!$B$3:$B$5001,$A$61)))</f>
        <v/>
      </c>
      <c r="L63" s="39" t="str">
        <f>IF(L$3="","",IF(COUNTIFS(Base!$A$3:$A$5001,L$3,Base!$B$3:$B$5001,$A$61,Base!$E$3:$E$5001,"&lt;&gt;")=0,"",SUMIFS(Base!$E$3:$E$5001,Base!$A$3:$A$5001,L$3,Base!$B$3:$B$5001,$A$61)))</f>
        <v/>
      </c>
      <c r="M63" s="39" t="str">
        <f>IF(M$3="","",IF(COUNTIFS(Base!$A$3:$A$5001,M$3,Base!$B$3:$B$5001,$A$61,Base!$E$3:$E$5001,"&lt;&gt;")=0,"",SUMIFS(Base!$E$3:$E$5001,Base!$A$3:$A$5001,M$3,Base!$B$3:$B$5001,$A$61)))</f>
        <v/>
      </c>
      <c r="N63" s="39" t="str">
        <f>IF(N$3="","",IF(COUNTIFS(Base!$A$3:$A$5001,N$3,Base!$B$3:$B$5001,$A$61,Base!$E$3:$E$5001,"&lt;&gt;")=0,"",SUMIFS(Base!$E$3:$E$5001,Base!$A$3:$A$5001,N$3,Base!$B$3:$B$5001,$A$61)))</f>
        <v/>
      </c>
      <c r="O63" s="39" t="str">
        <f>IF(O$3="","",IF(COUNTIFS(Base!$A$3:$A$5001,O$3,Base!$B$3:$B$5001,$A$61,Base!$E$3:$E$5001,"&lt;&gt;")=0,"",SUMIFS(Base!$E$3:$E$5001,Base!$A$3:$A$5001,O$3,Base!$B$3:$B$5001,$A$61)))</f>
        <v/>
      </c>
      <c r="P63" s="39" t="str">
        <f>IF(P$3="","",IF(COUNTIFS(Base!$A$3:$A$5001,P$3,Base!$B$3:$B$5001,$A$61,Base!$E$3:$E$5001,"&lt;&gt;")=0,"",SUMIFS(Base!$E$3:$E$5001,Base!$A$3:$A$5001,P$3,Base!$B$3:$B$5001,$A$61)))</f>
        <v/>
      </c>
      <c r="Q63" s="39" t="str">
        <f>IF(Q$3="","",IF(COUNTIFS(Base!$A$3:$A$5001,Q$3,Base!$B$3:$B$5001,$A$61,Base!$E$3:$E$5001,"&lt;&gt;")=0,"",SUMIFS(Base!$E$3:$E$5001,Base!$A$3:$A$5001,Q$3,Base!$B$3:$B$5001,$A$61)))</f>
        <v/>
      </c>
      <c r="R63" s="39" t="str">
        <f>IF(R$3="","",IF(COUNTIFS(Base!$A$3:$A$5001,R$3,Base!$B$3:$B$5001,$A$61,Base!$E$3:$E$5001,"&lt;&gt;")=0,"",SUMIFS(Base!$E$3:$E$5001,Base!$A$3:$A$5001,R$3,Base!$B$3:$B$5001,$A$61)))</f>
        <v/>
      </c>
      <c r="S63" s="39" t="str">
        <f>IF(S$3="","",IF(COUNTIFS(Base!$A$3:$A$5001,S$3,Base!$B$3:$B$5001,$A$61,Base!$E$3:$E$5001,"&lt;&gt;")=0,"",SUMIFS(Base!$E$3:$E$5001,Base!$A$3:$A$5001,S$3,Base!$B$3:$B$5001,$A$61)))</f>
        <v/>
      </c>
      <c r="T63" s="39" t="str">
        <f>IF(T$3="","",IF(COUNTIFS(Base!$A$3:$A$5001,T$3,Base!$B$3:$B$5001,$A$61,Base!$E$3:$E$5001,"&lt;&gt;")=0,"",SUMIFS(Base!$E$3:$E$5001,Base!$A$3:$A$5001,T$3,Base!$B$3:$B$5001,$A$61)))</f>
        <v/>
      </c>
      <c r="U63" s="39" t="str">
        <f>IF(U$3="","",IF(COUNTIFS(Base!$A$3:$A$5001,U$3,Base!$B$3:$B$5001,$A$61,Base!$E$3:$E$5001,"&lt;&gt;")=0,"",SUMIFS(Base!$E$3:$E$5001,Base!$A$3:$A$5001,U$3,Base!$B$3:$B$5001,$A$61)))</f>
        <v/>
      </c>
      <c r="V63" s="39" t="str">
        <f>IF(V$3="","",IF(COUNTIFS(Base!$A$3:$A$5001,V$3,Base!$B$3:$B$5001,$A$61,Base!$E$3:$E$5001,"&lt;&gt;")=0,"",SUMIFS(Base!$E$3:$E$5001,Base!$A$3:$A$5001,V$3,Base!$B$3:$B$5001,$A$61)))</f>
        <v/>
      </c>
      <c r="W63" s="39" t="str">
        <f>IF(W$3="","",IF(COUNTIFS(Base!$A$3:$A$5001,W$3,Base!$B$3:$B$5001,$A$61,Base!$E$3:$E$5001,"&lt;&gt;")=0,"",SUMIFS(Base!$E$3:$E$5001,Base!$A$3:$A$5001,W$3,Base!$B$3:$B$5001,$A$61)))</f>
        <v/>
      </c>
      <c r="X63" s="39" t="str">
        <f>IF(X$3="","",IF(COUNTIFS(Base!$A$3:$A$5001,X$3,Base!$B$3:$B$5001,$A$61,Base!$E$3:$E$5001,"&lt;&gt;")=0,"",SUMIFS(Base!$E$3:$E$5001,Base!$A$3:$A$5001,X$3,Base!$B$3:$B$5001,$A$61)))</f>
        <v/>
      </c>
      <c r="Y63" s="39" t="str">
        <f>IF(Y$3="","",IF(COUNTIFS(Base!$A$3:$A$5001,Y$3,Base!$B$3:$B$5001,$A$61,Base!$E$3:$E$5001,"&lt;&gt;")=0,"",SUMIFS(Base!$E$3:$E$5001,Base!$A$3:$A$5001,Y$3,Base!$B$3:$B$5001,$A$61)))</f>
        <v/>
      </c>
      <c r="Z63" s="39" t="str">
        <f>IF(Z$3="","",IF(COUNTIFS(Base!$A$3:$A$5001,Z$3,Base!$B$3:$B$5001,$A$61,Base!$E$3:$E$5001,"&lt;&gt;")=0,"",SUMIFS(Base!$E$3:$E$5001,Base!$A$3:$A$5001,Z$3,Base!$B$3:$B$5001,$A$61)))</f>
        <v/>
      </c>
      <c r="AA63" s="39" t="str">
        <f>IF(AA$3="","",IF(COUNTIFS(Base!$A$3:$A$5001,AA$3,Base!$B$3:$B$5001,$A$61,Base!$E$3:$E$5001,"&lt;&gt;")=0,"",SUMIFS(Base!$E$3:$E$5001,Base!$A$3:$A$5001,AA$3,Base!$B$3:$B$5001,$A$61)))</f>
        <v/>
      </c>
      <c r="AB63" s="39" t="str">
        <f>IF(AB$3="","",IF(COUNTIFS(Base!$A$3:$A$5001,AB$3,Base!$B$3:$B$5001,$A$61,Base!$E$3:$E$5001,"&lt;&gt;")=0,"",SUMIFS(Base!$E$3:$E$5001,Base!$A$3:$A$5001,AB$3,Base!$B$3:$B$5001,$A$61)))</f>
        <v/>
      </c>
      <c r="AC63" s="39" t="str">
        <f>IF(AC$3="","",IF(COUNTIFS(Base!$A$3:$A$5001,AC$3,Base!$B$3:$B$5001,$A$61,Base!$E$3:$E$5001,"&lt;&gt;")=0,"",SUMIFS(Base!$E$3:$E$5001,Base!$A$3:$A$5001,AC$3,Base!$B$3:$B$5001,$A$61)))</f>
        <v/>
      </c>
      <c r="AD63" s="39" t="str">
        <f>IF(AD$3="","",IF(COUNTIFS(Base!$A$3:$A$5001,AD$3,Base!$B$3:$B$5001,$A$61,Base!$E$3:$E$5001,"&lt;&gt;")=0,"",SUMIFS(Base!$E$3:$E$5001,Base!$A$3:$A$5001,AD$3,Base!$B$3:$B$5001,$A$61)))</f>
        <v/>
      </c>
      <c r="AE63" s="39" t="str">
        <f>IF(AE$3="","",IF(COUNTIFS(Base!$A$3:$A$5001,AE$3,Base!$B$3:$B$5001,$A$61,Base!$E$3:$E$5001,"&lt;&gt;")=0,"",SUMIFS(Base!$E$3:$E$5001,Base!$A$3:$A$5001,AE$3,Base!$B$3:$B$5001,$A$61)))</f>
        <v/>
      </c>
      <c r="AF63" s="39" t="str">
        <f>IF(AF$3="","",IF(COUNTIFS(Base!$A$3:$A$5001,AF$3,Base!$B$3:$B$5001,$A$61,Base!$E$3:$E$5001,"&lt;&gt;")=0,"",SUMIFS(Base!$E$3:$E$5001,Base!$A$3:$A$5001,AF$3,Base!$B$3:$B$5001,$A$61)))</f>
        <v/>
      </c>
      <c r="AG63" s="39" t="str">
        <f>IF(AG$3="","",IF(COUNTIFS(Base!$A$3:$A$5001,AG$3,Base!$B$3:$B$5001,$A$61,Base!$E$3:$E$5001,"&lt;&gt;")=0,"",SUMIFS(Base!$E$3:$E$5001,Base!$A$3:$A$5001,AG$3,Base!$B$3:$B$5001,$A$61)))</f>
        <v/>
      </c>
      <c r="AH63" s="39" t="str">
        <f>IF(AH$3="","",IF(COUNTIFS(Base!$A$3:$A$5001,AH$3,Base!$B$3:$B$5001,$A$61,Base!$E$3:$E$5001,"&lt;&gt;")=0,"",SUMIFS(Base!$E$3:$E$5001,Base!$A$3:$A$5001,AH$3,Base!$B$3:$B$5001,$A$61)))</f>
        <v/>
      </c>
      <c r="AI63" s="39" t="str">
        <f>IF(AI$3="","",IF(COUNTIFS(Base!$A$3:$A$5001,AI$3,Base!$B$3:$B$5001,$A$61,Base!$E$3:$E$5001,"&lt;&gt;")=0,"",SUMIFS(Base!$E$3:$E$5001,Base!$A$3:$A$5001,AI$3,Base!$B$3:$B$5001,$A$61)))</f>
        <v/>
      </c>
      <c r="AJ63" s="40" t="str">
        <f>IF(AJ$3="","",IF(COUNTIFS(Base!$A$3:$A$5001,AJ$3,Base!$B$3:$B$5001,$A$61,Base!$E$3:$E$5001,"&lt;&gt;")=0,"",SUMIFS(Base!$E$3:$E$5001,Base!$A$3:$A$5001,AJ$3,Base!$B$3:$B$5001,$A$61)))</f>
        <v/>
      </c>
      <c r="AK63" s="36" t="str">
        <f>IF(COUNT(F63:AJ63)=0,"",SUM(F63:AJ63))</f>
        <v/>
      </c>
    </row>
    <row r="64" ht="15.75" customHeight="1">
      <c r="A64" s="118"/>
      <c r="B64" s="108" t="inlineStr">
        <is>
          <t xml:space="preserve">OUT</t>
        </is>
      </c>
      <c r="C64" s="41" t="inlineStr">
        <is>
          <t xml:space="preserve">Veículos Expedidos</t>
        </is>
      </c>
      <c r="D64" s="42" t="str">
        <f>IFERROR(1/(1/INDEX(calculos!$C$55:$K$83,MATCH("OUT Veículos Expedidos",calculos!$A$55:$A$83,0),MATCH($A$61,calculos!$C$54:$K$54,0))),"")</f>
        <v/>
      </c>
      <c r="E64" s="43"/>
      <c r="F64" s="44" t="str">
        <f>IF(F$3="","",IF(COUNTIFS(Base!$A$3:$A$5001,F$3,Base!$B$3:$B$5001,$A$61,Base!$L$3:$L$5001,"&lt;&gt;")=0,"",SUMIFS(Base!$L$3:$L$5001,Base!$A$3:$A$5001,F$3,Base!$B$3:$B$5001,$A$61)))</f>
        <v/>
      </c>
      <c r="G64" s="45" t="str">
        <f>IF(G$3="","",IF(COUNTIFS(Base!$A$3:$A$5001,G$3,Base!$B$3:$B$5001,$A$61,Base!$L$3:$L$5001,"&lt;&gt;")=0,"",SUMIFS(Base!$L$3:$L$5001,Base!$A$3:$A$5001,G$3,Base!$B$3:$B$5001,$A$61)))</f>
        <v/>
      </c>
      <c r="H64" s="45" t="str">
        <f>IF(H$3="","",IF(COUNTIFS(Base!$A$3:$A$5001,H$3,Base!$B$3:$B$5001,$A$61,Base!$L$3:$L$5001,"&lt;&gt;")=0,"",SUMIFS(Base!$L$3:$L$5001,Base!$A$3:$A$5001,H$3,Base!$B$3:$B$5001,$A$61)))</f>
        <v/>
      </c>
      <c r="I64" s="45" t="str">
        <f>IF(I$3="","",IF(COUNTIFS(Base!$A$3:$A$5001,I$3,Base!$B$3:$B$5001,$A$61,Base!$L$3:$L$5001,"&lt;&gt;")=0,"",SUMIFS(Base!$L$3:$L$5001,Base!$A$3:$A$5001,I$3,Base!$B$3:$B$5001,$A$61)))</f>
        <v/>
      </c>
      <c r="J64" s="45" t="str">
        <f>IF(J$3="","",IF(COUNTIFS(Base!$A$3:$A$5001,J$3,Base!$B$3:$B$5001,$A$61,Base!$L$3:$L$5001,"&lt;&gt;")=0,"",SUMIFS(Base!$L$3:$L$5001,Base!$A$3:$A$5001,J$3,Base!$B$3:$B$5001,$A$61)))</f>
        <v/>
      </c>
      <c r="K64" s="45" t="str">
        <f>IF(K$3="","",IF(COUNTIFS(Base!$A$3:$A$5001,K$3,Base!$B$3:$B$5001,$A$61,Base!$L$3:$L$5001,"&lt;&gt;")=0,"",SUMIFS(Base!$L$3:$L$5001,Base!$A$3:$A$5001,K$3,Base!$B$3:$B$5001,$A$61)))</f>
        <v/>
      </c>
      <c r="L64" s="45" t="str">
        <f>IF(L$3="","",IF(COUNTIFS(Base!$A$3:$A$5001,L$3,Base!$B$3:$B$5001,$A$61,Base!$L$3:$L$5001,"&lt;&gt;")=0,"",SUMIFS(Base!$L$3:$L$5001,Base!$A$3:$A$5001,L$3,Base!$B$3:$B$5001,$A$61)))</f>
        <v/>
      </c>
      <c r="M64" s="45" t="str">
        <f>IF(M$3="","",IF(COUNTIFS(Base!$A$3:$A$5001,M$3,Base!$B$3:$B$5001,$A$61,Base!$L$3:$L$5001,"&lt;&gt;")=0,"",SUMIFS(Base!$L$3:$L$5001,Base!$A$3:$A$5001,M$3,Base!$B$3:$B$5001,$A$61)))</f>
        <v/>
      </c>
      <c r="N64" s="45" t="str">
        <f>IF(N$3="","",IF(COUNTIFS(Base!$A$3:$A$5001,N$3,Base!$B$3:$B$5001,$A$61,Base!$L$3:$L$5001,"&lt;&gt;")=0,"",SUMIFS(Base!$L$3:$L$5001,Base!$A$3:$A$5001,N$3,Base!$B$3:$B$5001,$A$61)))</f>
        <v/>
      </c>
      <c r="O64" s="45" t="str">
        <f>IF(O$3="","",IF(COUNTIFS(Base!$A$3:$A$5001,O$3,Base!$B$3:$B$5001,$A$61,Base!$L$3:$L$5001,"&lt;&gt;")=0,"",SUMIFS(Base!$L$3:$L$5001,Base!$A$3:$A$5001,O$3,Base!$B$3:$B$5001,$A$61)))</f>
        <v/>
      </c>
      <c r="P64" s="45" t="str">
        <f>IF(P$3="","",IF(COUNTIFS(Base!$A$3:$A$5001,P$3,Base!$B$3:$B$5001,$A$61,Base!$L$3:$L$5001,"&lt;&gt;")=0,"",SUMIFS(Base!$L$3:$L$5001,Base!$A$3:$A$5001,P$3,Base!$B$3:$B$5001,$A$61)))</f>
        <v/>
      </c>
      <c r="Q64" s="45" t="str">
        <f>IF(Q$3="","",IF(COUNTIFS(Base!$A$3:$A$5001,Q$3,Base!$B$3:$B$5001,$A$61,Base!$L$3:$L$5001,"&lt;&gt;")=0,"",SUMIFS(Base!$L$3:$L$5001,Base!$A$3:$A$5001,Q$3,Base!$B$3:$B$5001,$A$61)))</f>
        <v/>
      </c>
      <c r="R64" s="45" t="str">
        <f>IF(R$3="","",IF(COUNTIFS(Base!$A$3:$A$5001,R$3,Base!$B$3:$B$5001,$A$61,Base!$L$3:$L$5001,"&lt;&gt;")=0,"",SUMIFS(Base!$L$3:$L$5001,Base!$A$3:$A$5001,R$3,Base!$B$3:$B$5001,$A$61)))</f>
        <v/>
      </c>
      <c r="S64" s="45" t="str">
        <f>IF(S$3="","",IF(COUNTIFS(Base!$A$3:$A$5001,S$3,Base!$B$3:$B$5001,$A$61,Base!$L$3:$L$5001,"&lt;&gt;")=0,"",SUMIFS(Base!$L$3:$L$5001,Base!$A$3:$A$5001,S$3,Base!$B$3:$B$5001,$A$61)))</f>
        <v/>
      </c>
      <c r="T64" s="45" t="str">
        <f>IF(T$3="","",IF(COUNTIFS(Base!$A$3:$A$5001,T$3,Base!$B$3:$B$5001,$A$61,Base!$L$3:$L$5001,"&lt;&gt;")=0,"",SUMIFS(Base!$L$3:$L$5001,Base!$A$3:$A$5001,T$3,Base!$B$3:$B$5001,$A$61)))</f>
        <v/>
      </c>
      <c r="U64" s="45" t="str">
        <f>IF(U$3="","",IF(COUNTIFS(Base!$A$3:$A$5001,U$3,Base!$B$3:$B$5001,$A$61,Base!$L$3:$L$5001,"&lt;&gt;")=0,"",SUMIFS(Base!$L$3:$L$5001,Base!$A$3:$A$5001,U$3,Base!$B$3:$B$5001,$A$61)))</f>
        <v/>
      </c>
      <c r="V64" s="45" t="str">
        <f>IF(V$3="","",IF(COUNTIFS(Base!$A$3:$A$5001,V$3,Base!$B$3:$B$5001,$A$61,Base!$L$3:$L$5001,"&lt;&gt;")=0,"",SUMIFS(Base!$L$3:$L$5001,Base!$A$3:$A$5001,V$3,Base!$B$3:$B$5001,$A$61)))</f>
        <v/>
      </c>
      <c r="W64" s="45" t="str">
        <f>IF(W$3="","",IF(COUNTIFS(Base!$A$3:$A$5001,W$3,Base!$B$3:$B$5001,$A$61,Base!$L$3:$L$5001,"&lt;&gt;")=0,"",SUMIFS(Base!$L$3:$L$5001,Base!$A$3:$A$5001,W$3,Base!$B$3:$B$5001,$A$61)))</f>
        <v/>
      </c>
      <c r="X64" s="45" t="str">
        <f>IF(X$3="","",IF(COUNTIFS(Base!$A$3:$A$5001,X$3,Base!$B$3:$B$5001,$A$61,Base!$L$3:$L$5001,"&lt;&gt;")=0,"",SUMIFS(Base!$L$3:$L$5001,Base!$A$3:$A$5001,X$3,Base!$B$3:$B$5001,$A$61)))</f>
        <v/>
      </c>
      <c r="Y64" s="45" t="str">
        <f>IF(Y$3="","",IF(COUNTIFS(Base!$A$3:$A$5001,Y$3,Base!$B$3:$B$5001,$A$61,Base!$L$3:$L$5001,"&lt;&gt;")=0,"",SUMIFS(Base!$L$3:$L$5001,Base!$A$3:$A$5001,Y$3,Base!$B$3:$B$5001,$A$61)))</f>
        <v/>
      </c>
      <c r="Z64" s="45" t="str">
        <f>IF(Z$3="","",IF(COUNTIFS(Base!$A$3:$A$5001,Z$3,Base!$B$3:$B$5001,$A$61,Base!$L$3:$L$5001,"&lt;&gt;")=0,"",SUMIFS(Base!$L$3:$L$5001,Base!$A$3:$A$5001,Z$3,Base!$B$3:$B$5001,$A$61)))</f>
        <v/>
      </c>
      <c r="AA64" s="45" t="str">
        <f>IF(AA$3="","",IF(COUNTIFS(Base!$A$3:$A$5001,AA$3,Base!$B$3:$B$5001,$A$61,Base!$L$3:$L$5001,"&lt;&gt;")=0,"",SUMIFS(Base!$L$3:$L$5001,Base!$A$3:$A$5001,AA$3,Base!$B$3:$B$5001,$A$61)))</f>
        <v/>
      </c>
      <c r="AB64" s="45" t="str">
        <f>IF(AB$3="","",IF(COUNTIFS(Base!$A$3:$A$5001,AB$3,Base!$B$3:$B$5001,$A$61,Base!$L$3:$L$5001,"&lt;&gt;")=0,"",SUMIFS(Base!$L$3:$L$5001,Base!$A$3:$A$5001,AB$3,Base!$B$3:$B$5001,$A$61)))</f>
        <v/>
      </c>
      <c r="AC64" s="45" t="str">
        <f>IF(AC$3="","",IF(COUNTIFS(Base!$A$3:$A$5001,AC$3,Base!$B$3:$B$5001,$A$61,Base!$L$3:$L$5001,"&lt;&gt;")=0,"",SUMIFS(Base!$L$3:$L$5001,Base!$A$3:$A$5001,AC$3,Base!$B$3:$B$5001,$A$61)))</f>
        <v/>
      </c>
      <c r="AD64" s="45" t="str">
        <f>IF(AD$3="","",IF(COUNTIFS(Base!$A$3:$A$5001,AD$3,Base!$B$3:$B$5001,$A$61,Base!$L$3:$L$5001,"&lt;&gt;")=0,"",SUMIFS(Base!$L$3:$L$5001,Base!$A$3:$A$5001,AD$3,Base!$B$3:$B$5001,$A$61)))</f>
        <v/>
      </c>
      <c r="AE64" s="45" t="str">
        <f>IF(AE$3="","",IF(COUNTIFS(Base!$A$3:$A$5001,AE$3,Base!$B$3:$B$5001,$A$61,Base!$L$3:$L$5001,"&lt;&gt;")=0,"",SUMIFS(Base!$L$3:$L$5001,Base!$A$3:$A$5001,AE$3,Base!$B$3:$B$5001,$A$61)))</f>
        <v/>
      </c>
      <c r="AF64" s="45" t="str">
        <f>IF(AF$3="","",IF(COUNTIFS(Base!$A$3:$A$5001,AF$3,Base!$B$3:$B$5001,$A$61,Base!$L$3:$L$5001,"&lt;&gt;")=0,"",SUMIFS(Base!$L$3:$L$5001,Base!$A$3:$A$5001,AF$3,Base!$B$3:$B$5001,$A$61)))</f>
        <v/>
      </c>
      <c r="AG64" s="45" t="str">
        <f>IF(AG$3="","",IF(COUNTIFS(Base!$A$3:$A$5001,AG$3,Base!$B$3:$B$5001,$A$61,Base!$L$3:$L$5001,"&lt;&gt;")=0,"",SUMIFS(Base!$L$3:$L$5001,Base!$A$3:$A$5001,AG$3,Base!$B$3:$B$5001,$A$61)))</f>
        <v/>
      </c>
      <c r="AH64" s="45" t="str">
        <f>IF(AH$3="","",IF(COUNTIFS(Base!$A$3:$A$5001,AH$3,Base!$B$3:$B$5001,$A$61,Base!$L$3:$L$5001,"&lt;&gt;")=0,"",SUMIFS(Base!$L$3:$L$5001,Base!$A$3:$A$5001,AH$3,Base!$B$3:$B$5001,$A$61)))</f>
        <v/>
      </c>
      <c r="AI64" s="45" t="str">
        <f>IF(AI$3="","",IF(COUNTIFS(Base!$A$3:$A$5001,AI$3,Base!$B$3:$B$5001,$A$61,Base!$L$3:$L$5001,"&lt;&gt;")=0,"",SUMIFS(Base!$L$3:$L$5001,Base!$A$3:$A$5001,AI$3,Base!$B$3:$B$5001,$A$61)))</f>
        <v/>
      </c>
      <c r="AJ64" s="46" t="str">
        <f>IF(AJ$3="","",IF(COUNTIFS(Base!$A$3:$A$5001,AJ$3,Base!$B$3:$B$5001,$A$61,Base!$L$3:$L$5001,"&lt;&gt;")=0,"",SUMIFS(Base!$L$3:$L$5001,Base!$A$3:$A$5001,AJ$3,Base!$B$3:$B$5001,$A$61)))</f>
        <v/>
      </c>
      <c r="AK64" s="47" t="str">
        <f>IF(COUNT(F64:AJ64)=0,"",SUM(F64:AJ64))</f>
        <v/>
      </c>
    </row>
    <row r="65" ht="15.75" customHeight="1">
      <c r="A65" s="118"/>
      <c r="B65" s="109"/>
      <c r="C65" s="48" t="inlineStr">
        <is>
          <t xml:space="preserve">Pallets Movimentados</t>
        </is>
      </c>
      <c r="D65" s="49" t="str">
        <f>IFERROR(1/(1/INDEX(calculos!$C$55:$K$83,MATCH("OUT Pallets Movimentados",calculos!$A$55:$A$83,0),MATCH($A$61,calculos!$C$54:$K$54,0))),"")</f>
        <v/>
      </c>
      <c r="E65" s="50"/>
      <c r="F65" s="51" t="str">
        <f>IF(F$3="","",IF(COUNTIFS(Base!$A$3:$A$5001,F$3,Base!$B$3:$B$5001,$A$61,Base!$M$3:$M$5001,"&lt;&gt;")=0,"",SUMIFS(Base!$M$3:$M$5001,Base!$A$3:$A$5001,F$3,Base!$B$3:$B$5001,$A$61)))</f>
        <v/>
      </c>
      <c r="G65" s="52" t="str">
        <f>IF(G$3="","",IF(COUNTIFS(Base!$A$3:$A$5001,G$3,Base!$B$3:$B$5001,$A$61,Base!$M$3:$M$5001,"&lt;&gt;")=0,"",SUMIFS(Base!$M$3:$M$5001,Base!$A$3:$A$5001,G$3,Base!$B$3:$B$5001,$A$61)))</f>
        <v/>
      </c>
      <c r="H65" s="52" t="str">
        <f>IF(H$3="","",IF(COUNTIFS(Base!$A$3:$A$5001,H$3,Base!$B$3:$B$5001,$A$61,Base!$M$3:$M$5001,"&lt;&gt;")=0,"",SUMIFS(Base!$M$3:$M$5001,Base!$A$3:$A$5001,H$3,Base!$B$3:$B$5001,$A$61)))</f>
        <v/>
      </c>
      <c r="I65" s="52" t="str">
        <f>IF(I$3="","",IF(COUNTIFS(Base!$A$3:$A$5001,I$3,Base!$B$3:$B$5001,$A$61,Base!$M$3:$M$5001,"&lt;&gt;")=0,"",SUMIFS(Base!$M$3:$M$5001,Base!$A$3:$A$5001,I$3,Base!$B$3:$B$5001,$A$61)))</f>
        <v/>
      </c>
      <c r="J65" s="52" t="str">
        <f>IF(J$3="","",IF(COUNTIFS(Base!$A$3:$A$5001,J$3,Base!$B$3:$B$5001,$A$61,Base!$M$3:$M$5001,"&lt;&gt;")=0,"",SUMIFS(Base!$M$3:$M$5001,Base!$A$3:$A$5001,J$3,Base!$B$3:$B$5001,$A$61)))</f>
        <v/>
      </c>
      <c r="K65" s="52" t="str">
        <f>IF(K$3="","",IF(COUNTIFS(Base!$A$3:$A$5001,K$3,Base!$B$3:$B$5001,$A$61,Base!$M$3:$M$5001,"&lt;&gt;")=0,"",SUMIFS(Base!$M$3:$M$5001,Base!$A$3:$A$5001,K$3,Base!$B$3:$B$5001,$A$61)))</f>
        <v/>
      </c>
      <c r="L65" s="52" t="str">
        <f>IF(L$3="","",IF(COUNTIFS(Base!$A$3:$A$5001,L$3,Base!$B$3:$B$5001,$A$61,Base!$M$3:$M$5001,"&lt;&gt;")=0,"",SUMIFS(Base!$M$3:$M$5001,Base!$A$3:$A$5001,L$3,Base!$B$3:$B$5001,$A$61)))</f>
        <v/>
      </c>
      <c r="M65" s="52" t="str">
        <f>IF(M$3="","",IF(COUNTIFS(Base!$A$3:$A$5001,M$3,Base!$B$3:$B$5001,$A$61,Base!$M$3:$M$5001,"&lt;&gt;")=0,"",SUMIFS(Base!$M$3:$M$5001,Base!$A$3:$A$5001,M$3,Base!$B$3:$B$5001,$A$61)))</f>
        <v/>
      </c>
      <c r="N65" s="52" t="str">
        <f>IF(N$3="","",IF(COUNTIFS(Base!$A$3:$A$5001,N$3,Base!$B$3:$B$5001,$A$61,Base!$M$3:$M$5001,"&lt;&gt;")=0,"",SUMIFS(Base!$M$3:$M$5001,Base!$A$3:$A$5001,N$3,Base!$B$3:$B$5001,$A$61)))</f>
        <v/>
      </c>
      <c r="O65" s="52" t="str">
        <f>IF(O$3="","",IF(COUNTIFS(Base!$A$3:$A$5001,O$3,Base!$B$3:$B$5001,$A$61,Base!$M$3:$M$5001,"&lt;&gt;")=0,"",SUMIFS(Base!$M$3:$M$5001,Base!$A$3:$A$5001,O$3,Base!$B$3:$B$5001,$A$61)))</f>
        <v/>
      </c>
      <c r="P65" s="52" t="str">
        <f>IF(P$3="","",IF(COUNTIFS(Base!$A$3:$A$5001,P$3,Base!$B$3:$B$5001,$A$61,Base!$M$3:$M$5001,"&lt;&gt;")=0,"",SUMIFS(Base!$M$3:$M$5001,Base!$A$3:$A$5001,P$3,Base!$B$3:$B$5001,$A$61)))</f>
        <v/>
      </c>
      <c r="Q65" s="52" t="str">
        <f>IF(Q$3="","",IF(COUNTIFS(Base!$A$3:$A$5001,Q$3,Base!$B$3:$B$5001,$A$61,Base!$M$3:$M$5001,"&lt;&gt;")=0,"",SUMIFS(Base!$M$3:$M$5001,Base!$A$3:$A$5001,Q$3,Base!$B$3:$B$5001,$A$61)))</f>
        <v/>
      </c>
      <c r="R65" s="52" t="str">
        <f>IF(R$3="","",IF(COUNTIFS(Base!$A$3:$A$5001,R$3,Base!$B$3:$B$5001,$A$61,Base!$M$3:$M$5001,"&lt;&gt;")=0,"",SUMIFS(Base!$M$3:$M$5001,Base!$A$3:$A$5001,R$3,Base!$B$3:$B$5001,$A$61)))</f>
        <v/>
      </c>
      <c r="S65" s="52" t="str">
        <f>IF(S$3="","",IF(COUNTIFS(Base!$A$3:$A$5001,S$3,Base!$B$3:$B$5001,$A$61,Base!$M$3:$M$5001,"&lt;&gt;")=0,"",SUMIFS(Base!$M$3:$M$5001,Base!$A$3:$A$5001,S$3,Base!$B$3:$B$5001,$A$61)))</f>
        <v/>
      </c>
      <c r="T65" s="52" t="str">
        <f>IF(T$3="","",IF(COUNTIFS(Base!$A$3:$A$5001,T$3,Base!$B$3:$B$5001,$A$61,Base!$M$3:$M$5001,"&lt;&gt;")=0,"",SUMIFS(Base!$M$3:$M$5001,Base!$A$3:$A$5001,T$3,Base!$B$3:$B$5001,$A$61)))</f>
        <v/>
      </c>
      <c r="U65" s="52" t="str">
        <f>IF(U$3="","",IF(COUNTIFS(Base!$A$3:$A$5001,U$3,Base!$B$3:$B$5001,$A$61,Base!$M$3:$M$5001,"&lt;&gt;")=0,"",SUMIFS(Base!$M$3:$M$5001,Base!$A$3:$A$5001,U$3,Base!$B$3:$B$5001,$A$61)))</f>
        <v/>
      </c>
      <c r="V65" s="52" t="str">
        <f>IF(V$3="","",IF(COUNTIFS(Base!$A$3:$A$5001,V$3,Base!$B$3:$B$5001,$A$61,Base!$M$3:$M$5001,"&lt;&gt;")=0,"",SUMIFS(Base!$M$3:$M$5001,Base!$A$3:$A$5001,V$3,Base!$B$3:$B$5001,$A$61)))</f>
        <v/>
      </c>
      <c r="W65" s="52" t="str">
        <f>IF(W$3="","",IF(COUNTIFS(Base!$A$3:$A$5001,W$3,Base!$B$3:$B$5001,$A$61,Base!$M$3:$M$5001,"&lt;&gt;")=0,"",SUMIFS(Base!$M$3:$M$5001,Base!$A$3:$A$5001,W$3,Base!$B$3:$B$5001,$A$61)))</f>
        <v/>
      </c>
      <c r="X65" s="52" t="str">
        <f>IF(X$3="","",IF(COUNTIFS(Base!$A$3:$A$5001,X$3,Base!$B$3:$B$5001,$A$61,Base!$M$3:$M$5001,"&lt;&gt;")=0,"",SUMIFS(Base!$M$3:$M$5001,Base!$A$3:$A$5001,X$3,Base!$B$3:$B$5001,$A$61)))</f>
        <v/>
      </c>
      <c r="Y65" s="52" t="str">
        <f>IF(Y$3="","",IF(COUNTIFS(Base!$A$3:$A$5001,Y$3,Base!$B$3:$B$5001,$A$61,Base!$M$3:$M$5001,"&lt;&gt;")=0,"",SUMIFS(Base!$M$3:$M$5001,Base!$A$3:$A$5001,Y$3,Base!$B$3:$B$5001,$A$61)))</f>
        <v/>
      </c>
      <c r="Z65" s="52" t="str">
        <f>IF(Z$3="","",IF(COUNTIFS(Base!$A$3:$A$5001,Z$3,Base!$B$3:$B$5001,$A$61,Base!$M$3:$M$5001,"&lt;&gt;")=0,"",SUMIFS(Base!$M$3:$M$5001,Base!$A$3:$A$5001,Z$3,Base!$B$3:$B$5001,$A$61)))</f>
        <v/>
      </c>
      <c r="AA65" s="52" t="str">
        <f>IF(AA$3="","",IF(COUNTIFS(Base!$A$3:$A$5001,AA$3,Base!$B$3:$B$5001,$A$61,Base!$M$3:$M$5001,"&lt;&gt;")=0,"",SUMIFS(Base!$M$3:$M$5001,Base!$A$3:$A$5001,AA$3,Base!$B$3:$B$5001,$A$61)))</f>
        <v/>
      </c>
      <c r="AB65" s="52" t="str">
        <f>IF(AB$3="","",IF(COUNTIFS(Base!$A$3:$A$5001,AB$3,Base!$B$3:$B$5001,$A$61,Base!$M$3:$M$5001,"&lt;&gt;")=0,"",SUMIFS(Base!$M$3:$M$5001,Base!$A$3:$A$5001,AB$3,Base!$B$3:$B$5001,$A$61)))</f>
        <v/>
      </c>
      <c r="AC65" s="52" t="str">
        <f>IF(AC$3="","",IF(COUNTIFS(Base!$A$3:$A$5001,AC$3,Base!$B$3:$B$5001,$A$61,Base!$M$3:$M$5001,"&lt;&gt;")=0,"",SUMIFS(Base!$M$3:$M$5001,Base!$A$3:$A$5001,AC$3,Base!$B$3:$B$5001,$A$61)))</f>
        <v/>
      </c>
      <c r="AD65" s="52" t="str">
        <f>IF(AD$3="","",IF(COUNTIFS(Base!$A$3:$A$5001,AD$3,Base!$B$3:$B$5001,$A$61,Base!$M$3:$M$5001,"&lt;&gt;")=0,"",SUMIFS(Base!$M$3:$M$5001,Base!$A$3:$A$5001,AD$3,Base!$B$3:$B$5001,$A$61)))</f>
        <v/>
      </c>
      <c r="AE65" s="52" t="str">
        <f>IF(AE$3="","",IF(COUNTIFS(Base!$A$3:$A$5001,AE$3,Base!$B$3:$B$5001,$A$61,Base!$M$3:$M$5001,"&lt;&gt;")=0,"",SUMIFS(Base!$M$3:$M$5001,Base!$A$3:$A$5001,AE$3,Base!$B$3:$B$5001,$A$61)))</f>
        <v/>
      </c>
      <c r="AF65" s="52" t="str">
        <f>IF(AF$3="","",IF(COUNTIFS(Base!$A$3:$A$5001,AF$3,Base!$B$3:$B$5001,$A$61,Base!$M$3:$M$5001,"&lt;&gt;")=0,"",SUMIFS(Base!$M$3:$M$5001,Base!$A$3:$A$5001,AF$3,Base!$B$3:$B$5001,$A$61)))</f>
        <v/>
      </c>
      <c r="AG65" s="52" t="str">
        <f>IF(AG$3="","",IF(COUNTIFS(Base!$A$3:$A$5001,AG$3,Base!$B$3:$B$5001,$A$61,Base!$M$3:$M$5001,"&lt;&gt;")=0,"",SUMIFS(Base!$M$3:$M$5001,Base!$A$3:$A$5001,AG$3,Base!$B$3:$B$5001,$A$61)))</f>
        <v/>
      </c>
      <c r="AH65" s="52" t="str">
        <f>IF(AH$3="","",IF(COUNTIFS(Base!$A$3:$A$5001,AH$3,Base!$B$3:$B$5001,$A$61,Base!$M$3:$M$5001,"&lt;&gt;")=0,"",SUMIFS(Base!$M$3:$M$5001,Base!$A$3:$A$5001,AH$3,Base!$B$3:$B$5001,$A$61)))</f>
        <v/>
      </c>
      <c r="AI65" s="52" t="str">
        <f>IF(AI$3="","",IF(COUNTIFS(Base!$A$3:$A$5001,AI$3,Base!$B$3:$B$5001,$A$61,Base!$M$3:$M$5001,"&lt;&gt;")=0,"",SUMIFS(Base!$M$3:$M$5001,Base!$A$3:$A$5001,AI$3,Base!$B$3:$B$5001,$A$61)))</f>
        <v/>
      </c>
      <c r="AJ65" s="53" t="str">
        <f>IF(AJ$3="","",IF(COUNTIFS(Base!$A$3:$A$5001,AJ$3,Base!$B$3:$B$5001,$A$61,Base!$M$3:$M$5001,"&lt;&gt;")=0,"",SUMIFS(Base!$M$3:$M$5001,Base!$A$3:$A$5001,AJ$3,Base!$B$3:$B$5001,$A$61)))</f>
        <v/>
      </c>
      <c r="AK65" s="54" t="str">
        <f>IF(COUNT(F65:AJ65)=0,"",SUM(F65:AJ65))</f>
        <v/>
      </c>
    </row>
    <row r="66" ht="15.75" customHeight="1">
      <c r="A66" s="118"/>
      <c r="B66" s="110"/>
      <c r="C66" s="55" t="inlineStr">
        <is>
          <t xml:space="preserve">Toneladas Movimentadas</t>
        </is>
      </c>
      <c r="D66" s="56" t="str">
        <f>IFERROR(1/(1/INDEX(calculos!$C$55:$K$83,MATCH("OUT Toneladas Movimentadas",calculos!$A$55:$A$83,0),MATCH($A$61,calculos!$C$54:$K$54,0))),"")</f>
        <v/>
      </c>
      <c r="E66" s="57"/>
      <c r="F66" s="58" t="str">
        <f>IF(F$3="","",IF(COUNTIFS(Base!$A$3:$A$5001,F$3,Base!$B$3:$B$5001,$A$61,Base!$N$3:$N$5001,"&lt;&gt;")=0,"",SUMIFS(Base!$N$3:$N$5001,Base!$A$3:$A$5001,F$3,Base!$B$3:$B$5001,$A$61)))</f>
        <v/>
      </c>
      <c r="G66" s="59" t="str">
        <f>IF(G$3="","",IF(COUNTIFS(Base!$A$3:$A$5001,G$3,Base!$B$3:$B$5001,$A$61,Base!$N$3:$N$5001,"&lt;&gt;")=0,"",SUMIFS(Base!$N$3:$N$5001,Base!$A$3:$A$5001,G$3,Base!$B$3:$B$5001,$A$61)))</f>
        <v/>
      </c>
      <c r="H66" s="59" t="str">
        <f>IF(H$3="","",IF(COUNTIFS(Base!$A$3:$A$5001,H$3,Base!$B$3:$B$5001,$A$61,Base!$N$3:$N$5001,"&lt;&gt;")=0,"",SUMIFS(Base!$N$3:$N$5001,Base!$A$3:$A$5001,H$3,Base!$B$3:$B$5001,$A$61)))</f>
        <v/>
      </c>
      <c r="I66" s="59" t="str">
        <f>IF(I$3="","",IF(COUNTIFS(Base!$A$3:$A$5001,I$3,Base!$B$3:$B$5001,$A$61,Base!$N$3:$N$5001,"&lt;&gt;")=0,"",SUMIFS(Base!$N$3:$N$5001,Base!$A$3:$A$5001,I$3,Base!$B$3:$B$5001,$A$61)))</f>
        <v/>
      </c>
      <c r="J66" s="59" t="str">
        <f>IF(J$3="","",IF(COUNTIFS(Base!$A$3:$A$5001,J$3,Base!$B$3:$B$5001,$A$61,Base!$N$3:$N$5001,"&lt;&gt;")=0,"",SUMIFS(Base!$N$3:$N$5001,Base!$A$3:$A$5001,J$3,Base!$B$3:$B$5001,$A$61)))</f>
        <v/>
      </c>
      <c r="K66" s="59" t="str">
        <f>IF(K$3="","",IF(COUNTIFS(Base!$A$3:$A$5001,K$3,Base!$B$3:$B$5001,$A$61,Base!$N$3:$N$5001,"&lt;&gt;")=0,"",SUMIFS(Base!$N$3:$N$5001,Base!$A$3:$A$5001,K$3,Base!$B$3:$B$5001,$A$61)))</f>
        <v/>
      </c>
      <c r="L66" s="59" t="str">
        <f>IF(L$3="","",IF(COUNTIFS(Base!$A$3:$A$5001,L$3,Base!$B$3:$B$5001,$A$61,Base!$N$3:$N$5001,"&lt;&gt;")=0,"",SUMIFS(Base!$N$3:$N$5001,Base!$A$3:$A$5001,L$3,Base!$B$3:$B$5001,$A$61)))</f>
        <v/>
      </c>
      <c r="M66" s="59" t="str">
        <f>IF(M$3="","",IF(COUNTIFS(Base!$A$3:$A$5001,M$3,Base!$B$3:$B$5001,$A$61,Base!$N$3:$N$5001,"&lt;&gt;")=0,"",SUMIFS(Base!$N$3:$N$5001,Base!$A$3:$A$5001,M$3,Base!$B$3:$B$5001,$A$61)))</f>
        <v/>
      </c>
      <c r="N66" s="59" t="str">
        <f>IF(N$3="","",IF(COUNTIFS(Base!$A$3:$A$5001,N$3,Base!$B$3:$B$5001,$A$61,Base!$N$3:$N$5001,"&lt;&gt;")=0,"",SUMIFS(Base!$N$3:$N$5001,Base!$A$3:$A$5001,N$3,Base!$B$3:$B$5001,$A$61)))</f>
        <v/>
      </c>
      <c r="O66" s="59" t="str">
        <f>IF(O$3="","",IF(COUNTIFS(Base!$A$3:$A$5001,O$3,Base!$B$3:$B$5001,$A$61,Base!$N$3:$N$5001,"&lt;&gt;")=0,"",SUMIFS(Base!$N$3:$N$5001,Base!$A$3:$A$5001,O$3,Base!$B$3:$B$5001,$A$61)))</f>
        <v/>
      </c>
      <c r="P66" s="59" t="str">
        <f>IF(P$3="","",IF(COUNTIFS(Base!$A$3:$A$5001,P$3,Base!$B$3:$B$5001,$A$61,Base!$N$3:$N$5001,"&lt;&gt;")=0,"",SUMIFS(Base!$N$3:$N$5001,Base!$A$3:$A$5001,P$3,Base!$B$3:$B$5001,$A$61)))</f>
        <v/>
      </c>
      <c r="Q66" s="59" t="str">
        <f>IF(Q$3="","",IF(COUNTIFS(Base!$A$3:$A$5001,Q$3,Base!$B$3:$B$5001,$A$61,Base!$N$3:$N$5001,"&lt;&gt;")=0,"",SUMIFS(Base!$N$3:$N$5001,Base!$A$3:$A$5001,Q$3,Base!$B$3:$B$5001,$A$61)))</f>
        <v/>
      </c>
      <c r="R66" s="59" t="str">
        <f>IF(R$3="","",IF(COUNTIFS(Base!$A$3:$A$5001,R$3,Base!$B$3:$B$5001,$A$61,Base!$N$3:$N$5001,"&lt;&gt;")=0,"",SUMIFS(Base!$N$3:$N$5001,Base!$A$3:$A$5001,R$3,Base!$B$3:$B$5001,$A$61)))</f>
        <v/>
      </c>
      <c r="S66" s="59" t="str">
        <f>IF(S$3="","",IF(COUNTIFS(Base!$A$3:$A$5001,S$3,Base!$B$3:$B$5001,$A$61,Base!$N$3:$N$5001,"&lt;&gt;")=0,"",SUMIFS(Base!$N$3:$N$5001,Base!$A$3:$A$5001,S$3,Base!$B$3:$B$5001,$A$61)))</f>
        <v/>
      </c>
      <c r="T66" s="59" t="str">
        <f>IF(T$3="","",IF(COUNTIFS(Base!$A$3:$A$5001,T$3,Base!$B$3:$B$5001,$A$61,Base!$N$3:$N$5001,"&lt;&gt;")=0,"",SUMIFS(Base!$N$3:$N$5001,Base!$A$3:$A$5001,T$3,Base!$B$3:$B$5001,$A$61)))</f>
        <v/>
      </c>
      <c r="U66" s="59" t="str">
        <f>IF(U$3="","",IF(COUNTIFS(Base!$A$3:$A$5001,U$3,Base!$B$3:$B$5001,$A$61,Base!$N$3:$N$5001,"&lt;&gt;")=0,"",SUMIFS(Base!$N$3:$N$5001,Base!$A$3:$A$5001,U$3,Base!$B$3:$B$5001,$A$61)))</f>
        <v/>
      </c>
      <c r="V66" s="59" t="str">
        <f>IF(V$3="","",IF(COUNTIFS(Base!$A$3:$A$5001,V$3,Base!$B$3:$B$5001,$A$61,Base!$N$3:$N$5001,"&lt;&gt;")=0,"",SUMIFS(Base!$N$3:$N$5001,Base!$A$3:$A$5001,V$3,Base!$B$3:$B$5001,$A$61)))</f>
        <v/>
      </c>
      <c r="W66" s="59" t="str">
        <f>IF(W$3="","",IF(COUNTIFS(Base!$A$3:$A$5001,W$3,Base!$B$3:$B$5001,$A$61,Base!$N$3:$N$5001,"&lt;&gt;")=0,"",SUMIFS(Base!$N$3:$N$5001,Base!$A$3:$A$5001,W$3,Base!$B$3:$B$5001,$A$61)))</f>
        <v/>
      </c>
      <c r="X66" s="59" t="str">
        <f>IF(X$3="","",IF(COUNTIFS(Base!$A$3:$A$5001,X$3,Base!$B$3:$B$5001,$A$61,Base!$N$3:$N$5001,"&lt;&gt;")=0,"",SUMIFS(Base!$N$3:$N$5001,Base!$A$3:$A$5001,X$3,Base!$B$3:$B$5001,$A$61)))</f>
        <v/>
      </c>
      <c r="Y66" s="59" t="str">
        <f>IF(Y$3="","",IF(COUNTIFS(Base!$A$3:$A$5001,Y$3,Base!$B$3:$B$5001,$A$61,Base!$N$3:$N$5001,"&lt;&gt;")=0,"",SUMIFS(Base!$N$3:$N$5001,Base!$A$3:$A$5001,Y$3,Base!$B$3:$B$5001,$A$61)))</f>
        <v/>
      </c>
      <c r="Z66" s="59" t="str">
        <f>IF(Z$3="","",IF(COUNTIFS(Base!$A$3:$A$5001,Z$3,Base!$B$3:$B$5001,$A$61,Base!$N$3:$N$5001,"&lt;&gt;")=0,"",SUMIFS(Base!$N$3:$N$5001,Base!$A$3:$A$5001,Z$3,Base!$B$3:$B$5001,$A$61)))</f>
        <v/>
      </c>
      <c r="AA66" s="59" t="str">
        <f>IF(AA$3="","",IF(COUNTIFS(Base!$A$3:$A$5001,AA$3,Base!$B$3:$B$5001,$A$61,Base!$N$3:$N$5001,"&lt;&gt;")=0,"",SUMIFS(Base!$N$3:$N$5001,Base!$A$3:$A$5001,AA$3,Base!$B$3:$B$5001,$A$61)))</f>
        <v/>
      </c>
      <c r="AB66" s="59" t="str">
        <f>IF(AB$3="","",IF(COUNTIFS(Base!$A$3:$A$5001,AB$3,Base!$B$3:$B$5001,$A$61,Base!$N$3:$N$5001,"&lt;&gt;")=0,"",SUMIFS(Base!$N$3:$N$5001,Base!$A$3:$A$5001,AB$3,Base!$B$3:$B$5001,$A$61)))</f>
        <v/>
      </c>
      <c r="AC66" s="59" t="str">
        <f>IF(AC$3="","",IF(COUNTIFS(Base!$A$3:$A$5001,AC$3,Base!$B$3:$B$5001,$A$61,Base!$N$3:$N$5001,"&lt;&gt;")=0,"",SUMIFS(Base!$N$3:$N$5001,Base!$A$3:$A$5001,AC$3,Base!$B$3:$B$5001,$A$61)))</f>
        <v/>
      </c>
      <c r="AD66" s="59" t="str">
        <f>IF(AD$3="","",IF(COUNTIFS(Base!$A$3:$A$5001,AD$3,Base!$B$3:$B$5001,$A$61,Base!$N$3:$N$5001,"&lt;&gt;")=0,"",SUMIFS(Base!$N$3:$N$5001,Base!$A$3:$A$5001,AD$3,Base!$B$3:$B$5001,$A$61)))</f>
        <v/>
      </c>
      <c r="AE66" s="59" t="str">
        <f>IF(AE$3="","",IF(COUNTIFS(Base!$A$3:$A$5001,AE$3,Base!$B$3:$B$5001,$A$61,Base!$N$3:$N$5001,"&lt;&gt;")=0,"",SUMIFS(Base!$N$3:$N$5001,Base!$A$3:$A$5001,AE$3,Base!$B$3:$B$5001,$A$61)))</f>
        <v/>
      </c>
      <c r="AF66" s="59" t="str">
        <f>IF(AF$3="","",IF(COUNTIFS(Base!$A$3:$A$5001,AF$3,Base!$B$3:$B$5001,$A$61,Base!$N$3:$N$5001,"&lt;&gt;")=0,"",SUMIFS(Base!$N$3:$N$5001,Base!$A$3:$A$5001,AF$3,Base!$B$3:$B$5001,$A$61)))</f>
        <v/>
      </c>
      <c r="AG66" s="59" t="str">
        <f>IF(AG$3="","",IF(COUNTIFS(Base!$A$3:$A$5001,AG$3,Base!$B$3:$B$5001,$A$61,Base!$N$3:$N$5001,"&lt;&gt;")=0,"",SUMIFS(Base!$N$3:$N$5001,Base!$A$3:$A$5001,AG$3,Base!$B$3:$B$5001,$A$61)))</f>
        <v/>
      </c>
      <c r="AH66" s="59" t="str">
        <f>IF(AH$3="","",IF(COUNTIFS(Base!$A$3:$A$5001,AH$3,Base!$B$3:$B$5001,$A$61,Base!$N$3:$N$5001,"&lt;&gt;")=0,"",SUMIFS(Base!$N$3:$N$5001,Base!$A$3:$A$5001,AH$3,Base!$B$3:$B$5001,$A$61)))</f>
        <v/>
      </c>
      <c r="AI66" s="59" t="str">
        <f>IF(AI$3="","",IF(COUNTIFS(Base!$A$3:$A$5001,AI$3,Base!$B$3:$B$5001,$A$61,Base!$N$3:$N$5001,"&lt;&gt;")=0,"",SUMIFS(Base!$N$3:$N$5001,Base!$A$3:$A$5001,AI$3,Base!$B$3:$B$5001,$A$61)))</f>
        <v/>
      </c>
      <c r="AJ66" s="60" t="str">
        <f>IF(AJ$3="","",IF(COUNTIFS(Base!$A$3:$A$5001,AJ$3,Base!$B$3:$B$5001,$A$61,Base!$N$3:$N$5001,"&lt;&gt;")=0,"",SUMIFS(Base!$N$3:$N$5001,Base!$A$3:$A$5001,AJ$3,Base!$B$3:$B$5001,$A$61)))</f>
        <v/>
      </c>
      <c r="AK66" s="56" t="str">
        <f>IF(COUNT(F66:AJ66)=0,"",SUM(F66:AJ66))</f>
        <v/>
      </c>
    </row>
    <row r="67" ht="15.75" customHeight="1">
      <c r="A67" s="118"/>
      <c r="B67" s="111" t="inlineStr">
        <is>
          <t xml:space="preserve">NC</t>
        </is>
      </c>
      <c r="C67" s="61" t="inlineStr">
        <is>
          <t xml:space="preserve">Incidentes</t>
        </is>
      </c>
      <c r="D67" s="62" t="str">
        <f>IFERROR(1/(1/INDEX(calculos!$C$55:$K$83,MATCH("NC Incidentes",calculos!$A$55:$A$83,0),MATCH($A$61,calculos!$C$54:$K$54,0))),"")</f>
        <v/>
      </c>
      <c r="E67" s="63"/>
      <c r="F67" s="64" t="str">
        <f>IF(F$3="","",IF(COUNTIFS(Base!$A$3:$A$5001,F$3,Base!$B$3:$B$5001,$A$61,Base!$U$3:$U$5001,"&lt;&gt;")=0,"",SUMIFS(Base!$U$3:$U$5001,Base!$A$3:$A$5001,F$3,Base!$B$3:$B$5001,$A$61)))</f>
        <v/>
      </c>
      <c r="G67" s="65" t="str">
        <f>IF(G$3="","",IF(COUNTIFS(Base!$A$3:$A$5001,G$3,Base!$B$3:$B$5001,$A$61,Base!$U$3:$U$5001,"&lt;&gt;")=0,"",SUMIFS(Base!$U$3:$U$5001,Base!$A$3:$A$5001,G$3,Base!$B$3:$B$5001,$A$61)))</f>
        <v/>
      </c>
      <c r="H67" s="65" t="str">
        <f>IF(H$3="","",IF(COUNTIFS(Base!$A$3:$A$5001,H$3,Base!$B$3:$B$5001,$A$61,Base!$U$3:$U$5001,"&lt;&gt;")=0,"",SUMIFS(Base!$U$3:$U$5001,Base!$A$3:$A$5001,H$3,Base!$B$3:$B$5001,$A$61)))</f>
        <v/>
      </c>
      <c r="I67" s="65" t="str">
        <f>IF(I$3="","",IF(COUNTIFS(Base!$A$3:$A$5001,I$3,Base!$B$3:$B$5001,$A$61,Base!$U$3:$U$5001,"&lt;&gt;")=0,"",SUMIFS(Base!$U$3:$U$5001,Base!$A$3:$A$5001,I$3,Base!$B$3:$B$5001,$A$61)))</f>
        <v/>
      </c>
      <c r="J67" s="65" t="str">
        <f>IF(J$3="","",IF(COUNTIFS(Base!$A$3:$A$5001,J$3,Base!$B$3:$B$5001,$A$61,Base!$U$3:$U$5001,"&lt;&gt;")=0,"",SUMIFS(Base!$U$3:$U$5001,Base!$A$3:$A$5001,J$3,Base!$B$3:$B$5001,$A$61)))</f>
        <v/>
      </c>
      <c r="K67" s="65" t="str">
        <f>IF(K$3="","",IF(COUNTIFS(Base!$A$3:$A$5001,K$3,Base!$B$3:$B$5001,$A$61,Base!$U$3:$U$5001,"&lt;&gt;")=0,"",SUMIFS(Base!$U$3:$U$5001,Base!$A$3:$A$5001,K$3,Base!$B$3:$B$5001,$A$61)))</f>
        <v/>
      </c>
      <c r="L67" s="65" t="str">
        <f>IF(L$3="","",IF(COUNTIFS(Base!$A$3:$A$5001,L$3,Base!$B$3:$B$5001,$A$61,Base!$U$3:$U$5001,"&lt;&gt;")=0,"",SUMIFS(Base!$U$3:$U$5001,Base!$A$3:$A$5001,L$3,Base!$B$3:$B$5001,$A$61)))</f>
        <v/>
      </c>
      <c r="M67" s="65" t="str">
        <f>IF(M$3="","",IF(COUNTIFS(Base!$A$3:$A$5001,M$3,Base!$B$3:$B$5001,$A$61,Base!$U$3:$U$5001,"&lt;&gt;")=0,"",SUMIFS(Base!$U$3:$U$5001,Base!$A$3:$A$5001,M$3,Base!$B$3:$B$5001,$A$61)))</f>
        <v/>
      </c>
      <c r="N67" s="65" t="str">
        <f>IF(N$3="","",IF(COUNTIFS(Base!$A$3:$A$5001,N$3,Base!$B$3:$B$5001,$A$61,Base!$U$3:$U$5001,"&lt;&gt;")=0,"",SUMIFS(Base!$U$3:$U$5001,Base!$A$3:$A$5001,N$3,Base!$B$3:$B$5001,$A$61)))</f>
        <v/>
      </c>
      <c r="O67" s="65" t="str">
        <f>IF(O$3="","",IF(COUNTIFS(Base!$A$3:$A$5001,O$3,Base!$B$3:$B$5001,$A$61,Base!$U$3:$U$5001,"&lt;&gt;")=0,"",SUMIFS(Base!$U$3:$U$5001,Base!$A$3:$A$5001,O$3,Base!$B$3:$B$5001,$A$61)))</f>
        <v/>
      </c>
      <c r="P67" s="65" t="str">
        <f>IF(P$3="","",IF(COUNTIFS(Base!$A$3:$A$5001,P$3,Base!$B$3:$B$5001,$A$61,Base!$U$3:$U$5001,"&lt;&gt;")=0,"",SUMIFS(Base!$U$3:$U$5001,Base!$A$3:$A$5001,P$3,Base!$B$3:$B$5001,$A$61)))</f>
        <v/>
      </c>
      <c r="Q67" s="65" t="str">
        <f>IF(Q$3="","",IF(COUNTIFS(Base!$A$3:$A$5001,Q$3,Base!$B$3:$B$5001,$A$61,Base!$U$3:$U$5001,"&lt;&gt;")=0,"",SUMIFS(Base!$U$3:$U$5001,Base!$A$3:$A$5001,Q$3,Base!$B$3:$B$5001,$A$61)))</f>
        <v/>
      </c>
      <c r="R67" s="65" t="str">
        <f>IF(R$3="","",IF(COUNTIFS(Base!$A$3:$A$5001,R$3,Base!$B$3:$B$5001,$A$61,Base!$U$3:$U$5001,"&lt;&gt;")=0,"",SUMIFS(Base!$U$3:$U$5001,Base!$A$3:$A$5001,R$3,Base!$B$3:$B$5001,$A$61)))</f>
        <v/>
      </c>
      <c r="S67" s="65" t="str">
        <f>IF(S$3="","",IF(COUNTIFS(Base!$A$3:$A$5001,S$3,Base!$B$3:$B$5001,$A$61,Base!$U$3:$U$5001,"&lt;&gt;")=0,"",SUMIFS(Base!$U$3:$U$5001,Base!$A$3:$A$5001,S$3,Base!$B$3:$B$5001,$A$61)))</f>
        <v/>
      </c>
      <c r="T67" s="65" t="str">
        <f>IF(T$3="","",IF(COUNTIFS(Base!$A$3:$A$5001,T$3,Base!$B$3:$B$5001,$A$61,Base!$U$3:$U$5001,"&lt;&gt;")=0,"",SUMIFS(Base!$U$3:$U$5001,Base!$A$3:$A$5001,T$3,Base!$B$3:$B$5001,$A$61)))</f>
        <v/>
      </c>
      <c r="U67" s="65" t="str">
        <f>IF(U$3="","",IF(COUNTIFS(Base!$A$3:$A$5001,U$3,Base!$B$3:$B$5001,$A$61,Base!$U$3:$U$5001,"&lt;&gt;")=0,"",SUMIFS(Base!$U$3:$U$5001,Base!$A$3:$A$5001,U$3,Base!$B$3:$B$5001,$A$61)))</f>
        <v/>
      </c>
      <c r="V67" s="65" t="str">
        <f>IF(V$3="","",IF(COUNTIFS(Base!$A$3:$A$5001,V$3,Base!$B$3:$B$5001,$A$61,Base!$U$3:$U$5001,"&lt;&gt;")=0,"",SUMIFS(Base!$U$3:$U$5001,Base!$A$3:$A$5001,V$3,Base!$B$3:$B$5001,$A$61)))</f>
        <v/>
      </c>
      <c r="W67" s="65" t="str">
        <f>IF(W$3="","",IF(COUNTIFS(Base!$A$3:$A$5001,W$3,Base!$B$3:$B$5001,$A$61,Base!$U$3:$U$5001,"&lt;&gt;")=0,"",SUMIFS(Base!$U$3:$U$5001,Base!$A$3:$A$5001,W$3,Base!$B$3:$B$5001,$A$61)))</f>
        <v/>
      </c>
      <c r="X67" s="65" t="str">
        <f>IF(X$3="","",IF(COUNTIFS(Base!$A$3:$A$5001,X$3,Base!$B$3:$B$5001,$A$61,Base!$U$3:$U$5001,"&lt;&gt;")=0,"",SUMIFS(Base!$U$3:$U$5001,Base!$A$3:$A$5001,X$3,Base!$B$3:$B$5001,$A$61)))</f>
        <v/>
      </c>
      <c r="Y67" s="65" t="str">
        <f>IF(Y$3="","",IF(COUNTIFS(Base!$A$3:$A$5001,Y$3,Base!$B$3:$B$5001,$A$61,Base!$U$3:$U$5001,"&lt;&gt;")=0,"",SUMIFS(Base!$U$3:$U$5001,Base!$A$3:$A$5001,Y$3,Base!$B$3:$B$5001,$A$61)))</f>
        <v/>
      </c>
      <c r="Z67" s="65" t="str">
        <f>IF(Z$3="","",IF(COUNTIFS(Base!$A$3:$A$5001,Z$3,Base!$B$3:$B$5001,$A$61,Base!$U$3:$U$5001,"&lt;&gt;")=0,"",SUMIFS(Base!$U$3:$U$5001,Base!$A$3:$A$5001,Z$3,Base!$B$3:$B$5001,$A$61)))</f>
        <v/>
      </c>
      <c r="AA67" s="65" t="str">
        <f>IF(AA$3="","",IF(COUNTIFS(Base!$A$3:$A$5001,AA$3,Base!$B$3:$B$5001,$A$61,Base!$U$3:$U$5001,"&lt;&gt;")=0,"",SUMIFS(Base!$U$3:$U$5001,Base!$A$3:$A$5001,AA$3,Base!$B$3:$B$5001,$A$61)))</f>
        <v/>
      </c>
      <c r="AB67" s="65" t="str">
        <f>IF(AB$3="","",IF(COUNTIFS(Base!$A$3:$A$5001,AB$3,Base!$B$3:$B$5001,$A$61,Base!$U$3:$U$5001,"&lt;&gt;")=0,"",SUMIFS(Base!$U$3:$U$5001,Base!$A$3:$A$5001,AB$3,Base!$B$3:$B$5001,$A$61)))</f>
        <v/>
      </c>
      <c r="AC67" s="65" t="str">
        <f>IF(AC$3="","",IF(COUNTIFS(Base!$A$3:$A$5001,AC$3,Base!$B$3:$B$5001,$A$61,Base!$U$3:$U$5001,"&lt;&gt;")=0,"",SUMIFS(Base!$U$3:$U$5001,Base!$A$3:$A$5001,AC$3,Base!$B$3:$B$5001,$A$61)))</f>
        <v/>
      </c>
      <c r="AD67" s="65" t="str">
        <f>IF(AD$3="","",IF(COUNTIFS(Base!$A$3:$A$5001,AD$3,Base!$B$3:$B$5001,$A$61,Base!$U$3:$U$5001,"&lt;&gt;")=0,"",SUMIFS(Base!$U$3:$U$5001,Base!$A$3:$A$5001,AD$3,Base!$B$3:$B$5001,$A$61)))</f>
        <v/>
      </c>
      <c r="AE67" s="65" t="str">
        <f>IF(AE$3="","",IF(COUNTIFS(Base!$A$3:$A$5001,AE$3,Base!$B$3:$B$5001,$A$61,Base!$U$3:$U$5001,"&lt;&gt;")=0,"",SUMIFS(Base!$U$3:$U$5001,Base!$A$3:$A$5001,AE$3,Base!$B$3:$B$5001,$A$61)))</f>
        <v/>
      </c>
      <c r="AF67" s="65" t="str">
        <f>IF(AF$3="","",IF(COUNTIFS(Base!$A$3:$A$5001,AF$3,Base!$B$3:$B$5001,$A$61,Base!$U$3:$U$5001,"&lt;&gt;")=0,"",SUMIFS(Base!$U$3:$U$5001,Base!$A$3:$A$5001,AF$3,Base!$B$3:$B$5001,$A$61)))</f>
        <v/>
      </c>
      <c r="AG67" s="65" t="str">
        <f>IF(AG$3="","",IF(COUNTIFS(Base!$A$3:$A$5001,AG$3,Base!$B$3:$B$5001,$A$61,Base!$U$3:$U$5001,"&lt;&gt;")=0,"",SUMIFS(Base!$U$3:$U$5001,Base!$A$3:$A$5001,AG$3,Base!$B$3:$B$5001,$A$61)))</f>
        <v/>
      </c>
      <c r="AH67" s="65" t="str">
        <f>IF(AH$3="","",IF(COUNTIFS(Base!$A$3:$A$5001,AH$3,Base!$B$3:$B$5001,$A$61,Base!$U$3:$U$5001,"&lt;&gt;")=0,"",SUMIFS(Base!$U$3:$U$5001,Base!$A$3:$A$5001,AH$3,Base!$B$3:$B$5001,$A$61)))</f>
        <v/>
      </c>
      <c r="AI67" s="65" t="str">
        <f>IF(AI$3="","",IF(COUNTIFS(Base!$A$3:$A$5001,AI$3,Base!$B$3:$B$5001,$A$61,Base!$U$3:$U$5001,"&lt;&gt;")=0,"",SUMIFS(Base!$U$3:$U$5001,Base!$A$3:$A$5001,AI$3,Base!$B$3:$B$5001,$A$61)))</f>
        <v/>
      </c>
      <c r="AJ67" s="66" t="str">
        <f>IF(AJ$3="","",IF(COUNTIFS(Base!$A$3:$A$5001,AJ$3,Base!$B$3:$B$5001,$A$61,Base!$U$3:$U$5001,"&lt;&gt;")=0,"",SUMIFS(Base!$U$3:$U$5001,Base!$A$3:$A$5001,AJ$3,Base!$B$3:$B$5001,$A$61)))</f>
        <v/>
      </c>
      <c r="AK67" s="67" t="str">
        <f>IF(COUNT(F67:AJ67)=0,"",SUM(F67:AJ67))</f>
        <v/>
      </c>
    </row>
    <row r="68" ht="15.75" customHeight="1">
      <c r="A68" s="118"/>
      <c r="B68" s="112"/>
      <c r="C68" s="68" t="inlineStr">
        <is>
          <t xml:space="preserve">No show</t>
        </is>
      </c>
      <c r="D68" s="69" t="str">
        <f>IFERROR(1/(1/INDEX(calculos!$C$55:$K$83,MATCH("NC No show",calculos!$A$55:$A$83,0),MATCH($A$61,calculos!$C$54:$K$54,0))),"")</f>
        <v/>
      </c>
      <c r="E68" s="70"/>
      <c r="F68" s="71" t="str">
        <f>IF(F$3="","",IF(COUNTIFS(Base!$A$3:$A$5001,F$3,Base!$B$3:$B$5001,$A$61,Base!$V$3:$V$5001,"&lt;&gt;")=0,"",SUMIFS(Base!$V$3:$V$5001,Base!$A$3:$A$5001,F$3,Base!$B$3:$B$5001,$A$61)))</f>
        <v/>
      </c>
      <c r="G68" s="72" t="str">
        <f>IF(G$3="","",IF(COUNTIFS(Base!$A$3:$A$5001,G$3,Base!$B$3:$B$5001,$A$61,Base!$V$3:$V$5001,"&lt;&gt;")=0,"",SUMIFS(Base!$V$3:$V$5001,Base!$A$3:$A$5001,G$3,Base!$B$3:$B$5001,$A$61)))</f>
        <v/>
      </c>
      <c r="H68" s="72" t="str">
        <f>IF(H$3="","",IF(COUNTIFS(Base!$A$3:$A$5001,H$3,Base!$B$3:$B$5001,$A$61,Base!$V$3:$V$5001,"&lt;&gt;")=0,"",SUMIFS(Base!$V$3:$V$5001,Base!$A$3:$A$5001,H$3,Base!$B$3:$B$5001,$A$61)))</f>
        <v/>
      </c>
      <c r="I68" s="72" t="str">
        <f>IF(I$3="","",IF(COUNTIFS(Base!$A$3:$A$5001,I$3,Base!$B$3:$B$5001,$A$61,Base!$V$3:$V$5001,"&lt;&gt;")=0,"",SUMIFS(Base!$V$3:$V$5001,Base!$A$3:$A$5001,I$3,Base!$B$3:$B$5001,$A$61)))</f>
        <v/>
      </c>
      <c r="J68" s="72" t="str">
        <f>IF(J$3="","",IF(COUNTIFS(Base!$A$3:$A$5001,J$3,Base!$B$3:$B$5001,$A$61,Base!$V$3:$V$5001,"&lt;&gt;")=0,"",SUMIFS(Base!$V$3:$V$5001,Base!$A$3:$A$5001,J$3,Base!$B$3:$B$5001,$A$61)))</f>
        <v/>
      </c>
      <c r="K68" s="72" t="str">
        <f>IF(K$3="","",IF(COUNTIFS(Base!$A$3:$A$5001,K$3,Base!$B$3:$B$5001,$A$61,Base!$V$3:$V$5001,"&lt;&gt;")=0,"",SUMIFS(Base!$V$3:$V$5001,Base!$A$3:$A$5001,K$3,Base!$B$3:$B$5001,$A$61)))</f>
        <v/>
      </c>
      <c r="L68" s="72" t="str">
        <f>IF(L$3="","",IF(COUNTIFS(Base!$A$3:$A$5001,L$3,Base!$B$3:$B$5001,$A$61,Base!$V$3:$V$5001,"&lt;&gt;")=0,"",SUMIFS(Base!$V$3:$V$5001,Base!$A$3:$A$5001,L$3,Base!$B$3:$B$5001,$A$61)))</f>
        <v/>
      </c>
      <c r="M68" s="72" t="str">
        <f>IF(M$3="","",IF(COUNTIFS(Base!$A$3:$A$5001,M$3,Base!$B$3:$B$5001,$A$61,Base!$V$3:$V$5001,"&lt;&gt;")=0,"",SUMIFS(Base!$V$3:$V$5001,Base!$A$3:$A$5001,M$3,Base!$B$3:$B$5001,$A$61)))</f>
        <v/>
      </c>
      <c r="N68" s="72" t="str">
        <f>IF(N$3="","",IF(COUNTIFS(Base!$A$3:$A$5001,N$3,Base!$B$3:$B$5001,$A$61,Base!$V$3:$V$5001,"&lt;&gt;")=0,"",SUMIFS(Base!$V$3:$V$5001,Base!$A$3:$A$5001,N$3,Base!$B$3:$B$5001,$A$61)))</f>
        <v/>
      </c>
      <c r="O68" s="72" t="str">
        <f>IF(O$3="","",IF(COUNTIFS(Base!$A$3:$A$5001,O$3,Base!$B$3:$B$5001,$A$61,Base!$V$3:$V$5001,"&lt;&gt;")=0,"",SUMIFS(Base!$V$3:$V$5001,Base!$A$3:$A$5001,O$3,Base!$B$3:$B$5001,$A$61)))</f>
        <v/>
      </c>
      <c r="P68" s="72" t="str">
        <f>IF(P$3="","",IF(COUNTIFS(Base!$A$3:$A$5001,P$3,Base!$B$3:$B$5001,$A$61,Base!$V$3:$V$5001,"&lt;&gt;")=0,"",SUMIFS(Base!$V$3:$V$5001,Base!$A$3:$A$5001,P$3,Base!$B$3:$B$5001,$A$61)))</f>
        <v/>
      </c>
      <c r="Q68" s="72" t="str">
        <f>IF(Q$3="","",IF(COUNTIFS(Base!$A$3:$A$5001,Q$3,Base!$B$3:$B$5001,$A$61,Base!$V$3:$V$5001,"&lt;&gt;")=0,"",SUMIFS(Base!$V$3:$V$5001,Base!$A$3:$A$5001,Q$3,Base!$B$3:$B$5001,$A$61)))</f>
        <v/>
      </c>
      <c r="R68" s="72" t="str">
        <f>IF(R$3="","",IF(COUNTIFS(Base!$A$3:$A$5001,R$3,Base!$B$3:$B$5001,$A$61,Base!$V$3:$V$5001,"&lt;&gt;")=0,"",SUMIFS(Base!$V$3:$V$5001,Base!$A$3:$A$5001,R$3,Base!$B$3:$B$5001,$A$61)))</f>
        <v/>
      </c>
      <c r="S68" s="72" t="str">
        <f>IF(S$3="","",IF(COUNTIFS(Base!$A$3:$A$5001,S$3,Base!$B$3:$B$5001,$A$61,Base!$V$3:$V$5001,"&lt;&gt;")=0,"",SUMIFS(Base!$V$3:$V$5001,Base!$A$3:$A$5001,S$3,Base!$B$3:$B$5001,$A$61)))</f>
        <v/>
      </c>
      <c r="T68" s="72" t="str">
        <f>IF(T$3="","",IF(COUNTIFS(Base!$A$3:$A$5001,T$3,Base!$B$3:$B$5001,$A$61,Base!$V$3:$V$5001,"&lt;&gt;")=0,"",SUMIFS(Base!$V$3:$V$5001,Base!$A$3:$A$5001,T$3,Base!$B$3:$B$5001,$A$61)))</f>
        <v/>
      </c>
      <c r="U68" s="72" t="str">
        <f>IF(U$3="","",IF(COUNTIFS(Base!$A$3:$A$5001,U$3,Base!$B$3:$B$5001,$A$61,Base!$V$3:$V$5001,"&lt;&gt;")=0,"",SUMIFS(Base!$V$3:$V$5001,Base!$A$3:$A$5001,U$3,Base!$B$3:$B$5001,$A$61)))</f>
        <v/>
      </c>
      <c r="V68" s="72" t="str">
        <f>IF(V$3="","",IF(COUNTIFS(Base!$A$3:$A$5001,V$3,Base!$B$3:$B$5001,$A$61,Base!$V$3:$V$5001,"&lt;&gt;")=0,"",SUMIFS(Base!$V$3:$V$5001,Base!$A$3:$A$5001,V$3,Base!$B$3:$B$5001,$A$61)))</f>
        <v/>
      </c>
      <c r="W68" s="72" t="str">
        <f>IF(W$3="","",IF(COUNTIFS(Base!$A$3:$A$5001,W$3,Base!$B$3:$B$5001,$A$61,Base!$V$3:$V$5001,"&lt;&gt;")=0,"",SUMIFS(Base!$V$3:$V$5001,Base!$A$3:$A$5001,W$3,Base!$B$3:$B$5001,$A$61)))</f>
        <v/>
      </c>
      <c r="X68" s="72" t="str">
        <f>IF(X$3="","",IF(COUNTIFS(Base!$A$3:$A$5001,X$3,Base!$B$3:$B$5001,$A$61,Base!$V$3:$V$5001,"&lt;&gt;")=0,"",SUMIFS(Base!$V$3:$V$5001,Base!$A$3:$A$5001,X$3,Base!$B$3:$B$5001,$A$61)))</f>
        <v/>
      </c>
      <c r="Y68" s="72" t="str">
        <f>IF(Y$3="","",IF(COUNTIFS(Base!$A$3:$A$5001,Y$3,Base!$B$3:$B$5001,$A$61,Base!$V$3:$V$5001,"&lt;&gt;")=0,"",SUMIFS(Base!$V$3:$V$5001,Base!$A$3:$A$5001,Y$3,Base!$B$3:$B$5001,$A$61)))</f>
        <v/>
      </c>
      <c r="Z68" s="72" t="str">
        <f>IF(Z$3="","",IF(COUNTIFS(Base!$A$3:$A$5001,Z$3,Base!$B$3:$B$5001,$A$61,Base!$V$3:$V$5001,"&lt;&gt;")=0,"",SUMIFS(Base!$V$3:$V$5001,Base!$A$3:$A$5001,Z$3,Base!$B$3:$B$5001,$A$61)))</f>
        <v/>
      </c>
      <c r="AA68" s="72" t="str">
        <f>IF(AA$3="","",IF(COUNTIFS(Base!$A$3:$A$5001,AA$3,Base!$B$3:$B$5001,$A$61,Base!$V$3:$V$5001,"&lt;&gt;")=0,"",SUMIFS(Base!$V$3:$V$5001,Base!$A$3:$A$5001,AA$3,Base!$B$3:$B$5001,$A$61)))</f>
        <v/>
      </c>
      <c r="AB68" s="72" t="str">
        <f>IF(AB$3="","",IF(COUNTIFS(Base!$A$3:$A$5001,AB$3,Base!$B$3:$B$5001,$A$61,Base!$V$3:$V$5001,"&lt;&gt;")=0,"",SUMIFS(Base!$V$3:$V$5001,Base!$A$3:$A$5001,AB$3,Base!$B$3:$B$5001,$A$61)))</f>
        <v/>
      </c>
      <c r="AC68" s="72" t="str">
        <f>IF(AC$3="","",IF(COUNTIFS(Base!$A$3:$A$5001,AC$3,Base!$B$3:$B$5001,$A$61,Base!$V$3:$V$5001,"&lt;&gt;")=0,"",SUMIFS(Base!$V$3:$V$5001,Base!$A$3:$A$5001,AC$3,Base!$B$3:$B$5001,$A$61)))</f>
        <v/>
      </c>
      <c r="AD68" s="72" t="str">
        <f>IF(AD$3="","",IF(COUNTIFS(Base!$A$3:$A$5001,AD$3,Base!$B$3:$B$5001,$A$61,Base!$V$3:$V$5001,"&lt;&gt;")=0,"",SUMIFS(Base!$V$3:$V$5001,Base!$A$3:$A$5001,AD$3,Base!$B$3:$B$5001,$A$61)))</f>
        <v/>
      </c>
      <c r="AE68" s="72" t="str">
        <f>IF(AE$3="","",IF(COUNTIFS(Base!$A$3:$A$5001,AE$3,Base!$B$3:$B$5001,$A$61,Base!$V$3:$V$5001,"&lt;&gt;")=0,"",SUMIFS(Base!$V$3:$V$5001,Base!$A$3:$A$5001,AE$3,Base!$B$3:$B$5001,$A$61)))</f>
        <v/>
      </c>
      <c r="AF68" s="72" t="str">
        <f>IF(AF$3="","",IF(COUNTIFS(Base!$A$3:$A$5001,AF$3,Base!$B$3:$B$5001,$A$61,Base!$V$3:$V$5001,"&lt;&gt;")=0,"",SUMIFS(Base!$V$3:$V$5001,Base!$A$3:$A$5001,AF$3,Base!$B$3:$B$5001,$A$61)))</f>
        <v/>
      </c>
      <c r="AG68" s="72" t="str">
        <f>IF(AG$3="","",IF(COUNTIFS(Base!$A$3:$A$5001,AG$3,Base!$B$3:$B$5001,$A$61,Base!$V$3:$V$5001,"&lt;&gt;")=0,"",SUMIFS(Base!$V$3:$V$5001,Base!$A$3:$A$5001,AG$3,Base!$B$3:$B$5001,$A$61)))</f>
        <v/>
      </c>
      <c r="AH68" s="72" t="str">
        <f>IF(AH$3="","",IF(COUNTIFS(Base!$A$3:$A$5001,AH$3,Base!$B$3:$B$5001,$A$61,Base!$V$3:$V$5001,"&lt;&gt;")=0,"",SUMIFS(Base!$V$3:$V$5001,Base!$A$3:$A$5001,AH$3,Base!$B$3:$B$5001,$A$61)))</f>
        <v/>
      </c>
      <c r="AI68" s="72" t="str">
        <f>IF(AI$3="","",IF(COUNTIFS(Base!$A$3:$A$5001,AI$3,Base!$B$3:$B$5001,$A$61,Base!$V$3:$V$5001,"&lt;&gt;")=0,"",SUMIFS(Base!$V$3:$V$5001,Base!$A$3:$A$5001,AI$3,Base!$B$3:$B$5001,$A$61)))</f>
        <v/>
      </c>
      <c r="AJ68" s="73" t="str">
        <f>IF(AJ$3="","",IF(COUNTIFS(Base!$A$3:$A$5001,AJ$3,Base!$B$3:$B$5001,$A$61,Base!$V$3:$V$5001,"&lt;&gt;")=0,"",SUMIFS(Base!$V$3:$V$5001,Base!$A$3:$A$5001,AJ$3,Base!$B$3:$B$5001,$A$61)))</f>
        <v/>
      </c>
      <c r="AK68" s="74" t="str">
        <f>IF(COUNT(F68:AJ68)=0,"",SUM(F68:AJ68))</f>
        <v/>
      </c>
    </row>
    <row r="69" ht="15.75" customHeight="1">
      <c r="A69" s="118"/>
      <c r="B69" s="113"/>
      <c r="C69" s="75" t="inlineStr">
        <is>
          <t xml:space="preserve">Backlog</t>
        </is>
      </c>
      <c r="D69" s="76" t="str">
        <f>IFERROR(1/(1/INDEX(calculos!$C$55:$K$83,MATCH("NC Backlog",calculos!$A$55:$A$83,0),MATCH($A$61,calculos!$C$54:$K$54,0))),"")</f>
        <v/>
      </c>
      <c r="E69" s="77"/>
      <c r="F69" s="78" t="str">
        <f>IF(F$3="","",IF(COUNTIFS(Base!$A$3:$A$5001,F$3,Base!$B$3:$B$5001,$A$61,Base!$W$3:$W$5001,"&lt;&gt;")=0,"",SUMIFS(Base!$W$3:$W$5001,Base!$A$3:$A$5001,F$3,Base!$B$3:$B$5001,$A$61)))</f>
        <v/>
      </c>
      <c r="G69" s="79" t="str">
        <f>IF(G$3="","",IF(COUNTIFS(Base!$A$3:$A$5001,G$3,Base!$B$3:$B$5001,$A$61,Base!$W$3:$W$5001,"&lt;&gt;")=0,"",SUMIFS(Base!$W$3:$W$5001,Base!$A$3:$A$5001,G$3,Base!$B$3:$B$5001,$A$61)))</f>
        <v/>
      </c>
      <c r="H69" s="79" t="str">
        <f>IF(H$3="","",IF(COUNTIFS(Base!$A$3:$A$5001,H$3,Base!$B$3:$B$5001,$A$61,Base!$W$3:$W$5001,"&lt;&gt;")=0,"",SUMIFS(Base!$W$3:$W$5001,Base!$A$3:$A$5001,H$3,Base!$B$3:$B$5001,$A$61)))</f>
        <v/>
      </c>
      <c r="I69" s="79" t="str">
        <f>IF(I$3="","",IF(COUNTIFS(Base!$A$3:$A$5001,I$3,Base!$B$3:$B$5001,$A$61,Base!$W$3:$W$5001,"&lt;&gt;")=0,"",SUMIFS(Base!$W$3:$W$5001,Base!$A$3:$A$5001,I$3,Base!$B$3:$B$5001,$A$61)))</f>
        <v/>
      </c>
      <c r="J69" s="79" t="str">
        <f>IF(J$3="","",IF(COUNTIFS(Base!$A$3:$A$5001,J$3,Base!$B$3:$B$5001,$A$61,Base!$W$3:$W$5001,"&lt;&gt;")=0,"",SUMIFS(Base!$W$3:$W$5001,Base!$A$3:$A$5001,J$3,Base!$B$3:$B$5001,$A$61)))</f>
        <v/>
      </c>
      <c r="K69" s="79" t="str">
        <f>IF(K$3="","",IF(COUNTIFS(Base!$A$3:$A$5001,K$3,Base!$B$3:$B$5001,$A$61,Base!$W$3:$W$5001,"&lt;&gt;")=0,"",SUMIFS(Base!$W$3:$W$5001,Base!$A$3:$A$5001,K$3,Base!$B$3:$B$5001,$A$61)))</f>
        <v/>
      </c>
      <c r="L69" s="79" t="str">
        <f>IF(L$3="","",IF(COUNTIFS(Base!$A$3:$A$5001,L$3,Base!$B$3:$B$5001,$A$61,Base!$W$3:$W$5001,"&lt;&gt;")=0,"",SUMIFS(Base!$W$3:$W$5001,Base!$A$3:$A$5001,L$3,Base!$B$3:$B$5001,$A$61)))</f>
        <v/>
      </c>
      <c r="M69" s="79" t="str">
        <f>IF(M$3="","",IF(COUNTIFS(Base!$A$3:$A$5001,M$3,Base!$B$3:$B$5001,$A$61,Base!$W$3:$W$5001,"&lt;&gt;")=0,"",SUMIFS(Base!$W$3:$W$5001,Base!$A$3:$A$5001,M$3,Base!$B$3:$B$5001,$A$61)))</f>
        <v/>
      </c>
      <c r="N69" s="79" t="str">
        <f>IF(N$3="","",IF(COUNTIFS(Base!$A$3:$A$5001,N$3,Base!$B$3:$B$5001,$A$61,Base!$W$3:$W$5001,"&lt;&gt;")=0,"",SUMIFS(Base!$W$3:$W$5001,Base!$A$3:$A$5001,N$3,Base!$B$3:$B$5001,$A$61)))</f>
        <v/>
      </c>
      <c r="O69" s="79" t="str">
        <f>IF(O$3="","",IF(COUNTIFS(Base!$A$3:$A$5001,O$3,Base!$B$3:$B$5001,$A$61,Base!$W$3:$W$5001,"&lt;&gt;")=0,"",SUMIFS(Base!$W$3:$W$5001,Base!$A$3:$A$5001,O$3,Base!$B$3:$B$5001,$A$61)))</f>
        <v/>
      </c>
      <c r="P69" s="79" t="str">
        <f>IF(P$3="","",IF(COUNTIFS(Base!$A$3:$A$5001,P$3,Base!$B$3:$B$5001,$A$61,Base!$W$3:$W$5001,"&lt;&gt;")=0,"",SUMIFS(Base!$W$3:$W$5001,Base!$A$3:$A$5001,P$3,Base!$B$3:$B$5001,$A$61)))</f>
        <v/>
      </c>
      <c r="Q69" s="79" t="str">
        <f>IF(Q$3="","",IF(COUNTIFS(Base!$A$3:$A$5001,Q$3,Base!$B$3:$B$5001,$A$61,Base!$W$3:$W$5001,"&lt;&gt;")=0,"",SUMIFS(Base!$W$3:$W$5001,Base!$A$3:$A$5001,Q$3,Base!$B$3:$B$5001,$A$61)))</f>
        <v/>
      </c>
      <c r="R69" s="79" t="str">
        <f>IF(R$3="","",IF(COUNTIFS(Base!$A$3:$A$5001,R$3,Base!$B$3:$B$5001,$A$61,Base!$W$3:$W$5001,"&lt;&gt;")=0,"",SUMIFS(Base!$W$3:$W$5001,Base!$A$3:$A$5001,R$3,Base!$B$3:$B$5001,$A$61)))</f>
        <v/>
      </c>
      <c r="S69" s="79" t="str">
        <f>IF(S$3="","",IF(COUNTIFS(Base!$A$3:$A$5001,S$3,Base!$B$3:$B$5001,$A$61,Base!$W$3:$W$5001,"&lt;&gt;")=0,"",SUMIFS(Base!$W$3:$W$5001,Base!$A$3:$A$5001,S$3,Base!$B$3:$B$5001,$A$61)))</f>
        <v/>
      </c>
      <c r="T69" s="79" t="str">
        <f>IF(T$3="","",IF(COUNTIFS(Base!$A$3:$A$5001,T$3,Base!$B$3:$B$5001,$A$61,Base!$W$3:$W$5001,"&lt;&gt;")=0,"",SUMIFS(Base!$W$3:$W$5001,Base!$A$3:$A$5001,T$3,Base!$B$3:$B$5001,$A$61)))</f>
        <v/>
      </c>
      <c r="U69" s="79" t="str">
        <f>IF(U$3="","",IF(COUNTIFS(Base!$A$3:$A$5001,U$3,Base!$B$3:$B$5001,$A$61,Base!$W$3:$W$5001,"&lt;&gt;")=0,"",SUMIFS(Base!$W$3:$W$5001,Base!$A$3:$A$5001,U$3,Base!$B$3:$B$5001,$A$61)))</f>
        <v/>
      </c>
      <c r="V69" s="79" t="str">
        <f>IF(V$3="","",IF(COUNTIFS(Base!$A$3:$A$5001,V$3,Base!$B$3:$B$5001,$A$61,Base!$W$3:$W$5001,"&lt;&gt;")=0,"",SUMIFS(Base!$W$3:$W$5001,Base!$A$3:$A$5001,V$3,Base!$B$3:$B$5001,$A$61)))</f>
        <v/>
      </c>
      <c r="W69" s="79" t="str">
        <f>IF(W$3="","",IF(COUNTIFS(Base!$A$3:$A$5001,W$3,Base!$B$3:$B$5001,$A$61,Base!$W$3:$W$5001,"&lt;&gt;")=0,"",SUMIFS(Base!$W$3:$W$5001,Base!$A$3:$A$5001,W$3,Base!$B$3:$B$5001,$A$61)))</f>
        <v/>
      </c>
      <c r="X69" s="79" t="str">
        <f>IF(X$3="","",IF(COUNTIFS(Base!$A$3:$A$5001,X$3,Base!$B$3:$B$5001,$A$61,Base!$W$3:$W$5001,"&lt;&gt;")=0,"",SUMIFS(Base!$W$3:$W$5001,Base!$A$3:$A$5001,X$3,Base!$B$3:$B$5001,$A$61)))</f>
        <v/>
      </c>
      <c r="Y69" s="79" t="str">
        <f>IF(Y$3="","",IF(COUNTIFS(Base!$A$3:$A$5001,Y$3,Base!$B$3:$B$5001,$A$61,Base!$W$3:$W$5001,"&lt;&gt;")=0,"",SUMIFS(Base!$W$3:$W$5001,Base!$A$3:$A$5001,Y$3,Base!$B$3:$B$5001,$A$61)))</f>
        <v/>
      </c>
      <c r="Z69" s="79" t="str">
        <f>IF(Z$3="","",IF(COUNTIFS(Base!$A$3:$A$5001,Z$3,Base!$B$3:$B$5001,$A$61,Base!$W$3:$W$5001,"&lt;&gt;")=0,"",SUMIFS(Base!$W$3:$W$5001,Base!$A$3:$A$5001,Z$3,Base!$B$3:$B$5001,$A$61)))</f>
        <v/>
      </c>
      <c r="AA69" s="79" t="str">
        <f>IF(AA$3="","",IF(COUNTIFS(Base!$A$3:$A$5001,AA$3,Base!$B$3:$B$5001,$A$61,Base!$W$3:$W$5001,"&lt;&gt;")=0,"",SUMIFS(Base!$W$3:$W$5001,Base!$A$3:$A$5001,AA$3,Base!$B$3:$B$5001,$A$61)))</f>
        <v/>
      </c>
      <c r="AB69" s="79" t="str">
        <f>IF(AB$3="","",IF(COUNTIFS(Base!$A$3:$A$5001,AB$3,Base!$B$3:$B$5001,$A$61,Base!$W$3:$W$5001,"&lt;&gt;")=0,"",SUMIFS(Base!$W$3:$W$5001,Base!$A$3:$A$5001,AB$3,Base!$B$3:$B$5001,$A$61)))</f>
        <v/>
      </c>
      <c r="AC69" s="79" t="str">
        <f>IF(AC$3="","",IF(COUNTIFS(Base!$A$3:$A$5001,AC$3,Base!$B$3:$B$5001,$A$61,Base!$W$3:$W$5001,"&lt;&gt;")=0,"",SUMIFS(Base!$W$3:$W$5001,Base!$A$3:$A$5001,AC$3,Base!$B$3:$B$5001,$A$61)))</f>
        <v/>
      </c>
      <c r="AD69" s="79" t="str">
        <f>IF(AD$3="","",IF(COUNTIFS(Base!$A$3:$A$5001,AD$3,Base!$B$3:$B$5001,$A$61,Base!$W$3:$W$5001,"&lt;&gt;")=0,"",SUMIFS(Base!$W$3:$W$5001,Base!$A$3:$A$5001,AD$3,Base!$B$3:$B$5001,$A$61)))</f>
        <v/>
      </c>
      <c r="AE69" s="79" t="str">
        <f>IF(AE$3="","",IF(COUNTIFS(Base!$A$3:$A$5001,AE$3,Base!$B$3:$B$5001,$A$61,Base!$W$3:$W$5001,"&lt;&gt;")=0,"",SUMIFS(Base!$W$3:$W$5001,Base!$A$3:$A$5001,AE$3,Base!$B$3:$B$5001,$A$61)))</f>
        <v/>
      </c>
      <c r="AF69" s="79" t="str">
        <f>IF(AF$3="","",IF(COUNTIFS(Base!$A$3:$A$5001,AF$3,Base!$B$3:$B$5001,$A$61,Base!$W$3:$W$5001,"&lt;&gt;")=0,"",SUMIFS(Base!$W$3:$W$5001,Base!$A$3:$A$5001,AF$3,Base!$B$3:$B$5001,$A$61)))</f>
        <v/>
      </c>
      <c r="AG69" s="79" t="str">
        <f>IF(AG$3="","",IF(COUNTIFS(Base!$A$3:$A$5001,AG$3,Base!$B$3:$B$5001,$A$61,Base!$W$3:$W$5001,"&lt;&gt;")=0,"",SUMIFS(Base!$W$3:$W$5001,Base!$A$3:$A$5001,AG$3,Base!$B$3:$B$5001,$A$61)))</f>
        <v/>
      </c>
      <c r="AH69" s="79" t="str">
        <f>IF(AH$3="","",IF(COUNTIFS(Base!$A$3:$A$5001,AH$3,Base!$B$3:$B$5001,$A$61,Base!$W$3:$W$5001,"&lt;&gt;")=0,"",SUMIFS(Base!$W$3:$W$5001,Base!$A$3:$A$5001,AH$3,Base!$B$3:$B$5001,$A$61)))</f>
        <v/>
      </c>
      <c r="AI69" s="79" t="str">
        <f>IF(AI$3="","",IF(COUNTIFS(Base!$A$3:$A$5001,AI$3,Base!$B$3:$B$5001,$A$61,Base!$W$3:$W$5001,"&lt;&gt;")=0,"",SUMIFS(Base!$W$3:$W$5001,Base!$A$3:$A$5001,AI$3,Base!$B$3:$B$5001,$A$61)))</f>
        <v/>
      </c>
      <c r="AJ69" s="80" t="str">
        <f>IF(AJ$3="","",IF(COUNTIFS(Base!$A$3:$A$5001,AJ$3,Base!$B$3:$B$5001,$A$61,Base!$W$3:$W$5001,"&lt;&gt;")=0,"",SUMIFS(Base!$W$3:$W$5001,Base!$A$3:$A$5001,AJ$3,Base!$B$3:$B$5001,$A$61)))</f>
        <v/>
      </c>
      <c r="AK69" s="76" t="str">
        <f>IFERROR(LOOKUP(9.99E+307,F69:AJ69),"")</f>
        <v/>
      </c>
    </row>
    <row r="70" ht="15.75" customHeight="1">
      <c r="A70" s="118"/>
      <c r="B70" s="105" t="inlineStr">
        <is>
          <t xml:space="preserve">OCUPAÇÃO (P.P)</t>
        </is>
      </c>
      <c r="C70" s="21" t="inlineStr">
        <is>
          <t xml:space="preserve">Posições Disponíveis</t>
        </is>
      </c>
      <c r="D70" s="22" t="str">
        <f>IFERROR(1/(1/INDEX(calculos!$C$55:$K$83,MATCH("Posições Disponíveis",calculos!$A$55:$A$83,0),MATCH($A$61,calculos!$C$54:$K$54,0))),"")</f>
        <v/>
      </c>
      <c r="E70" s="23"/>
      <c r="F70" s="24" t="str">
        <f>IF(F$3="","",IF(COUNTIFS(Base!$A$3:$A$5001,F$3,Base!$B$3:$B$5001,$A$61,Base!$X$3:$X$5001,"&lt;&gt;")=0,"",SUMIFS(Base!$X$3:$X$5001,Base!$A$3:$A$5001,F$3,Base!$B$3:$B$5001,$A$61)))</f>
        <v/>
      </c>
      <c r="G70" s="25" t="str">
        <f>IF(G$3="","",IF(COUNTIFS(Base!$A$3:$A$5001,G$3,Base!$B$3:$B$5001,$A$61,Base!$X$3:$X$5001,"&lt;&gt;")=0,"",SUMIFS(Base!$X$3:$X$5001,Base!$A$3:$A$5001,G$3,Base!$B$3:$B$5001,$A$61)))</f>
        <v/>
      </c>
      <c r="H70" s="25" t="str">
        <f>IF(H$3="","",IF(COUNTIFS(Base!$A$3:$A$5001,H$3,Base!$B$3:$B$5001,$A$61,Base!$X$3:$X$5001,"&lt;&gt;")=0,"",SUMIFS(Base!$X$3:$X$5001,Base!$A$3:$A$5001,H$3,Base!$B$3:$B$5001,$A$61)))</f>
        <v/>
      </c>
      <c r="I70" s="25" t="str">
        <f>IF(I$3="","",IF(COUNTIFS(Base!$A$3:$A$5001,I$3,Base!$B$3:$B$5001,$A$61,Base!$X$3:$X$5001,"&lt;&gt;")=0,"",SUMIFS(Base!$X$3:$X$5001,Base!$A$3:$A$5001,I$3,Base!$B$3:$B$5001,$A$61)))</f>
        <v/>
      </c>
      <c r="J70" s="25" t="str">
        <f>IF(J$3="","",IF(COUNTIFS(Base!$A$3:$A$5001,J$3,Base!$B$3:$B$5001,$A$61,Base!$X$3:$X$5001,"&lt;&gt;")=0,"",SUMIFS(Base!$X$3:$X$5001,Base!$A$3:$A$5001,J$3,Base!$B$3:$B$5001,$A$61)))</f>
        <v/>
      </c>
      <c r="K70" s="25" t="str">
        <f>IF(K$3="","",IF(COUNTIFS(Base!$A$3:$A$5001,K$3,Base!$B$3:$B$5001,$A$61,Base!$X$3:$X$5001,"&lt;&gt;")=0,"",SUMIFS(Base!$X$3:$X$5001,Base!$A$3:$A$5001,K$3,Base!$B$3:$B$5001,$A$61)))</f>
        <v/>
      </c>
      <c r="L70" s="25" t="str">
        <f>IF(L$3="","",IF(COUNTIFS(Base!$A$3:$A$5001,L$3,Base!$B$3:$B$5001,$A$61,Base!$X$3:$X$5001,"&lt;&gt;")=0,"",SUMIFS(Base!$X$3:$X$5001,Base!$A$3:$A$5001,L$3,Base!$B$3:$B$5001,$A$61)))</f>
        <v/>
      </c>
      <c r="M70" s="25" t="str">
        <f>IF(M$3="","",IF(COUNTIFS(Base!$A$3:$A$5001,M$3,Base!$B$3:$B$5001,$A$61,Base!$X$3:$X$5001,"&lt;&gt;")=0,"",SUMIFS(Base!$X$3:$X$5001,Base!$A$3:$A$5001,M$3,Base!$B$3:$B$5001,$A$61)))</f>
        <v/>
      </c>
      <c r="N70" s="25" t="str">
        <f>IF(N$3="","",IF(COUNTIFS(Base!$A$3:$A$5001,N$3,Base!$B$3:$B$5001,$A$61,Base!$X$3:$X$5001,"&lt;&gt;")=0,"",SUMIFS(Base!$X$3:$X$5001,Base!$A$3:$A$5001,N$3,Base!$B$3:$B$5001,$A$61)))</f>
        <v/>
      </c>
      <c r="O70" s="25" t="str">
        <f>IF(O$3="","",IF(COUNTIFS(Base!$A$3:$A$5001,O$3,Base!$B$3:$B$5001,$A$61,Base!$X$3:$X$5001,"&lt;&gt;")=0,"",SUMIFS(Base!$X$3:$X$5001,Base!$A$3:$A$5001,O$3,Base!$B$3:$B$5001,$A$61)))</f>
        <v/>
      </c>
      <c r="P70" s="25" t="str">
        <f>IF(P$3="","",IF(COUNTIFS(Base!$A$3:$A$5001,P$3,Base!$B$3:$B$5001,$A$61,Base!$X$3:$X$5001,"&lt;&gt;")=0,"",SUMIFS(Base!$X$3:$X$5001,Base!$A$3:$A$5001,P$3,Base!$B$3:$B$5001,$A$61)))</f>
        <v/>
      </c>
      <c r="Q70" s="25" t="str">
        <f>IF(Q$3="","",IF(COUNTIFS(Base!$A$3:$A$5001,Q$3,Base!$B$3:$B$5001,$A$61,Base!$X$3:$X$5001,"&lt;&gt;")=0,"",SUMIFS(Base!$X$3:$X$5001,Base!$A$3:$A$5001,Q$3,Base!$B$3:$B$5001,$A$61)))</f>
        <v/>
      </c>
      <c r="R70" s="25" t="str">
        <f>IF(R$3="","",IF(COUNTIFS(Base!$A$3:$A$5001,R$3,Base!$B$3:$B$5001,$A$61,Base!$X$3:$X$5001,"&lt;&gt;")=0,"",SUMIFS(Base!$X$3:$X$5001,Base!$A$3:$A$5001,R$3,Base!$B$3:$B$5001,$A$61)))</f>
        <v/>
      </c>
      <c r="S70" s="25" t="str">
        <f>IF(S$3="","",IF(COUNTIFS(Base!$A$3:$A$5001,S$3,Base!$B$3:$B$5001,$A$61,Base!$X$3:$X$5001,"&lt;&gt;")=0,"",SUMIFS(Base!$X$3:$X$5001,Base!$A$3:$A$5001,S$3,Base!$B$3:$B$5001,$A$61)))</f>
        <v/>
      </c>
      <c r="T70" s="25" t="str">
        <f>IF(T$3="","",IF(COUNTIFS(Base!$A$3:$A$5001,T$3,Base!$B$3:$B$5001,$A$61,Base!$X$3:$X$5001,"&lt;&gt;")=0,"",SUMIFS(Base!$X$3:$X$5001,Base!$A$3:$A$5001,T$3,Base!$B$3:$B$5001,$A$61)))</f>
        <v/>
      </c>
      <c r="U70" s="25" t="str">
        <f>IF(U$3="","",IF(COUNTIFS(Base!$A$3:$A$5001,U$3,Base!$B$3:$B$5001,$A$61,Base!$X$3:$X$5001,"&lt;&gt;")=0,"",SUMIFS(Base!$X$3:$X$5001,Base!$A$3:$A$5001,U$3,Base!$B$3:$B$5001,$A$61)))</f>
        <v/>
      </c>
      <c r="V70" s="25" t="str">
        <f>IF(V$3="","",IF(COUNTIFS(Base!$A$3:$A$5001,V$3,Base!$B$3:$B$5001,$A$61,Base!$X$3:$X$5001,"&lt;&gt;")=0,"",SUMIFS(Base!$X$3:$X$5001,Base!$A$3:$A$5001,V$3,Base!$B$3:$B$5001,$A$61)))</f>
        <v/>
      </c>
      <c r="W70" s="25" t="str">
        <f>IF(W$3="","",IF(COUNTIFS(Base!$A$3:$A$5001,W$3,Base!$B$3:$B$5001,$A$61,Base!$X$3:$X$5001,"&lt;&gt;")=0,"",SUMIFS(Base!$X$3:$X$5001,Base!$A$3:$A$5001,W$3,Base!$B$3:$B$5001,$A$61)))</f>
        <v/>
      </c>
      <c r="X70" s="25" t="str">
        <f>IF(X$3="","",IF(COUNTIFS(Base!$A$3:$A$5001,X$3,Base!$B$3:$B$5001,$A$61,Base!$X$3:$X$5001,"&lt;&gt;")=0,"",SUMIFS(Base!$X$3:$X$5001,Base!$A$3:$A$5001,X$3,Base!$B$3:$B$5001,$A$61)))</f>
        <v/>
      </c>
      <c r="Y70" s="25" t="str">
        <f>IF(Y$3="","",IF(COUNTIFS(Base!$A$3:$A$5001,Y$3,Base!$B$3:$B$5001,$A$61,Base!$X$3:$X$5001,"&lt;&gt;")=0,"",SUMIFS(Base!$X$3:$X$5001,Base!$A$3:$A$5001,Y$3,Base!$B$3:$B$5001,$A$61)))</f>
        <v/>
      </c>
      <c r="Z70" s="25" t="str">
        <f>IF(Z$3="","",IF(COUNTIFS(Base!$A$3:$A$5001,Z$3,Base!$B$3:$B$5001,$A$61,Base!$X$3:$X$5001,"&lt;&gt;")=0,"",SUMIFS(Base!$X$3:$X$5001,Base!$A$3:$A$5001,Z$3,Base!$B$3:$B$5001,$A$61)))</f>
        <v/>
      </c>
      <c r="AA70" s="25" t="str">
        <f>IF(AA$3="","",IF(COUNTIFS(Base!$A$3:$A$5001,AA$3,Base!$B$3:$B$5001,$A$61,Base!$X$3:$X$5001,"&lt;&gt;")=0,"",SUMIFS(Base!$X$3:$X$5001,Base!$A$3:$A$5001,AA$3,Base!$B$3:$B$5001,$A$61)))</f>
        <v/>
      </c>
      <c r="AB70" s="25" t="str">
        <f>IF(AB$3="","",IF(COUNTIFS(Base!$A$3:$A$5001,AB$3,Base!$B$3:$B$5001,$A$61,Base!$X$3:$X$5001,"&lt;&gt;")=0,"",SUMIFS(Base!$X$3:$X$5001,Base!$A$3:$A$5001,AB$3,Base!$B$3:$B$5001,$A$61)))</f>
        <v/>
      </c>
      <c r="AC70" s="25" t="str">
        <f>IF(AC$3="","",IF(COUNTIFS(Base!$A$3:$A$5001,AC$3,Base!$B$3:$B$5001,$A$61,Base!$X$3:$X$5001,"&lt;&gt;")=0,"",SUMIFS(Base!$X$3:$X$5001,Base!$A$3:$A$5001,AC$3,Base!$B$3:$B$5001,$A$61)))</f>
        <v/>
      </c>
      <c r="AD70" s="25" t="str">
        <f>IF(AD$3="","",IF(COUNTIFS(Base!$A$3:$A$5001,AD$3,Base!$B$3:$B$5001,$A$61,Base!$X$3:$X$5001,"&lt;&gt;")=0,"",SUMIFS(Base!$X$3:$X$5001,Base!$A$3:$A$5001,AD$3,Base!$B$3:$B$5001,$A$61)))</f>
        <v/>
      </c>
      <c r="AE70" s="25" t="str">
        <f>IF(AE$3="","",IF(COUNTIFS(Base!$A$3:$A$5001,AE$3,Base!$B$3:$B$5001,$A$61,Base!$X$3:$X$5001,"&lt;&gt;")=0,"",SUMIFS(Base!$X$3:$X$5001,Base!$A$3:$A$5001,AE$3,Base!$B$3:$B$5001,$A$61)))</f>
        <v/>
      </c>
      <c r="AF70" s="25" t="str">
        <f>IF(AF$3="","",IF(COUNTIFS(Base!$A$3:$A$5001,AF$3,Base!$B$3:$B$5001,$A$61,Base!$X$3:$X$5001,"&lt;&gt;")=0,"",SUMIFS(Base!$X$3:$X$5001,Base!$A$3:$A$5001,AF$3,Base!$B$3:$B$5001,$A$61)))</f>
        <v/>
      </c>
      <c r="AG70" s="25" t="str">
        <f>IF(AG$3="","",IF(COUNTIFS(Base!$A$3:$A$5001,AG$3,Base!$B$3:$B$5001,$A$61,Base!$X$3:$X$5001,"&lt;&gt;")=0,"",SUMIFS(Base!$X$3:$X$5001,Base!$A$3:$A$5001,AG$3,Base!$B$3:$B$5001,$A$61)))</f>
        <v/>
      </c>
      <c r="AH70" s="25" t="str">
        <f>IF(AH$3="","",IF(COUNTIFS(Base!$A$3:$A$5001,AH$3,Base!$B$3:$B$5001,$A$61,Base!$X$3:$X$5001,"&lt;&gt;")=0,"",SUMIFS(Base!$X$3:$X$5001,Base!$A$3:$A$5001,AH$3,Base!$B$3:$B$5001,$A$61)))</f>
        <v/>
      </c>
      <c r="AI70" s="25" t="str">
        <f>IF(AI$3="","",IF(COUNTIFS(Base!$A$3:$A$5001,AI$3,Base!$B$3:$B$5001,$A$61,Base!$X$3:$X$5001,"&lt;&gt;")=0,"",SUMIFS(Base!$X$3:$X$5001,Base!$A$3:$A$5001,AI$3,Base!$B$3:$B$5001,$A$61)))</f>
        <v/>
      </c>
      <c r="AJ70" s="26" t="str">
        <f>IF(AJ$3="","",IF(COUNTIFS(Base!$A$3:$A$5001,AJ$3,Base!$B$3:$B$5001,$A$61,Base!$X$3:$X$5001,"&lt;&gt;")=0,"",SUMIFS(Base!$X$3:$X$5001,Base!$A$3:$A$5001,AJ$3,Base!$B$3:$B$5001,$A$61)))</f>
        <v/>
      </c>
      <c r="AK70" s="27" t="str">
        <f>IFERROR(LOOKUP(9.99E+307,F70:AJ70),"")</f>
        <v/>
      </c>
    </row>
    <row r="71" ht="15.75" customHeight="1">
      <c r="A71" s="118"/>
      <c r="B71" s="106"/>
      <c r="C71" s="28" t="inlineStr">
        <is>
          <t xml:space="preserve">Posições Ocupadas</t>
        </is>
      </c>
      <c r="D71" s="29" t="str">
        <f>IFERROR(1/(1/INDEX(calculos!$C$55:$K$83,MATCH("Posições Ocupadas",calculos!$A$55:$A$83,0),MATCH($A$61,calculos!$C$54:$K$54,0))),"")</f>
        <v/>
      </c>
      <c r="E71" s="30"/>
      <c r="F71" s="31" t="str">
        <f>IF(F$3="","",IF(COUNTIFS(Base!$A$3:$A$5001,F$3,Base!$B$3:$B$5001,$A$61,Base!$Y$3:$Y$5001,"&lt;&gt;")=0,"",SUMIFS(Base!$Y$3:$Y$5001,Base!$A$3:$A$5001,F$3,Base!$B$3:$B$5001,$A$61)))</f>
        <v/>
      </c>
      <c r="G71" s="32" t="str">
        <f>IF(G$3="","",IF(COUNTIFS(Base!$A$3:$A$5001,G$3,Base!$B$3:$B$5001,$A$61,Base!$Y$3:$Y$5001,"&lt;&gt;")=0,"",SUMIFS(Base!$Y$3:$Y$5001,Base!$A$3:$A$5001,G$3,Base!$B$3:$B$5001,$A$61)))</f>
        <v/>
      </c>
      <c r="H71" s="32" t="str">
        <f>IF(H$3="","",IF(COUNTIFS(Base!$A$3:$A$5001,H$3,Base!$B$3:$B$5001,$A$61,Base!$Y$3:$Y$5001,"&lt;&gt;")=0,"",SUMIFS(Base!$Y$3:$Y$5001,Base!$A$3:$A$5001,H$3,Base!$B$3:$B$5001,$A$61)))</f>
        <v/>
      </c>
      <c r="I71" s="32" t="str">
        <f>IF(I$3="","",IF(COUNTIFS(Base!$A$3:$A$5001,I$3,Base!$B$3:$B$5001,$A$61,Base!$Y$3:$Y$5001,"&lt;&gt;")=0,"",SUMIFS(Base!$Y$3:$Y$5001,Base!$A$3:$A$5001,I$3,Base!$B$3:$B$5001,$A$61)))</f>
        <v/>
      </c>
      <c r="J71" s="32" t="str">
        <f>IF(J$3="","",IF(COUNTIFS(Base!$A$3:$A$5001,J$3,Base!$B$3:$B$5001,$A$61,Base!$Y$3:$Y$5001,"&lt;&gt;")=0,"",SUMIFS(Base!$Y$3:$Y$5001,Base!$A$3:$A$5001,J$3,Base!$B$3:$B$5001,$A$61)))</f>
        <v/>
      </c>
      <c r="K71" s="32" t="str">
        <f>IF(K$3="","",IF(COUNTIFS(Base!$A$3:$A$5001,K$3,Base!$B$3:$B$5001,$A$61,Base!$Y$3:$Y$5001,"&lt;&gt;")=0,"",SUMIFS(Base!$Y$3:$Y$5001,Base!$A$3:$A$5001,K$3,Base!$B$3:$B$5001,$A$61)))</f>
        <v/>
      </c>
      <c r="L71" s="32" t="str">
        <f>IF(L$3="","",IF(COUNTIFS(Base!$A$3:$A$5001,L$3,Base!$B$3:$B$5001,$A$61,Base!$Y$3:$Y$5001,"&lt;&gt;")=0,"",SUMIFS(Base!$Y$3:$Y$5001,Base!$A$3:$A$5001,L$3,Base!$B$3:$B$5001,$A$61)))</f>
        <v/>
      </c>
      <c r="M71" s="32" t="str">
        <f>IF(M$3="","",IF(COUNTIFS(Base!$A$3:$A$5001,M$3,Base!$B$3:$B$5001,$A$61,Base!$Y$3:$Y$5001,"&lt;&gt;")=0,"",SUMIFS(Base!$Y$3:$Y$5001,Base!$A$3:$A$5001,M$3,Base!$B$3:$B$5001,$A$61)))</f>
        <v/>
      </c>
      <c r="N71" s="32" t="str">
        <f>IF(N$3="","",IF(COUNTIFS(Base!$A$3:$A$5001,N$3,Base!$B$3:$B$5001,$A$61,Base!$Y$3:$Y$5001,"&lt;&gt;")=0,"",SUMIFS(Base!$Y$3:$Y$5001,Base!$A$3:$A$5001,N$3,Base!$B$3:$B$5001,$A$61)))</f>
        <v/>
      </c>
      <c r="O71" s="32" t="str">
        <f>IF(O$3="","",IF(COUNTIFS(Base!$A$3:$A$5001,O$3,Base!$B$3:$B$5001,$A$61,Base!$Y$3:$Y$5001,"&lt;&gt;")=0,"",SUMIFS(Base!$Y$3:$Y$5001,Base!$A$3:$A$5001,O$3,Base!$B$3:$B$5001,$A$61)))</f>
        <v/>
      </c>
      <c r="P71" s="32" t="str">
        <f>IF(P$3="","",IF(COUNTIFS(Base!$A$3:$A$5001,P$3,Base!$B$3:$B$5001,$A$61,Base!$Y$3:$Y$5001,"&lt;&gt;")=0,"",SUMIFS(Base!$Y$3:$Y$5001,Base!$A$3:$A$5001,P$3,Base!$B$3:$B$5001,$A$61)))</f>
        <v/>
      </c>
      <c r="Q71" s="32" t="str">
        <f>IF(Q$3="","",IF(COUNTIFS(Base!$A$3:$A$5001,Q$3,Base!$B$3:$B$5001,$A$61,Base!$Y$3:$Y$5001,"&lt;&gt;")=0,"",SUMIFS(Base!$Y$3:$Y$5001,Base!$A$3:$A$5001,Q$3,Base!$B$3:$B$5001,$A$61)))</f>
        <v/>
      </c>
      <c r="R71" s="32" t="str">
        <f>IF(R$3="","",IF(COUNTIFS(Base!$A$3:$A$5001,R$3,Base!$B$3:$B$5001,$A$61,Base!$Y$3:$Y$5001,"&lt;&gt;")=0,"",SUMIFS(Base!$Y$3:$Y$5001,Base!$A$3:$A$5001,R$3,Base!$B$3:$B$5001,$A$61)))</f>
        <v/>
      </c>
      <c r="S71" s="32" t="str">
        <f>IF(S$3="","",IF(COUNTIFS(Base!$A$3:$A$5001,S$3,Base!$B$3:$B$5001,$A$61,Base!$Y$3:$Y$5001,"&lt;&gt;")=0,"",SUMIFS(Base!$Y$3:$Y$5001,Base!$A$3:$A$5001,S$3,Base!$B$3:$B$5001,$A$61)))</f>
        <v/>
      </c>
      <c r="T71" s="32" t="str">
        <f>IF(T$3="","",IF(COUNTIFS(Base!$A$3:$A$5001,T$3,Base!$B$3:$B$5001,$A$61,Base!$Y$3:$Y$5001,"&lt;&gt;")=0,"",SUMIFS(Base!$Y$3:$Y$5001,Base!$A$3:$A$5001,T$3,Base!$B$3:$B$5001,$A$61)))</f>
        <v/>
      </c>
      <c r="U71" s="32" t="str">
        <f>IF(U$3="","",IF(COUNTIFS(Base!$A$3:$A$5001,U$3,Base!$B$3:$B$5001,$A$61,Base!$Y$3:$Y$5001,"&lt;&gt;")=0,"",SUMIFS(Base!$Y$3:$Y$5001,Base!$A$3:$A$5001,U$3,Base!$B$3:$B$5001,$A$61)))</f>
        <v/>
      </c>
      <c r="V71" s="32" t="str">
        <f>IF(V$3="","",IF(COUNTIFS(Base!$A$3:$A$5001,V$3,Base!$B$3:$B$5001,$A$61,Base!$Y$3:$Y$5001,"&lt;&gt;")=0,"",SUMIFS(Base!$Y$3:$Y$5001,Base!$A$3:$A$5001,V$3,Base!$B$3:$B$5001,$A$61)))</f>
        <v/>
      </c>
      <c r="W71" s="32" t="str">
        <f>IF(W$3="","",IF(COUNTIFS(Base!$A$3:$A$5001,W$3,Base!$B$3:$B$5001,$A$61,Base!$Y$3:$Y$5001,"&lt;&gt;")=0,"",SUMIFS(Base!$Y$3:$Y$5001,Base!$A$3:$A$5001,W$3,Base!$B$3:$B$5001,$A$61)))</f>
        <v/>
      </c>
      <c r="X71" s="32" t="str">
        <f>IF(X$3="","",IF(COUNTIFS(Base!$A$3:$A$5001,X$3,Base!$B$3:$B$5001,$A$61,Base!$Y$3:$Y$5001,"&lt;&gt;")=0,"",SUMIFS(Base!$Y$3:$Y$5001,Base!$A$3:$A$5001,X$3,Base!$B$3:$B$5001,$A$61)))</f>
        <v/>
      </c>
      <c r="Y71" s="32" t="str">
        <f>IF(Y$3="","",IF(COUNTIFS(Base!$A$3:$A$5001,Y$3,Base!$B$3:$B$5001,$A$61,Base!$Y$3:$Y$5001,"&lt;&gt;")=0,"",SUMIFS(Base!$Y$3:$Y$5001,Base!$A$3:$A$5001,Y$3,Base!$B$3:$B$5001,$A$61)))</f>
        <v/>
      </c>
      <c r="Z71" s="32" t="str">
        <f>IF(Z$3="","",IF(COUNTIFS(Base!$A$3:$A$5001,Z$3,Base!$B$3:$B$5001,$A$61,Base!$Y$3:$Y$5001,"&lt;&gt;")=0,"",SUMIFS(Base!$Y$3:$Y$5001,Base!$A$3:$A$5001,Z$3,Base!$B$3:$B$5001,$A$61)))</f>
        <v/>
      </c>
      <c r="AA71" s="32" t="str">
        <f>IF(AA$3="","",IF(COUNTIFS(Base!$A$3:$A$5001,AA$3,Base!$B$3:$B$5001,$A$61,Base!$Y$3:$Y$5001,"&lt;&gt;")=0,"",SUMIFS(Base!$Y$3:$Y$5001,Base!$A$3:$A$5001,AA$3,Base!$B$3:$B$5001,$A$61)))</f>
        <v/>
      </c>
      <c r="AB71" s="32" t="str">
        <f>IF(AB$3="","",IF(COUNTIFS(Base!$A$3:$A$5001,AB$3,Base!$B$3:$B$5001,$A$61,Base!$Y$3:$Y$5001,"&lt;&gt;")=0,"",SUMIFS(Base!$Y$3:$Y$5001,Base!$A$3:$A$5001,AB$3,Base!$B$3:$B$5001,$A$61)))</f>
        <v/>
      </c>
      <c r="AC71" s="32" t="str">
        <f>IF(AC$3="","",IF(COUNTIFS(Base!$A$3:$A$5001,AC$3,Base!$B$3:$B$5001,$A$61,Base!$Y$3:$Y$5001,"&lt;&gt;")=0,"",SUMIFS(Base!$Y$3:$Y$5001,Base!$A$3:$A$5001,AC$3,Base!$B$3:$B$5001,$A$61)))</f>
        <v/>
      </c>
      <c r="AD71" s="32" t="str">
        <f>IF(AD$3="","",IF(COUNTIFS(Base!$A$3:$A$5001,AD$3,Base!$B$3:$B$5001,$A$61,Base!$Y$3:$Y$5001,"&lt;&gt;")=0,"",SUMIFS(Base!$Y$3:$Y$5001,Base!$A$3:$A$5001,AD$3,Base!$B$3:$B$5001,$A$61)))</f>
        <v/>
      </c>
      <c r="AE71" s="32" t="str">
        <f>IF(AE$3="","",IF(COUNTIFS(Base!$A$3:$A$5001,AE$3,Base!$B$3:$B$5001,$A$61,Base!$Y$3:$Y$5001,"&lt;&gt;")=0,"",SUMIFS(Base!$Y$3:$Y$5001,Base!$A$3:$A$5001,AE$3,Base!$B$3:$B$5001,$A$61)))</f>
        <v/>
      </c>
      <c r="AF71" s="32" t="str">
        <f>IF(AF$3="","",IF(COUNTIFS(Base!$A$3:$A$5001,AF$3,Base!$B$3:$B$5001,$A$61,Base!$Y$3:$Y$5001,"&lt;&gt;")=0,"",SUMIFS(Base!$Y$3:$Y$5001,Base!$A$3:$A$5001,AF$3,Base!$B$3:$B$5001,$A$61)))</f>
        <v/>
      </c>
      <c r="AG71" s="32" t="str">
        <f>IF(AG$3="","",IF(COUNTIFS(Base!$A$3:$A$5001,AG$3,Base!$B$3:$B$5001,$A$61,Base!$Y$3:$Y$5001,"&lt;&gt;")=0,"",SUMIFS(Base!$Y$3:$Y$5001,Base!$A$3:$A$5001,AG$3,Base!$B$3:$B$5001,$A$61)))</f>
        <v/>
      </c>
      <c r="AH71" s="32" t="str">
        <f>IF(AH$3="","",IF(COUNTIFS(Base!$A$3:$A$5001,AH$3,Base!$B$3:$B$5001,$A$61,Base!$Y$3:$Y$5001,"&lt;&gt;")=0,"",SUMIFS(Base!$Y$3:$Y$5001,Base!$A$3:$A$5001,AH$3,Base!$B$3:$B$5001,$A$61)))</f>
        <v/>
      </c>
      <c r="AI71" s="32" t="str">
        <f>IF(AI$3="","",IF(COUNTIFS(Base!$A$3:$A$5001,AI$3,Base!$B$3:$B$5001,$A$61,Base!$Y$3:$Y$5001,"&lt;&gt;")=0,"",SUMIFS(Base!$Y$3:$Y$5001,Base!$A$3:$A$5001,AI$3,Base!$B$3:$B$5001,$A$61)))</f>
        <v/>
      </c>
      <c r="AJ71" s="33" t="str">
        <f>IF(AJ$3="","",IF(COUNTIFS(Base!$A$3:$A$5001,AJ$3,Base!$B$3:$B$5001,$A$61,Base!$Y$3:$Y$5001,"&lt;&gt;")=0,"",SUMIFS(Base!$Y$3:$Y$5001,Base!$A$3:$A$5001,AJ$3,Base!$B$3:$B$5001,$A$61)))</f>
        <v/>
      </c>
      <c r="AK71" s="34" t="str">
        <f>IFERROR(LOOKUP(9.99E+307,F71:AJ71),"")</f>
        <v/>
      </c>
    </row>
    <row r="72" ht="15.75" customHeight="1">
      <c r="A72" s="118"/>
      <c r="B72" s="107"/>
      <c r="C72" s="35" t="inlineStr">
        <is>
          <t xml:space="preserve">Taxa de Ocupação</t>
        </is>
      </c>
      <c r="D72" s="81" t="str">
        <f>IFERROR(1/(1/INDEX(calculos!$C$55:$K$83,MATCH("Taxa de Ocupação",calculos!$A$55:$A$83,0),MATCH($A$61,calculos!$C$54:$K$54,0))),"")</f>
        <v/>
      </c>
      <c r="E72" s="37"/>
      <c r="F72" s="82" t="str">
        <f>IF(AND(ISNUMBER(F70),ISNUMBER(F71)),IF(F70&gt;0,F71/F70,""),"")</f>
        <v/>
      </c>
      <c r="G72" s="83" t="str">
        <f>IF(AND(ISNUMBER(G70),ISNUMBER(G71)),IF(G70&gt;0,G71/G70,""),"")</f>
        <v/>
      </c>
      <c r="H72" s="83" t="str">
        <f>IF(AND(ISNUMBER(H70),ISNUMBER(H71)),IF(H70&gt;0,H71/H70,""),"")</f>
        <v/>
      </c>
      <c r="I72" s="83" t="str">
        <f>IF(AND(ISNUMBER(I70),ISNUMBER(I71)),IF(I70&gt;0,I71/I70,""),"")</f>
        <v/>
      </c>
      <c r="J72" s="83" t="str">
        <f>IF(AND(ISNUMBER(J70),ISNUMBER(J71)),IF(J70&gt;0,J71/J70,""),"")</f>
        <v/>
      </c>
      <c r="K72" s="83" t="str">
        <f>IF(AND(ISNUMBER(K70),ISNUMBER(K71)),IF(K70&gt;0,K71/K70,""),"")</f>
        <v/>
      </c>
      <c r="L72" s="83" t="str">
        <f>IF(AND(ISNUMBER(L70),ISNUMBER(L71)),IF(L70&gt;0,L71/L70,""),"")</f>
        <v/>
      </c>
      <c r="M72" s="83" t="str">
        <f>IF(AND(ISNUMBER(M70),ISNUMBER(M71)),IF(M70&gt;0,M71/M70,""),"")</f>
        <v/>
      </c>
      <c r="N72" s="83" t="str">
        <f>IF(AND(ISNUMBER(N70),ISNUMBER(N71)),IF(N70&gt;0,N71/N70,""),"")</f>
        <v/>
      </c>
      <c r="O72" s="83" t="str">
        <f>IF(AND(ISNUMBER(O70),ISNUMBER(O71)),IF(O70&gt;0,O71/O70,""),"")</f>
        <v/>
      </c>
      <c r="P72" s="83" t="str">
        <f>IF(AND(ISNUMBER(P70),ISNUMBER(P71)),IF(P70&gt;0,P71/P70,""),"")</f>
        <v/>
      </c>
      <c r="Q72" s="83" t="str">
        <f>IF(AND(ISNUMBER(Q70),ISNUMBER(Q71)),IF(Q70&gt;0,Q71/Q70,""),"")</f>
        <v/>
      </c>
      <c r="R72" s="83" t="str">
        <f>IF(AND(ISNUMBER(R70),ISNUMBER(R71)),IF(R70&gt;0,R71/R70,""),"")</f>
        <v/>
      </c>
      <c r="S72" s="83" t="str">
        <f>IF(AND(ISNUMBER(S70),ISNUMBER(S71)),IF(S70&gt;0,S71/S70,""),"")</f>
        <v/>
      </c>
      <c r="T72" s="83" t="str">
        <f>IF(AND(ISNUMBER(T70),ISNUMBER(T71)),IF(T70&gt;0,T71/T70,""),"")</f>
        <v/>
      </c>
      <c r="U72" s="83" t="str">
        <f>IF(AND(ISNUMBER(U70),ISNUMBER(U71)),IF(U70&gt;0,U71/U70,""),"")</f>
        <v/>
      </c>
      <c r="V72" s="83" t="str">
        <f>IF(AND(ISNUMBER(V70),ISNUMBER(V71)),IF(V70&gt;0,V71/V70,""),"")</f>
        <v/>
      </c>
      <c r="W72" s="83" t="str">
        <f>IF(AND(ISNUMBER(W70),ISNUMBER(W71)),IF(W70&gt;0,W71/W70,""),"")</f>
        <v/>
      </c>
      <c r="X72" s="83" t="str">
        <f>IF(AND(ISNUMBER(X70),ISNUMBER(X71)),IF(X70&gt;0,X71/X70,""),"")</f>
        <v/>
      </c>
      <c r="Y72" s="83" t="str">
        <f>IF(AND(ISNUMBER(Y70),ISNUMBER(Y71)),IF(Y70&gt;0,Y71/Y70,""),"")</f>
        <v/>
      </c>
      <c r="Z72" s="83" t="str">
        <f>IF(AND(ISNUMBER(Z70),ISNUMBER(Z71)),IF(Z70&gt;0,Z71/Z70,""),"")</f>
        <v/>
      </c>
      <c r="AA72" s="83" t="str">
        <f>IF(AND(ISNUMBER(AA70),ISNUMBER(AA71)),IF(AA70&gt;0,AA71/AA70,""),"")</f>
        <v/>
      </c>
      <c r="AB72" s="83" t="str">
        <f>IF(AND(ISNUMBER(AB70),ISNUMBER(AB71)),IF(AB70&gt;0,AB71/AB70,""),"")</f>
        <v/>
      </c>
      <c r="AC72" s="83" t="str">
        <f>IF(AND(ISNUMBER(AC70),ISNUMBER(AC71)),IF(AC70&gt;0,AC71/AC70,""),"")</f>
        <v/>
      </c>
      <c r="AD72" s="83" t="str">
        <f>IF(AND(ISNUMBER(AD70),ISNUMBER(AD71)),IF(AD70&gt;0,AD71/AD70,""),"")</f>
        <v/>
      </c>
      <c r="AE72" s="83" t="str">
        <f>IF(AND(ISNUMBER(AE70),ISNUMBER(AE71)),IF(AE70&gt;0,AE71/AE70,""),"")</f>
        <v/>
      </c>
      <c r="AF72" s="83" t="str">
        <f>IF(AND(ISNUMBER(AF70),ISNUMBER(AF71)),IF(AF70&gt;0,AF71/AF70,""),"")</f>
        <v/>
      </c>
      <c r="AG72" s="83" t="str">
        <f>IF(AND(ISNUMBER(AG70),ISNUMBER(AG71)),IF(AG70&gt;0,AG71/AG70,""),"")</f>
        <v/>
      </c>
      <c r="AH72" s="83" t="str">
        <f>IF(AND(ISNUMBER(AH70),ISNUMBER(AH71)),IF(AH70&gt;0,AH71/AH70,""),"")</f>
        <v/>
      </c>
      <c r="AI72" s="83" t="str">
        <f>IF(AND(ISNUMBER(AI70),ISNUMBER(AI71)),IF(AI70&gt;0,AI71/AI70,""),"")</f>
        <v/>
      </c>
      <c r="AJ72" s="84" t="str">
        <f>IF(AND(ISNUMBER(AJ70),ISNUMBER(AJ71)),IF(AJ70&gt;0,AJ71/AJ70,""),"")</f>
        <v/>
      </c>
      <c r="AK72" s="81" t="str">
        <f>IF(AND(ISNUMBER(AK70),ISNUMBER(AK71)),IF(AK70&gt;0,AK71/AK70,""),"")</f>
        <v/>
      </c>
    </row>
    <row r="73" ht="15.75" customHeight="1">
      <c r="A73" s="118"/>
      <c r="B73" s="114" t="inlineStr">
        <is>
          <t xml:space="preserve">GENTE</t>
        </is>
      </c>
      <c r="C73" s="85" t="inlineStr">
        <is>
          <t xml:space="preserve">Efetivo</t>
        </is>
      </c>
      <c r="D73" s="86" t="str">
        <f>IFERROR(1/(1/INDEX(calculos!$C$55:$K$83,MATCH("Efetivo",calculos!$A$55:$A$83,0),MATCH($A$61,calculos!$C$54:$K$54,0))),"")</f>
        <v/>
      </c>
      <c r="E73" s="87"/>
      <c r="F73" s="88" t="str">
        <f>IF(F$3="","",IF(COUNTIFS(Base!$A$3:$A$5001,F$3,Base!$B$3:$B$5001,$A$61,Base!$Z$3:$Z$5001,"&lt;&gt;")=0,"",SUMIFS(Base!$Z$3:$Z$5001,Base!$A$3:$A$5001,F$3,Base!$B$3:$B$5001,$A$61)))</f>
        <v/>
      </c>
      <c r="G73" s="89" t="str">
        <f>IF(G$3="","",IF(COUNTIFS(Base!$A$3:$A$5001,G$3,Base!$B$3:$B$5001,$A$61,Base!$Z$3:$Z$5001,"&lt;&gt;")=0,"",SUMIFS(Base!$Z$3:$Z$5001,Base!$A$3:$A$5001,G$3,Base!$B$3:$B$5001,$A$61)))</f>
        <v/>
      </c>
      <c r="H73" s="89" t="str">
        <f>IF(H$3="","",IF(COUNTIFS(Base!$A$3:$A$5001,H$3,Base!$B$3:$B$5001,$A$61,Base!$Z$3:$Z$5001,"&lt;&gt;")=0,"",SUMIFS(Base!$Z$3:$Z$5001,Base!$A$3:$A$5001,H$3,Base!$B$3:$B$5001,$A$61)))</f>
        <v/>
      </c>
      <c r="I73" s="89" t="str">
        <f>IF(I$3="","",IF(COUNTIFS(Base!$A$3:$A$5001,I$3,Base!$B$3:$B$5001,$A$61,Base!$Z$3:$Z$5001,"&lt;&gt;")=0,"",SUMIFS(Base!$Z$3:$Z$5001,Base!$A$3:$A$5001,I$3,Base!$B$3:$B$5001,$A$61)))</f>
        <v/>
      </c>
      <c r="J73" s="89" t="str">
        <f>IF(J$3="","",IF(COUNTIFS(Base!$A$3:$A$5001,J$3,Base!$B$3:$B$5001,$A$61,Base!$Z$3:$Z$5001,"&lt;&gt;")=0,"",SUMIFS(Base!$Z$3:$Z$5001,Base!$A$3:$A$5001,J$3,Base!$B$3:$B$5001,$A$61)))</f>
        <v/>
      </c>
      <c r="K73" s="89" t="str">
        <f>IF(K$3="","",IF(COUNTIFS(Base!$A$3:$A$5001,K$3,Base!$B$3:$B$5001,$A$61,Base!$Z$3:$Z$5001,"&lt;&gt;")=0,"",SUMIFS(Base!$Z$3:$Z$5001,Base!$A$3:$A$5001,K$3,Base!$B$3:$B$5001,$A$61)))</f>
        <v/>
      </c>
      <c r="L73" s="89" t="str">
        <f>IF(L$3="","",IF(COUNTIFS(Base!$A$3:$A$5001,L$3,Base!$B$3:$B$5001,$A$61,Base!$Z$3:$Z$5001,"&lt;&gt;")=0,"",SUMIFS(Base!$Z$3:$Z$5001,Base!$A$3:$A$5001,L$3,Base!$B$3:$B$5001,$A$61)))</f>
        <v/>
      </c>
      <c r="M73" s="89" t="str">
        <f>IF(M$3="","",IF(COUNTIFS(Base!$A$3:$A$5001,M$3,Base!$B$3:$B$5001,$A$61,Base!$Z$3:$Z$5001,"&lt;&gt;")=0,"",SUMIFS(Base!$Z$3:$Z$5001,Base!$A$3:$A$5001,M$3,Base!$B$3:$B$5001,$A$61)))</f>
        <v/>
      </c>
      <c r="N73" s="89" t="str">
        <f>IF(N$3="","",IF(COUNTIFS(Base!$A$3:$A$5001,N$3,Base!$B$3:$B$5001,$A$61,Base!$Z$3:$Z$5001,"&lt;&gt;")=0,"",SUMIFS(Base!$Z$3:$Z$5001,Base!$A$3:$A$5001,N$3,Base!$B$3:$B$5001,$A$61)))</f>
        <v/>
      </c>
      <c r="O73" s="89" t="str">
        <f>IF(O$3="","",IF(COUNTIFS(Base!$A$3:$A$5001,O$3,Base!$B$3:$B$5001,$A$61,Base!$Z$3:$Z$5001,"&lt;&gt;")=0,"",SUMIFS(Base!$Z$3:$Z$5001,Base!$A$3:$A$5001,O$3,Base!$B$3:$B$5001,$A$61)))</f>
        <v/>
      </c>
      <c r="P73" s="89" t="str">
        <f>IF(P$3="","",IF(COUNTIFS(Base!$A$3:$A$5001,P$3,Base!$B$3:$B$5001,$A$61,Base!$Z$3:$Z$5001,"&lt;&gt;")=0,"",SUMIFS(Base!$Z$3:$Z$5001,Base!$A$3:$A$5001,P$3,Base!$B$3:$B$5001,$A$61)))</f>
        <v/>
      </c>
      <c r="Q73" s="89" t="str">
        <f>IF(Q$3="","",IF(COUNTIFS(Base!$A$3:$A$5001,Q$3,Base!$B$3:$B$5001,$A$61,Base!$Z$3:$Z$5001,"&lt;&gt;")=0,"",SUMIFS(Base!$Z$3:$Z$5001,Base!$A$3:$A$5001,Q$3,Base!$B$3:$B$5001,$A$61)))</f>
        <v/>
      </c>
      <c r="R73" s="89" t="str">
        <f>IF(R$3="","",IF(COUNTIFS(Base!$A$3:$A$5001,R$3,Base!$B$3:$B$5001,$A$61,Base!$Z$3:$Z$5001,"&lt;&gt;")=0,"",SUMIFS(Base!$Z$3:$Z$5001,Base!$A$3:$A$5001,R$3,Base!$B$3:$B$5001,$A$61)))</f>
        <v/>
      </c>
      <c r="S73" s="89" t="str">
        <f>IF(S$3="","",IF(COUNTIFS(Base!$A$3:$A$5001,S$3,Base!$B$3:$B$5001,$A$61,Base!$Z$3:$Z$5001,"&lt;&gt;")=0,"",SUMIFS(Base!$Z$3:$Z$5001,Base!$A$3:$A$5001,S$3,Base!$B$3:$B$5001,$A$61)))</f>
        <v/>
      </c>
      <c r="T73" s="89" t="str">
        <f>IF(T$3="","",IF(COUNTIFS(Base!$A$3:$A$5001,T$3,Base!$B$3:$B$5001,$A$61,Base!$Z$3:$Z$5001,"&lt;&gt;")=0,"",SUMIFS(Base!$Z$3:$Z$5001,Base!$A$3:$A$5001,T$3,Base!$B$3:$B$5001,$A$61)))</f>
        <v/>
      </c>
      <c r="U73" s="89" t="str">
        <f>IF(U$3="","",IF(COUNTIFS(Base!$A$3:$A$5001,U$3,Base!$B$3:$B$5001,$A$61,Base!$Z$3:$Z$5001,"&lt;&gt;")=0,"",SUMIFS(Base!$Z$3:$Z$5001,Base!$A$3:$A$5001,U$3,Base!$B$3:$B$5001,$A$61)))</f>
        <v/>
      </c>
      <c r="V73" s="89" t="str">
        <f>IF(V$3="","",IF(COUNTIFS(Base!$A$3:$A$5001,V$3,Base!$B$3:$B$5001,$A$61,Base!$Z$3:$Z$5001,"&lt;&gt;")=0,"",SUMIFS(Base!$Z$3:$Z$5001,Base!$A$3:$A$5001,V$3,Base!$B$3:$B$5001,$A$61)))</f>
        <v/>
      </c>
      <c r="W73" s="89" t="str">
        <f>IF(W$3="","",IF(COUNTIFS(Base!$A$3:$A$5001,W$3,Base!$B$3:$B$5001,$A$61,Base!$Z$3:$Z$5001,"&lt;&gt;")=0,"",SUMIFS(Base!$Z$3:$Z$5001,Base!$A$3:$A$5001,W$3,Base!$B$3:$B$5001,$A$61)))</f>
        <v/>
      </c>
      <c r="X73" s="89" t="str">
        <f>IF(X$3="","",IF(COUNTIFS(Base!$A$3:$A$5001,X$3,Base!$B$3:$B$5001,$A$61,Base!$Z$3:$Z$5001,"&lt;&gt;")=0,"",SUMIFS(Base!$Z$3:$Z$5001,Base!$A$3:$A$5001,X$3,Base!$B$3:$B$5001,$A$61)))</f>
        <v/>
      </c>
      <c r="Y73" s="89" t="str">
        <f>IF(Y$3="","",IF(COUNTIFS(Base!$A$3:$A$5001,Y$3,Base!$B$3:$B$5001,$A$61,Base!$Z$3:$Z$5001,"&lt;&gt;")=0,"",SUMIFS(Base!$Z$3:$Z$5001,Base!$A$3:$A$5001,Y$3,Base!$B$3:$B$5001,$A$61)))</f>
        <v/>
      </c>
      <c r="Z73" s="89" t="str">
        <f>IF(Z$3="","",IF(COUNTIFS(Base!$A$3:$A$5001,Z$3,Base!$B$3:$B$5001,$A$61,Base!$Z$3:$Z$5001,"&lt;&gt;")=0,"",SUMIFS(Base!$Z$3:$Z$5001,Base!$A$3:$A$5001,Z$3,Base!$B$3:$B$5001,$A$61)))</f>
        <v/>
      </c>
      <c r="AA73" s="89" t="str">
        <f>IF(AA$3="","",IF(COUNTIFS(Base!$A$3:$A$5001,AA$3,Base!$B$3:$B$5001,$A$61,Base!$Z$3:$Z$5001,"&lt;&gt;")=0,"",SUMIFS(Base!$Z$3:$Z$5001,Base!$A$3:$A$5001,AA$3,Base!$B$3:$B$5001,$A$61)))</f>
        <v/>
      </c>
      <c r="AB73" s="89" t="str">
        <f>IF(AB$3="","",IF(COUNTIFS(Base!$A$3:$A$5001,AB$3,Base!$B$3:$B$5001,$A$61,Base!$Z$3:$Z$5001,"&lt;&gt;")=0,"",SUMIFS(Base!$Z$3:$Z$5001,Base!$A$3:$A$5001,AB$3,Base!$B$3:$B$5001,$A$61)))</f>
        <v/>
      </c>
      <c r="AC73" s="89" t="str">
        <f>IF(AC$3="","",IF(COUNTIFS(Base!$A$3:$A$5001,AC$3,Base!$B$3:$B$5001,$A$61,Base!$Z$3:$Z$5001,"&lt;&gt;")=0,"",SUMIFS(Base!$Z$3:$Z$5001,Base!$A$3:$A$5001,AC$3,Base!$B$3:$B$5001,$A$61)))</f>
        <v/>
      </c>
      <c r="AD73" s="89" t="str">
        <f>IF(AD$3="","",IF(COUNTIFS(Base!$A$3:$A$5001,AD$3,Base!$B$3:$B$5001,$A$61,Base!$Z$3:$Z$5001,"&lt;&gt;")=0,"",SUMIFS(Base!$Z$3:$Z$5001,Base!$A$3:$A$5001,AD$3,Base!$B$3:$B$5001,$A$61)))</f>
        <v/>
      </c>
      <c r="AE73" s="89" t="str">
        <f>IF(AE$3="","",IF(COUNTIFS(Base!$A$3:$A$5001,AE$3,Base!$B$3:$B$5001,$A$61,Base!$Z$3:$Z$5001,"&lt;&gt;")=0,"",SUMIFS(Base!$Z$3:$Z$5001,Base!$A$3:$A$5001,AE$3,Base!$B$3:$B$5001,$A$61)))</f>
        <v/>
      </c>
      <c r="AF73" s="89" t="str">
        <f>IF(AF$3="","",IF(COUNTIFS(Base!$A$3:$A$5001,AF$3,Base!$B$3:$B$5001,$A$61,Base!$Z$3:$Z$5001,"&lt;&gt;")=0,"",SUMIFS(Base!$Z$3:$Z$5001,Base!$A$3:$A$5001,AF$3,Base!$B$3:$B$5001,$A$61)))</f>
        <v/>
      </c>
      <c r="AG73" s="89" t="str">
        <f>IF(AG$3="","",IF(COUNTIFS(Base!$A$3:$A$5001,AG$3,Base!$B$3:$B$5001,$A$61,Base!$Z$3:$Z$5001,"&lt;&gt;")=0,"",SUMIFS(Base!$Z$3:$Z$5001,Base!$A$3:$A$5001,AG$3,Base!$B$3:$B$5001,$A$61)))</f>
        <v/>
      </c>
      <c r="AH73" s="89" t="str">
        <f>IF(AH$3="","",IF(COUNTIFS(Base!$A$3:$A$5001,AH$3,Base!$B$3:$B$5001,$A$61,Base!$Z$3:$Z$5001,"&lt;&gt;")=0,"",SUMIFS(Base!$Z$3:$Z$5001,Base!$A$3:$A$5001,AH$3,Base!$B$3:$B$5001,$A$61)))</f>
        <v/>
      </c>
      <c r="AI73" s="89" t="str">
        <f>IF(AI$3="","",IF(COUNTIFS(Base!$A$3:$A$5001,AI$3,Base!$B$3:$B$5001,$A$61,Base!$Z$3:$Z$5001,"&lt;&gt;")=0,"",SUMIFS(Base!$Z$3:$Z$5001,Base!$A$3:$A$5001,AI$3,Base!$B$3:$B$5001,$A$61)))</f>
        <v/>
      </c>
      <c r="AJ73" s="90" t="str">
        <f>IF(AJ$3="","",IF(COUNTIFS(Base!$A$3:$A$5001,AJ$3,Base!$B$3:$B$5001,$A$61,Base!$Z$3:$Z$5001,"&lt;&gt;")=0,"",SUMIFS(Base!$Z$3:$Z$5001,Base!$A$3:$A$5001,AJ$3,Base!$B$3:$B$5001,$A$61)))</f>
        <v/>
      </c>
      <c r="AK73" s="91" t="str">
        <f>IFERROR(LOOKUP(9.99E+307,F73:AJ73),"")</f>
        <v/>
      </c>
    </row>
    <row r="74" ht="15.75" customHeight="1">
      <c r="A74" s="118"/>
      <c r="B74" s="115"/>
      <c r="C74" s="92" t="inlineStr">
        <is>
          <t xml:space="preserve">Falta</t>
        </is>
      </c>
      <c r="D74" s="93" t="str">
        <f>IFERROR(1/(1/INDEX(calculos!$C$55:$K$83,MATCH("Falta",calculos!$A$55:$A$83,0),MATCH($A$61,calculos!$C$54:$K$54,0))),"")</f>
        <v/>
      </c>
      <c r="E74" s="94"/>
      <c r="F74" s="95" t="str">
        <f>IF(F$3="","",IF(COUNTIFS(Base!$A$3:$A$5001,F$3,Base!$B$3:$B$5001,$A$61,Base!$AA$3:$AA$5001,"&lt;&gt;")=0,"",SUMIFS(Base!$AA$3:$AA$5001,Base!$A$3:$A$5001,F$3,Base!$B$3:$B$5001,$A$61)))</f>
        <v/>
      </c>
      <c r="G74" s="96" t="str">
        <f>IF(G$3="","",IF(COUNTIFS(Base!$A$3:$A$5001,G$3,Base!$B$3:$B$5001,$A$61,Base!$AA$3:$AA$5001,"&lt;&gt;")=0,"",SUMIFS(Base!$AA$3:$AA$5001,Base!$A$3:$A$5001,G$3,Base!$B$3:$B$5001,$A$61)))</f>
        <v/>
      </c>
      <c r="H74" s="96" t="str">
        <f>IF(H$3="","",IF(COUNTIFS(Base!$A$3:$A$5001,H$3,Base!$B$3:$B$5001,$A$61,Base!$AA$3:$AA$5001,"&lt;&gt;")=0,"",SUMIFS(Base!$AA$3:$AA$5001,Base!$A$3:$A$5001,H$3,Base!$B$3:$B$5001,$A$61)))</f>
        <v/>
      </c>
      <c r="I74" s="96" t="str">
        <f>IF(I$3="","",IF(COUNTIFS(Base!$A$3:$A$5001,I$3,Base!$B$3:$B$5001,$A$61,Base!$AA$3:$AA$5001,"&lt;&gt;")=0,"",SUMIFS(Base!$AA$3:$AA$5001,Base!$A$3:$A$5001,I$3,Base!$B$3:$B$5001,$A$61)))</f>
        <v/>
      </c>
      <c r="J74" s="96" t="str">
        <f>IF(J$3="","",IF(COUNTIFS(Base!$A$3:$A$5001,J$3,Base!$B$3:$B$5001,$A$61,Base!$AA$3:$AA$5001,"&lt;&gt;")=0,"",SUMIFS(Base!$AA$3:$AA$5001,Base!$A$3:$A$5001,J$3,Base!$B$3:$B$5001,$A$61)))</f>
        <v/>
      </c>
      <c r="K74" s="96" t="str">
        <f>IF(K$3="","",IF(COUNTIFS(Base!$A$3:$A$5001,K$3,Base!$B$3:$B$5001,$A$61,Base!$AA$3:$AA$5001,"&lt;&gt;")=0,"",SUMIFS(Base!$AA$3:$AA$5001,Base!$A$3:$A$5001,K$3,Base!$B$3:$B$5001,$A$61)))</f>
        <v/>
      </c>
      <c r="L74" s="96" t="str">
        <f>IF(L$3="","",IF(COUNTIFS(Base!$A$3:$A$5001,L$3,Base!$B$3:$B$5001,$A$61,Base!$AA$3:$AA$5001,"&lt;&gt;")=0,"",SUMIFS(Base!$AA$3:$AA$5001,Base!$A$3:$A$5001,L$3,Base!$B$3:$B$5001,$A$61)))</f>
        <v/>
      </c>
      <c r="M74" s="96" t="str">
        <f>IF(M$3="","",IF(COUNTIFS(Base!$A$3:$A$5001,M$3,Base!$B$3:$B$5001,$A$61,Base!$AA$3:$AA$5001,"&lt;&gt;")=0,"",SUMIFS(Base!$AA$3:$AA$5001,Base!$A$3:$A$5001,M$3,Base!$B$3:$B$5001,$A$61)))</f>
        <v/>
      </c>
      <c r="N74" s="96" t="str">
        <f>IF(N$3="","",IF(COUNTIFS(Base!$A$3:$A$5001,N$3,Base!$B$3:$B$5001,$A$61,Base!$AA$3:$AA$5001,"&lt;&gt;")=0,"",SUMIFS(Base!$AA$3:$AA$5001,Base!$A$3:$A$5001,N$3,Base!$B$3:$B$5001,$A$61)))</f>
        <v/>
      </c>
      <c r="O74" s="96" t="str">
        <f>IF(O$3="","",IF(COUNTIFS(Base!$A$3:$A$5001,O$3,Base!$B$3:$B$5001,$A$61,Base!$AA$3:$AA$5001,"&lt;&gt;")=0,"",SUMIFS(Base!$AA$3:$AA$5001,Base!$A$3:$A$5001,O$3,Base!$B$3:$B$5001,$A$61)))</f>
        <v/>
      </c>
      <c r="P74" s="96" t="str">
        <f>IF(P$3="","",IF(COUNTIFS(Base!$A$3:$A$5001,P$3,Base!$B$3:$B$5001,$A$61,Base!$AA$3:$AA$5001,"&lt;&gt;")=0,"",SUMIFS(Base!$AA$3:$AA$5001,Base!$A$3:$A$5001,P$3,Base!$B$3:$B$5001,$A$61)))</f>
        <v/>
      </c>
      <c r="Q74" s="96" t="str">
        <f>IF(Q$3="","",IF(COUNTIFS(Base!$A$3:$A$5001,Q$3,Base!$B$3:$B$5001,$A$61,Base!$AA$3:$AA$5001,"&lt;&gt;")=0,"",SUMIFS(Base!$AA$3:$AA$5001,Base!$A$3:$A$5001,Q$3,Base!$B$3:$B$5001,$A$61)))</f>
        <v/>
      </c>
      <c r="R74" s="96" t="str">
        <f>IF(R$3="","",IF(COUNTIFS(Base!$A$3:$A$5001,R$3,Base!$B$3:$B$5001,$A$61,Base!$AA$3:$AA$5001,"&lt;&gt;")=0,"",SUMIFS(Base!$AA$3:$AA$5001,Base!$A$3:$A$5001,R$3,Base!$B$3:$B$5001,$A$61)))</f>
        <v/>
      </c>
      <c r="S74" s="96" t="str">
        <f>IF(S$3="","",IF(COUNTIFS(Base!$A$3:$A$5001,S$3,Base!$B$3:$B$5001,$A$61,Base!$AA$3:$AA$5001,"&lt;&gt;")=0,"",SUMIFS(Base!$AA$3:$AA$5001,Base!$A$3:$A$5001,S$3,Base!$B$3:$B$5001,$A$61)))</f>
        <v/>
      </c>
      <c r="T74" s="96" t="str">
        <f>IF(T$3="","",IF(COUNTIFS(Base!$A$3:$A$5001,T$3,Base!$B$3:$B$5001,$A$61,Base!$AA$3:$AA$5001,"&lt;&gt;")=0,"",SUMIFS(Base!$AA$3:$AA$5001,Base!$A$3:$A$5001,T$3,Base!$B$3:$B$5001,$A$61)))</f>
        <v/>
      </c>
      <c r="U74" s="96" t="str">
        <f>IF(U$3="","",IF(COUNTIFS(Base!$A$3:$A$5001,U$3,Base!$B$3:$B$5001,$A$61,Base!$AA$3:$AA$5001,"&lt;&gt;")=0,"",SUMIFS(Base!$AA$3:$AA$5001,Base!$A$3:$A$5001,U$3,Base!$B$3:$B$5001,$A$61)))</f>
        <v/>
      </c>
      <c r="V74" s="96" t="str">
        <f>IF(V$3="","",IF(COUNTIFS(Base!$A$3:$A$5001,V$3,Base!$B$3:$B$5001,$A$61,Base!$AA$3:$AA$5001,"&lt;&gt;")=0,"",SUMIFS(Base!$AA$3:$AA$5001,Base!$A$3:$A$5001,V$3,Base!$B$3:$B$5001,$A$61)))</f>
        <v/>
      </c>
      <c r="W74" s="96" t="str">
        <f>IF(W$3="","",IF(COUNTIFS(Base!$A$3:$A$5001,W$3,Base!$B$3:$B$5001,$A$61,Base!$AA$3:$AA$5001,"&lt;&gt;")=0,"",SUMIFS(Base!$AA$3:$AA$5001,Base!$A$3:$A$5001,W$3,Base!$B$3:$B$5001,$A$61)))</f>
        <v/>
      </c>
      <c r="X74" s="96" t="str">
        <f>IF(X$3="","",IF(COUNTIFS(Base!$A$3:$A$5001,X$3,Base!$B$3:$B$5001,$A$61,Base!$AA$3:$AA$5001,"&lt;&gt;")=0,"",SUMIFS(Base!$AA$3:$AA$5001,Base!$A$3:$A$5001,X$3,Base!$B$3:$B$5001,$A$61)))</f>
        <v/>
      </c>
      <c r="Y74" s="96" t="str">
        <f>IF(Y$3="","",IF(COUNTIFS(Base!$A$3:$A$5001,Y$3,Base!$B$3:$B$5001,$A$61,Base!$AA$3:$AA$5001,"&lt;&gt;")=0,"",SUMIFS(Base!$AA$3:$AA$5001,Base!$A$3:$A$5001,Y$3,Base!$B$3:$B$5001,$A$61)))</f>
        <v/>
      </c>
      <c r="Z74" s="96" t="str">
        <f>IF(Z$3="","",IF(COUNTIFS(Base!$A$3:$A$5001,Z$3,Base!$B$3:$B$5001,$A$61,Base!$AA$3:$AA$5001,"&lt;&gt;")=0,"",SUMIFS(Base!$AA$3:$AA$5001,Base!$A$3:$A$5001,Z$3,Base!$B$3:$B$5001,$A$61)))</f>
        <v/>
      </c>
      <c r="AA74" s="96" t="str">
        <f>IF(AA$3="","",IF(COUNTIFS(Base!$A$3:$A$5001,AA$3,Base!$B$3:$B$5001,$A$61,Base!$AA$3:$AA$5001,"&lt;&gt;")=0,"",SUMIFS(Base!$AA$3:$AA$5001,Base!$A$3:$A$5001,AA$3,Base!$B$3:$B$5001,$A$61)))</f>
        <v/>
      </c>
      <c r="AB74" s="96" t="str">
        <f>IF(AB$3="","",IF(COUNTIFS(Base!$A$3:$A$5001,AB$3,Base!$B$3:$B$5001,$A$61,Base!$AA$3:$AA$5001,"&lt;&gt;")=0,"",SUMIFS(Base!$AA$3:$AA$5001,Base!$A$3:$A$5001,AB$3,Base!$B$3:$B$5001,$A$61)))</f>
        <v/>
      </c>
      <c r="AC74" s="96" t="str">
        <f>IF(AC$3="","",IF(COUNTIFS(Base!$A$3:$A$5001,AC$3,Base!$B$3:$B$5001,$A$61,Base!$AA$3:$AA$5001,"&lt;&gt;")=0,"",SUMIFS(Base!$AA$3:$AA$5001,Base!$A$3:$A$5001,AC$3,Base!$B$3:$B$5001,$A$61)))</f>
        <v/>
      </c>
      <c r="AD74" s="96" t="str">
        <f>IF(AD$3="","",IF(COUNTIFS(Base!$A$3:$A$5001,AD$3,Base!$B$3:$B$5001,$A$61,Base!$AA$3:$AA$5001,"&lt;&gt;")=0,"",SUMIFS(Base!$AA$3:$AA$5001,Base!$A$3:$A$5001,AD$3,Base!$B$3:$B$5001,$A$61)))</f>
        <v/>
      </c>
      <c r="AE74" s="96" t="str">
        <f>IF(AE$3="","",IF(COUNTIFS(Base!$A$3:$A$5001,AE$3,Base!$B$3:$B$5001,$A$61,Base!$AA$3:$AA$5001,"&lt;&gt;")=0,"",SUMIFS(Base!$AA$3:$AA$5001,Base!$A$3:$A$5001,AE$3,Base!$B$3:$B$5001,$A$61)))</f>
        <v/>
      </c>
      <c r="AF74" s="96" t="str">
        <f>IF(AF$3="","",IF(COUNTIFS(Base!$A$3:$A$5001,AF$3,Base!$B$3:$B$5001,$A$61,Base!$AA$3:$AA$5001,"&lt;&gt;")=0,"",SUMIFS(Base!$AA$3:$AA$5001,Base!$A$3:$A$5001,AF$3,Base!$B$3:$B$5001,$A$61)))</f>
        <v/>
      </c>
      <c r="AG74" s="96" t="str">
        <f>IF(AG$3="","",IF(COUNTIFS(Base!$A$3:$A$5001,AG$3,Base!$B$3:$B$5001,$A$61,Base!$AA$3:$AA$5001,"&lt;&gt;")=0,"",SUMIFS(Base!$AA$3:$AA$5001,Base!$A$3:$A$5001,AG$3,Base!$B$3:$B$5001,$A$61)))</f>
        <v/>
      </c>
      <c r="AH74" s="96" t="str">
        <f>IF(AH$3="","",IF(COUNTIFS(Base!$A$3:$A$5001,AH$3,Base!$B$3:$B$5001,$A$61,Base!$AA$3:$AA$5001,"&lt;&gt;")=0,"",SUMIFS(Base!$AA$3:$AA$5001,Base!$A$3:$A$5001,AH$3,Base!$B$3:$B$5001,$A$61)))</f>
        <v/>
      </c>
      <c r="AI74" s="96" t="str">
        <f>IF(AI$3="","",IF(COUNTIFS(Base!$A$3:$A$5001,AI$3,Base!$B$3:$B$5001,$A$61,Base!$AA$3:$AA$5001,"&lt;&gt;")=0,"",SUMIFS(Base!$AA$3:$AA$5001,Base!$A$3:$A$5001,AI$3,Base!$B$3:$B$5001,$A$61)))</f>
        <v/>
      </c>
      <c r="AJ74" s="97" t="str">
        <f>IF(AJ$3="","",IF(COUNTIFS(Base!$A$3:$A$5001,AJ$3,Base!$B$3:$B$5001,$A$61,Base!$AA$3:$AA$5001,"&lt;&gt;")=0,"",SUMIFS(Base!$AA$3:$AA$5001,Base!$A$3:$A$5001,AJ$3,Base!$B$3:$B$5001,$A$61)))</f>
        <v/>
      </c>
      <c r="AK74" s="98" t="str">
        <f>IF(COUNT(F74:AJ74)=0,"",SUM(F74:AJ74))</f>
        <v/>
      </c>
    </row>
    <row r="75" ht="15.75" customHeight="1">
      <c r="A75" s="118"/>
      <c r="B75" s="115"/>
      <c r="C75" s="92" t="inlineStr">
        <is>
          <t xml:space="preserve">Folga</t>
        </is>
      </c>
      <c r="D75" s="93" t="str">
        <f>IFERROR(1/(1/INDEX(calculos!$C$55:$K$83,MATCH("Folga",calculos!$A$55:$A$83,0),MATCH($A$61,calculos!$C$54:$K$54,0))),"")</f>
        <v/>
      </c>
      <c r="E75" s="94"/>
      <c r="F75" s="95" t="str">
        <f>IF(F$3="","",IF(COUNTIFS(Base!$A$3:$A$5001,F$3,Base!$B$3:$B$5001,$A$61,Base!$AB$3:$AB$5001,"&lt;&gt;")=0,"",SUMIFS(Base!$AB$3:$AB$5001,Base!$A$3:$A$5001,F$3,Base!$B$3:$B$5001,$A$61)))</f>
        <v/>
      </c>
      <c r="G75" s="96" t="str">
        <f>IF(G$3="","",IF(COUNTIFS(Base!$A$3:$A$5001,G$3,Base!$B$3:$B$5001,$A$61,Base!$AB$3:$AB$5001,"&lt;&gt;")=0,"",SUMIFS(Base!$AB$3:$AB$5001,Base!$A$3:$A$5001,G$3,Base!$B$3:$B$5001,$A$61)))</f>
        <v/>
      </c>
      <c r="H75" s="96" t="str">
        <f>IF(H$3="","",IF(COUNTIFS(Base!$A$3:$A$5001,H$3,Base!$B$3:$B$5001,$A$61,Base!$AB$3:$AB$5001,"&lt;&gt;")=0,"",SUMIFS(Base!$AB$3:$AB$5001,Base!$A$3:$A$5001,H$3,Base!$B$3:$B$5001,$A$61)))</f>
        <v/>
      </c>
      <c r="I75" s="96" t="str">
        <f>IF(I$3="","",IF(COUNTIFS(Base!$A$3:$A$5001,I$3,Base!$B$3:$B$5001,$A$61,Base!$AB$3:$AB$5001,"&lt;&gt;")=0,"",SUMIFS(Base!$AB$3:$AB$5001,Base!$A$3:$A$5001,I$3,Base!$B$3:$B$5001,$A$61)))</f>
        <v/>
      </c>
      <c r="J75" s="96" t="str">
        <f>IF(J$3="","",IF(COUNTIFS(Base!$A$3:$A$5001,J$3,Base!$B$3:$B$5001,$A$61,Base!$AB$3:$AB$5001,"&lt;&gt;")=0,"",SUMIFS(Base!$AB$3:$AB$5001,Base!$A$3:$A$5001,J$3,Base!$B$3:$B$5001,$A$61)))</f>
        <v/>
      </c>
      <c r="K75" s="96" t="str">
        <f>IF(K$3="","",IF(COUNTIFS(Base!$A$3:$A$5001,K$3,Base!$B$3:$B$5001,$A$61,Base!$AB$3:$AB$5001,"&lt;&gt;")=0,"",SUMIFS(Base!$AB$3:$AB$5001,Base!$A$3:$A$5001,K$3,Base!$B$3:$B$5001,$A$61)))</f>
        <v/>
      </c>
      <c r="L75" s="96" t="str">
        <f>IF(L$3="","",IF(COUNTIFS(Base!$A$3:$A$5001,L$3,Base!$B$3:$B$5001,$A$61,Base!$AB$3:$AB$5001,"&lt;&gt;")=0,"",SUMIFS(Base!$AB$3:$AB$5001,Base!$A$3:$A$5001,L$3,Base!$B$3:$B$5001,$A$61)))</f>
        <v/>
      </c>
      <c r="M75" s="96" t="str">
        <f>IF(M$3="","",IF(COUNTIFS(Base!$A$3:$A$5001,M$3,Base!$B$3:$B$5001,$A$61,Base!$AB$3:$AB$5001,"&lt;&gt;")=0,"",SUMIFS(Base!$AB$3:$AB$5001,Base!$A$3:$A$5001,M$3,Base!$B$3:$B$5001,$A$61)))</f>
        <v/>
      </c>
      <c r="N75" s="96" t="str">
        <f>IF(N$3="","",IF(COUNTIFS(Base!$A$3:$A$5001,N$3,Base!$B$3:$B$5001,$A$61,Base!$AB$3:$AB$5001,"&lt;&gt;")=0,"",SUMIFS(Base!$AB$3:$AB$5001,Base!$A$3:$A$5001,N$3,Base!$B$3:$B$5001,$A$61)))</f>
        <v/>
      </c>
      <c r="O75" s="96" t="str">
        <f>IF(O$3="","",IF(COUNTIFS(Base!$A$3:$A$5001,O$3,Base!$B$3:$B$5001,$A$61,Base!$AB$3:$AB$5001,"&lt;&gt;")=0,"",SUMIFS(Base!$AB$3:$AB$5001,Base!$A$3:$A$5001,O$3,Base!$B$3:$B$5001,$A$61)))</f>
        <v/>
      </c>
      <c r="P75" s="96" t="str">
        <f>IF(P$3="","",IF(COUNTIFS(Base!$A$3:$A$5001,P$3,Base!$B$3:$B$5001,$A$61,Base!$AB$3:$AB$5001,"&lt;&gt;")=0,"",SUMIFS(Base!$AB$3:$AB$5001,Base!$A$3:$A$5001,P$3,Base!$B$3:$B$5001,$A$61)))</f>
        <v/>
      </c>
      <c r="Q75" s="96" t="str">
        <f>IF(Q$3="","",IF(COUNTIFS(Base!$A$3:$A$5001,Q$3,Base!$B$3:$B$5001,$A$61,Base!$AB$3:$AB$5001,"&lt;&gt;")=0,"",SUMIFS(Base!$AB$3:$AB$5001,Base!$A$3:$A$5001,Q$3,Base!$B$3:$B$5001,$A$61)))</f>
        <v/>
      </c>
      <c r="R75" s="96" t="str">
        <f>IF(R$3="","",IF(COUNTIFS(Base!$A$3:$A$5001,R$3,Base!$B$3:$B$5001,$A$61,Base!$AB$3:$AB$5001,"&lt;&gt;")=0,"",SUMIFS(Base!$AB$3:$AB$5001,Base!$A$3:$A$5001,R$3,Base!$B$3:$B$5001,$A$61)))</f>
        <v/>
      </c>
      <c r="S75" s="96" t="str">
        <f>IF(S$3="","",IF(COUNTIFS(Base!$A$3:$A$5001,S$3,Base!$B$3:$B$5001,$A$61,Base!$AB$3:$AB$5001,"&lt;&gt;")=0,"",SUMIFS(Base!$AB$3:$AB$5001,Base!$A$3:$A$5001,S$3,Base!$B$3:$B$5001,$A$61)))</f>
        <v/>
      </c>
      <c r="T75" s="96" t="str">
        <f>IF(T$3="","",IF(COUNTIFS(Base!$A$3:$A$5001,T$3,Base!$B$3:$B$5001,$A$61,Base!$AB$3:$AB$5001,"&lt;&gt;")=0,"",SUMIFS(Base!$AB$3:$AB$5001,Base!$A$3:$A$5001,T$3,Base!$B$3:$B$5001,$A$61)))</f>
        <v/>
      </c>
      <c r="U75" s="96" t="str">
        <f>IF(U$3="","",IF(COUNTIFS(Base!$A$3:$A$5001,U$3,Base!$B$3:$B$5001,$A$61,Base!$AB$3:$AB$5001,"&lt;&gt;")=0,"",SUMIFS(Base!$AB$3:$AB$5001,Base!$A$3:$A$5001,U$3,Base!$B$3:$B$5001,$A$61)))</f>
        <v/>
      </c>
      <c r="V75" s="96" t="str">
        <f>IF(V$3="","",IF(COUNTIFS(Base!$A$3:$A$5001,V$3,Base!$B$3:$B$5001,$A$61,Base!$AB$3:$AB$5001,"&lt;&gt;")=0,"",SUMIFS(Base!$AB$3:$AB$5001,Base!$A$3:$A$5001,V$3,Base!$B$3:$B$5001,$A$61)))</f>
        <v/>
      </c>
      <c r="W75" s="96" t="str">
        <f>IF(W$3="","",IF(COUNTIFS(Base!$A$3:$A$5001,W$3,Base!$B$3:$B$5001,$A$61,Base!$AB$3:$AB$5001,"&lt;&gt;")=0,"",SUMIFS(Base!$AB$3:$AB$5001,Base!$A$3:$A$5001,W$3,Base!$B$3:$B$5001,$A$61)))</f>
        <v/>
      </c>
      <c r="X75" s="96" t="str">
        <f>IF(X$3="","",IF(COUNTIFS(Base!$A$3:$A$5001,X$3,Base!$B$3:$B$5001,$A$61,Base!$AB$3:$AB$5001,"&lt;&gt;")=0,"",SUMIFS(Base!$AB$3:$AB$5001,Base!$A$3:$A$5001,X$3,Base!$B$3:$B$5001,$A$61)))</f>
        <v/>
      </c>
      <c r="Y75" s="96" t="str">
        <f>IF(Y$3="","",IF(COUNTIFS(Base!$A$3:$A$5001,Y$3,Base!$B$3:$B$5001,$A$61,Base!$AB$3:$AB$5001,"&lt;&gt;")=0,"",SUMIFS(Base!$AB$3:$AB$5001,Base!$A$3:$A$5001,Y$3,Base!$B$3:$B$5001,$A$61)))</f>
        <v/>
      </c>
      <c r="Z75" s="96" t="str">
        <f>IF(Z$3="","",IF(COUNTIFS(Base!$A$3:$A$5001,Z$3,Base!$B$3:$B$5001,$A$61,Base!$AB$3:$AB$5001,"&lt;&gt;")=0,"",SUMIFS(Base!$AB$3:$AB$5001,Base!$A$3:$A$5001,Z$3,Base!$B$3:$B$5001,$A$61)))</f>
        <v/>
      </c>
      <c r="AA75" s="96" t="str">
        <f>IF(AA$3="","",IF(COUNTIFS(Base!$A$3:$A$5001,AA$3,Base!$B$3:$B$5001,$A$61,Base!$AB$3:$AB$5001,"&lt;&gt;")=0,"",SUMIFS(Base!$AB$3:$AB$5001,Base!$A$3:$A$5001,AA$3,Base!$B$3:$B$5001,$A$61)))</f>
        <v/>
      </c>
      <c r="AB75" s="96" t="str">
        <f>IF(AB$3="","",IF(COUNTIFS(Base!$A$3:$A$5001,AB$3,Base!$B$3:$B$5001,$A$61,Base!$AB$3:$AB$5001,"&lt;&gt;")=0,"",SUMIFS(Base!$AB$3:$AB$5001,Base!$A$3:$A$5001,AB$3,Base!$B$3:$B$5001,$A$61)))</f>
        <v/>
      </c>
      <c r="AC75" s="96" t="str">
        <f>IF(AC$3="","",IF(COUNTIFS(Base!$A$3:$A$5001,AC$3,Base!$B$3:$B$5001,$A$61,Base!$AB$3:$AB$5001,"&lt;&gt;")=0,"",SUMIFS(Base!$AB$3:$AB$5001,Base!$A$3:$A$5001,AC$3,Base!$B$3:$B$5001,$A$61)))</f>
        <v/>
      </c>
      <c r="AD75" s="96" t="str">
        <f>IF(AD$3="","",IF(COUNTIFS(Base!$A$3:$A$5001,AD$3,Base!$B$3:$B$5001,$A$61,Base!$AB$3:$AB$5001,"&lt;&gt;")=0,"",SUMIFS(Base!$AB$3:$AB$5001,Base!$A$3:$A$5001,AD$3,Base!$B$3:$B$5001,$A$61)))</f>
        <v/>
      </c>
      <c r="AE75" s="96" t="str">
        <f>IF(AE$3="","",IF(COUNTIFS(Base!$A$3:$A$5001,AE$3,Base!$B$3:$B$5001,$A$61,Base!$AB$3:$AB$5001,"&lt;&gt;")=0,"",SUMIFS(Base!$AB$3:$AB$5001,Base!$A$3:$A$5001,AE$3,Base!$B$3:$B$5001,$A$61)))</f>
        <v/>
      </c>
      <c r="AF75" s="96" t="str">
        <f>IF(AF$3="","",IF(COUNTIFS(Base!$A$3:$A$5001,AF$3,Base!$B$3:$B$5001,$A$61,Base!$AB$3:$AB$5001,"&lt;&gt;")=0,"",SUMIFS(Base!$AB$3:$AB$5001,Base!$A$3:$A$5001,AF$3,Base!$B$3:$B$5001,$A$61)))</f>
        <v/>
      </c>
      <c r="AG75" s="96" t="str">
        <f>IF(AG$3="","",IF(COUNTIFS(Base!$A$3:$A$5001,AG$3,Base!$B$3:$B$5001,$A$61,Base!$AB$3:$AB$5001,"&lt;&gt;")=0,"",SUMIFS(Base!$AB$3:$AB$5001,Base!$A$3:$A$5001,AG$3,Base!$B$3:$B$5001,$A$61)))</f>
        <v/>
      </c>
      <c r="AH75" s="96" t="str">
        <f>IF(AH$3="","",IF(COUNTIFS(Base!$A$3:$A$5001,AH$3,Base!$B$3:$B$5001,$A$61,Base!$AB$3:$AB$5001,"&lt;&gt;")=0,"",SUMIFS(Base!$AB$3:$AB$5001,Base!$A$3:$A$5001,AH$3,Base!$B$3:$B$5001,$A$61)))</f>
        <v/>
      </c>
      <c r="AI75" s="96" t="str">
        <f>IF(AI$3="","",IF(COUNTIFS(Base!$A$3:$A$5001,AI$3,Base!$B$3:$B$5001,$A$61,Base!$AB$3:$AB$5001,"&lt;&gt;")=0,"",SUMIFS(Base!$AB$3:$AB$5001,Base!$A$3:$A$5001,AI$3,Base!$B$3:$B$5001,$A$61)))</f>
        <v/>
      </c>
      <c r="AJ75" s="97" t="str">
        <f>IF(AJ$3="","",IF(COUNTIFS(Base!$A$3:$A$5001,AJ$3,Base!$B$3:$B$5001,$A$61,Base!$AB$3:$AB$5001,"&lt;&gt;")=0,"",SUMIFS(Base!$AB$3:$AB$5001,Base!$A$3:$A$5001,AJ$3,Base!$B$3:$B$5001,$A$61)))</f>
        <v/>
      </c>
      <c r="AK75" s="98" t="str">
        <f>IF(COUNT(F75:AJ75)=0,"",SUM(F75:AJ75))</f>
        <v/>
      </c>
    </row>
    <row r="76" ht="15.75" customHeight="1">
      <c r="A76" s="118"/>
      <c r="B76" s="115"/>
      <c r="C76" s="92" t="inlineStr">
        <is>
          <t xml:space="preserve">Férias</t>
        </is>
      </c>
      <c r="D76" s="93" t="str">
        <f>IFERROR(1/(1/INDEX(calculos!$C$55:$K$83,MATCH("Férias",calculos!$A$55:$A$83,0),MATCH($A$61,calculos!$C$54:$K$54,0))),"")</f>
        <v/>
      </c>
      <c r="E76" s="94"/>
      <c r="F76" s="95" t="str">
        <f>IF(F$3="","",IF(COUNTIFS(Base!$A$3:$A$5001,F$3,Base!$B$3:$B$5001,$A$61,Base!$AC$3:$AC$5001,"&lt;&gt;")=0,"",SUMIFS(Base!$AC$3:$AC$5001,Base!$A$3:$A$5001,F$3,Base!$B$3:$B$5001,$A$61)))</f>
        <v/>
      </c>
      <c r="G76" s="96" t="str">
        <f>IF(G$3="","",IF(COUNTIFS(Base!$A$3:$A$5001,G$3,Base!$B$3:$B$5001,$A$61,Base!$AC$3:$AC$5001,"&lt;&gt;")=0,"",SUMIFS(Base!$AC$3:$AC$5001,Base!$A$3:$A$5001,G$3,Base!$B$3:$B$5001,$A$61)))</f>
        <v/>
      </c>
      <c r="H76" s="96" t="str">
        <f>IF(H$3="","",IF(COUNTIFS(Base!$A$3:$A$5001,H$3,Base!$B$3:$B$5001,$A$61,Base!$AC$3:$AC$5001,"&lt;&gt;")=0,"",SUMIFS(Base!$AC$3:$AC$5001,Base!$A$3:$A$5001,H$3,Base!$B$3:$B$5001,$A$61)))</f>
        <v/>
      </c>
      <c r="I76" s="96" t="str">
        <f>IF(I$3="","",IF(COUNTIFS(Base!$A$3:$A$5001,I$3,Base!$B$3:$B$5001,$A$61,Base!$AC$3:$AC$5001,"&lt;&gt;")=0,"",SUMIFS(Base!$AC$3:$AC$5001,Base!$A$3:$A$5001,I$3,Base!$B$3:$B$5001,$A$61)))</f>
        <v/>
      </c>
      <c r="J76" s="96" t="str">
        <f>IF(J$3="","",IF(COUNTIFS(Base!$A$3:$A$5001,J$3,Base!$B$3:$B$5001,$A$61,Base!$AC$3:$AC$5001,"&lt;&gt;")=0,"",SUMIFS(Base!$AC$3:$AC$5001,Base!$A$3:$A$5001,J$3,Base!$B$3:$B$5001,$A$61)))</f>
        <v/>
      </c>
      <c r="K76" s="96" t="str">
        <f>IF(K$3="","",IF(COUNTIFS(Base!$A$3:$A$5001,K$3,Base!$B$3:$B$5001,$A$61,Base!$AC$3:$AC$5001,"&lt;&gt;")=0,"",SUMIFS(Base!$AC$3:$AC$5001,Base!$A$3:$A$5001,K$3,Base!$B$3:$B$5001,$A$61)))</f>
        <v/>
      </c>
      <c r="L76" s="96" t="str">
        <f>IF(L$3="","",IF(COUNTIFS(Base!$A$3:$A$5001,L$3,Base!$B$3:$B$5001,$A$61,Base!$AC$3:$AC$5001,"&lt;&gt;")=0,"",SUMIFS(Base!$AC$3:$AC$5001,Base!$A$3:$A$5001,L$3,Base!$B$3:$B$5001,$A$61)))</f>
        <v/>
      </c>
      <c r="M76" s="96" t="str">
        <f>IF(M$3="","",IF(COUNTIFS(Base!$A$3:$A$5001,M$3,Base!$B$3:$B$5001,$A$61,Base!$AC$3:$AC$5001,"&lt;&gt;")=0,"",SUMIFS(Base!$AC$3:$AC$5001,Base!$A$3:$A$5001,M$3,Base!$B$3:$B$5001,$A$61)))</f>
        <v/>
      </c>
      <c r="N76" s="96" t="str">
        <f>IF(N$3="","",IF(COUNTIFS(Base!$A$3:$A$5001,N$3,Base!$B$3:$B$5001,$A$61,Base!$AC$3:$AC$5001,"&lt;&gt;")=0,"",SUMIFS(Base!$AC$3:$AC$5001,Base!$A$3:$A$5001,N$3,Base!$B$3:$B$5001,$A$61)))</f>
        <v/>
      </c>
      <c r="O76" s="96" t="str">
        <f>IF(O$3="","",IF(COUNTIFS(Base!$A$3:$A$5001,O$3,Base!$B$3:$B$5001,$A$61,Base!$AC$3:$AC$5001,"&lt;&gt;")=0,"",SUMIFS(Base!$AC$3:$AC$5001,Base!$A$3:$A$5001,O$3,Base!$B$3:$B$5001,$A$61)))</f>
        <v/>
      </c>
      <c r="P76" s="96" t="str">
        <f>IF(P$3="","",IF(COUNTIFS(Base!$A$3:$A$5001,P$3,Base!$B$3:$B$5001,$A$61,Base!$AC$3:$AC$5001,"&lt;&gt;")=0,"",SUMIFS(Base!$AC$3:$AC$5001,Base!$A$3:$A$5001,P$3,Base!$B$3:$B$5001,$A$61)))</f>
        <v/>
      </c>
      <c r="Q76" s="96" t="str">
        <f>IF(Q$3="","",IF(COUNTIFS(Base!$A$3:$A$5001,Q$3,Base!$B$3:$B$5001,$A$61,Base!$AC$3:$AC$5001,"&lt;&gt;")=0,"",SUMIFS(Base!$AC$3:$AC$5001,Base!$A$3:$A$5001,Q$3,Base!$B$3:$B$5001,$A$61)))</f>
        <v/>
      </c>
      <c r="R76" s="96" t="str">
        <f>IF(R$3="","",IF(COUNTIFS(Base!$A$3:$A$5001,R$3,Base!$B$3:$B$5001,$A$61,Base!$AC$3:$AC$5001,"&lt;&gt;")=0,"",SUMIFS(Base!$AC$3:$AC$5001,Base!$A$3:$A$5001,R$3,Base!$B$3:$B$5001,$A$61)))</f>
        <v/>
      </c>
      <c r="S76" s="96" t="str">
        <f>IF(S$3="","",IF(COUNTIFS(Base!$A$3:$A$5001,S$3,Base!$B$3:$B$5001,$A$61,Base!$AC$3:$AC$5001,"&lt;&gt;")=0,"",SUMIFS(Base!$AC$3:$AC$5001,Base!$A$3:$A$5001,S$3,Base!$B$3:$B$5001,$A$61)))</f>
        <v/>
      </c>
      <c r="T76" s="96" t="str">
        <f>IF(T$3="","",IF(COUNTIFS(Base!$A$3:$A$5001,T$3,Base!$B$3:$B$5001,$A$61,Base!$AC$3:$AC$5001,"&lt;&gt;")=0,"",SUMIFS(Base!$AC$3:$AC$5001,Base!$A$3:$A$5001,T$3,Base!$B$3:$B$5001,$A$61)))</f>
        <v/>
      </c>
      <c r="U76" s="96" t="str">
        <f>IF(U$3="","",IF(COUNTIFS(Base!$A$3:$A$5001,U$3,Base!$B$3:$B$5001,$A$61,Base!$AC$3:$AC$5001,"&lt;&gt;")=0,"",SUMIFS(Base!$AC$3:$AC$5001,Base!$A$3:$A$5001,U$3,Base!$B$3:$B$5001,$A$61)))</f>
        <v/>
      </c>
      <c r="V76" s="96" t="str">
        <f>IF(V$3="","",IF(COUNTIFS(Base!$A$3:$A$5001,V$3,Base!$B$3:$B$5001,$A$61,Base!$AC$3:$AC$5001,"&lt;&gt;")=0,"",SUMIFS(Base!$AC$3:$AC$5001,Base!$A$3:$A$5001,V$3,Base!$B$3:$B$5001,$A$61)))</f>
        <v/>
      </c>
      <c r="W76" s="96" t="str">
        <f>IF(W$3="","",IF(COUNTIFS(Base!$A$3:$A$5001,W$3,Base!$B$3:$B$5001,$A$61,Base!$AC$3:$AC$5001,"&lt;&gt;")=0,"",SUMIFS(Base!$AC$3:$AC$5001,Base!$A$3:$A$5001,W$3,Base!$B$3:$B$5001,$A$61)))</f>
        <v/>
      </c>
      <c r="X76" s="96" t="str">
        <f>IF(X$3="","",IF(COUNTIFS(Base!$A$3:$A$5001,X$3,Base!$B$3:$B$5001,$A$61,Base!$AC$3:$AC$5001,"&lt;&gt;")=0,"",SUMIFS(Base!$AC$3:$AC$5001,Base!$A$3:$A$5001,X$3,Base!$B$3:$B$5001,$A$61)))</f>
        <v/>
      </c>
      <c r="Y76" s="96" t="str">
        <f>IF(Y$3="","",IF(COUNTIFS(Base!$A$3:$A$5001,Y$3,Base!$B$3:$B$5001,$A$61,Base!$AC$3:$AC$5001,"&lt;&gt;")=0,"",SUMIFS(Base!$AC$3:$AC$5001,Base!$A$3:$A$5001,Y$3,Base!$B$3:$B$5001,$A$61)))</f>
        <v/>
      </c>
      <c r="Z76" s="96" t="str">
        <f>IF(Z$3="","",IF(COUNTIFS(Base!$A$3:$A$5001,Z$3,Base!$B$3:$B$5001,$A$61,Base!$AC$3:$AC$5001,"&lt;&gt;")=0,"",SUMIFS(Base!$AC$3:$AC$5001,Base!$A$3:$A$5001,Z$3,Base!$B$3:$B$5001,$A$61)))</f>
        <v/>
      </c>
      <c r="AA76" s="96" t="str">
        <f>IF(AA$3="","",IF(COUNTIFS(Base!$A$3:$A$5001,AA$3,Base!$B$3:$B$5001,$A$61,Base!$AC$3:$AC$5001,"&lt;&gt;")=0,"",SUMIFS(Base!$AC$3:$AC$5001,Base!$A$3:$A$5001,AA$3,Base!$B$3:$B$5001,$A$61)))</f>
        <v/>
      </c>
      <c r="AB76" s="96" t="str">
        <f>IF(AB$3="","",IF(COUNTIFS(Base!$A$3:$A$5001,AB$3,Base!$B$3:$B$5001,$A$61,Base!$AC$3:$AC$5001,"&lt;&gt;")=0,"",SUMIFS(Base!$AC$3:$AC$5001,Base!$A$3:$A$5001,AB$3,Base!$B$3:$B$5001,$A$61)))</f>
        <v/>
      </c>
      <c r="AC76" s="96" t="str">
        <f>IF(AC$3="","",IF(COUNTIFS(Base!$A$3:$A$5001,AC$3,Base!$B$3:$B$5001,$A$61,Base!$AC$3:$AC$5001,"&lt;&gt;")=0,"",SUMIFS(Base!$AC$3:$AC$5001,Base!$A$3:$A$5001,AC$3,Base!$B$3:$B$5001,$A$61)))</f>
        <v/>
      </c>
      <c r="AD76" s="96" t="str">
        <f>IF(AD$3="","",IF(COUNTIFS(Base!$A$3:$A$5001,AD$3,Base!$B$3:$B$5001,$A$61,Base!$AC$3:$AC$5001,"&lt;&gt;")=0,"",SUMIFS(Base!$AC$3:$AC$5001,Base!$A$3:$A$5001,AD$3,Base!$B$3:$B$5001,$A$61)))</f>
        <v/>
      </c>
      <c r="AE76" s="96" t="str">
        <f>IF(AE$3="","",IF(COUNTIFS(Base!$A$3:$A$5001,AE$3,Base!$B$3:$B$5001,$A$61,Base!$AC$3:$AC$5001,"&lt;&gt;")=0,"",SUMIFS(Base!$AC$3:$AC$5001,Base!$A$3:$A$5001,AE$3,Base!$B$3:$B$5001,$A$61)))</f>
        <v/>
      </c>
      <c r="AF76" s="96" t="str">
        <f>IF(AF$3="","",IF(COUNTIFS(Base!$A$3:$A$5001,AF$3,Base!$B$3:$B$5001,$A$61,Base!$AC$3:$AC$5001,"&lt;&gt;")=0,"",SUMIFS(Base!$AC$3:$AC$5001,Base!$A$3:$A$5001,AF$3,Base!$B$3:$B$5001,$A$61)))</f>
        <v/>
      </c>
      <c r="AG76" s="96" t="str">
        <f>IF(AG$3="","",IF(COUNTIFS(Base!$A$3:$A$5001,AG$3,Base!$B$3:$B$5001,$A$61,Base!$AC$3:$AC$5001,"&lt;&gt;")=0,"",SUMIFS(Base!$AC$3:$AC$5001,Base!$A$3:$A$5001,AG$3,Base!$B$3:$B$5001,$A$61)))</f>
        <v/>
      </c>
      <c r="AH76" s="96" t="str">
        <f>IF(AH$3="","",IF(COUNTIFS(Base!$A$3:$A$5001,AH$3,Base!$B$3:$B$5001,$A$61,Base!$AC$3:$AC$5001,"&lt;&gt;")=0,"",SUMIFS(Base!$AC$3:$AC$5001,Base!$A$3:$A$5001,AH$3,Base!$B$3:$B$5001,$A$61)))</f>
        <v/>
      </c>
      <c r="AI76" s="96" t="str">
        <f>IF(AI$3="","",IF(COUNTIFS(Base!$A$3:$A$5001,AI$3,Base!$B$3:$B$5001,$A$61,Base!$AC$3:$AC$5001,"&lt;&gt;")=0,"",SUMIFS(Base!$AC$3:$AC$5001,Base!$A$3:$A$5001,AI$3,Base!$B$3:$B$5001,$A$61)))</f>
        <v/>
      </c>
      <c r="AJ76" s="97" t="str">
        <f>IF(AJ$3="","",IF(COUNTIFS(Base!$A$3:$A$5001,AJ$3,Base!$B$3:$B$5001,$A$61,Base!$AC$3:$AC$5001,"&lt;&gt;")=0,"",SUMIFS(Base!$AC$3:$AC$5001,Base!$A$3:$A$5001,AJ$3,Base!$B$3:$B$5001,$A$61)))</f>
        <v/>
      </c>
      <c r="AK76" s="98" t="str">
        <f>IF(COUNT(F76:AJ76)=0,"",SUM(F76:AJ76))</f>
        <v/>
      </c>
    </row>
    <row r="77" ht="15.75" customHeight="1">
      <c r="A77" s="119"/>
      <c r="B77" s="116"/>
      <c r="C77" s="99" t="inlineStr">
        <is>
          <t xml:space="preserve">Desligamentos</t>
        </is>
      </c>
      <c r="D77" s="100" t="str">
        <f>IFERROR(1/(1/INDEX(calculos!$C$55:$K$83,MATCH("Desligamentos",calculos!$A$55:$A$83,0),MATCH($A$61,calculos!$C$54:$K$54,0))),"")</f>
        <v/>
      </c>
      <c r="E77" s="101"/>
      <c r="F77" s="102" t="str">
        <f>IF(F$3="","",IF(COUNTIFS(Base!$A$3:$A$5001,F$3,Base!$B$3:$B$5001,$A$61,Base!$AD$3:$AD$5001,"&lt;&gt;")=0,"",SUMIFS(Base!$AD$3:$AD$5001,Base!$A$3:$A$5001,F$3,Base!$B$3:$B$5001,$A$61)))</f>
        <v/>
      </c>
      <c r="G77" s="103" t="str">
        <f>IF(G$3="","",IF(COUNTIFS(Base!$A$3:$A$5001,G$3,Base!$B$3:$B$5001,$A$61,Base!$AD$3:$AD$5001,"&lt;&gt;")=0,"",SUMIFS(Base!$AD$3:$AD$5001,Base!$A$3:$A$5001,G$3,Base!$B$3:$B$5001,$A$61)))</f>
        <v/>
      </c>
      <c r="H77" s="103" t="str">
        <f>IF(H$3="","",IF(COUNTIFS(Base!$A$3:$A$5001,H$3,Base!$B$3:$B$5001,$A$61,Base!$AD$3:$AD$5001,"&lt;&gt;")=0,"",SUMIFS(Base!$AD$3:$AD$5001,Base!$A$3:$A$5001,H$3,Base!$B$3:$B$5001,$A$61)))</f>
        <v/>
      </c>
      <c r="I77" s="103" t="str">
        <f>IF(I$3="","",IF(COUNTIFS(Base!$A$3:$A$5001,I$3,Base!$B$3:$B$5001,$A$61,Base!$AD$3:$AD$5001,"&lt;&gt;")=0,"",SUMIFS(Base!$AD$3:$AD$5001,Base!$A$3:$A$5001,I$3,Base!$B$3:$B$5001,$A$61)))</f>
        <v/>
      </c>
      <c r="J77" s="103" t="str">
        <f>IF(J$3="","",IF(COUNTIFS(Base!$A$3:$A$5001,J$3,Base!$B$3:$B$5001,$A$61,Base!$AD$3:$AD$5001,"&lt;&gt;")=0,"",SUMIFS(Base!$AD$3:$AD$5001,Base!$A$3:$A$5001,J$3,Base!$B$3:$B$5001,$A$61)))</f>
        <v/>
      </c>
      <c r="K77" s="103" t="str">
        <f>IF(K$3="","",IF(COUNTIFS(Base!$A$3:$A$5001,K$3,Base!$B$3:$B$5001,$A$61,Base!$AD$3:$AD$5001,"&lt;&gt;")=0,"",SUMIFS(Base!$AD$3:$AD$5001,Base!$A$3:$A$5001,K$3,Base!$B$3:$B$5001,$A$61)))</f>
        <v/>
      </c>
      <c r="L77" s="103" t="str">
        <f>IF(L$3="","",IF(COUNTIFS(Base!$A$3:$A$5001,L$3,Base!$B$3:$B$5001,$A$61,Base!$AD$3:$AD$5001,"&lt;&gt;")=0,"",SUMIFS(Base!$AD$3:$AD$5001,Base!$A$3:$A$5001,L$3,Base!$B$3:$B$5001,$A$61)))</f>
        <v/>
      </c>
      <c r="M77" s="103" t="str">
        <f>IF(M$3="","",IF(COUNTIFS(Base!$A$3:$A$5001,M$3,Base!$B$3:$B$5001,$A$61,Base!$AD$3:$AD$5001,"&lt;&gt;")=0,"",SUMIFS(Base!$AD$3:$AD$5001,Base!$A$3:$A$5001,M$3,Base!$B$3:$B$5001,$A$61)))</f>
        <v/>
      </c>
      <c r="N77" s="103" t="str">
        <f>IF(N$3="","",IF(COUNTIFS(Base!$A$3:$A$5001,N$3,Base!$B$3:$B$5001,$A$61,Base!$AD$3:$AD$5001,"&lt;&gt;")=0,"",SUMIFS(Base!$AD$3:$AD$5001,Base!$A$3:$A$5001,N$3,Base!$B$3:$B$5001,$A$61)))</f>
        <v/>
      </c>
      <c r="O77" s="103" t="str">
        <f>IF(O$3="","",IF(COUNTIFS(Base!$A$3:$A$5001,O$3,Base!$B$3:$B$5001,$A$61,Base!$AD$3:$AD$5001,"&lt;&gt;")=0,"",SUMIFS(Base!$AD$3:$AD$5001,Base!$A$3:$A$5001,O$3,Base!$B$3:$B$5001,$A$61)))</f>
        <v/>
      </c>
      <c r="P77" s="103" t="str">
        <f>IF(P$3="","",IF(COUNTIFS(Base!$A$3:$A$5001,P$3,Base!$B$3:$B$5001,$A$61,Base!$AD$3:$AD$5001,"&lt;&gt;")=0,"",SUMIFS(Base!$AD$3:$AD$5001,Base!$A$3:$A$5001,P$3,Base!$B$3:$B$5001,$A$61)))</f>
        <v/>
      </c>
      <c r="Q77" s="103" t="str">
        <f>IF(Q$3="","",IF(COUNTIFS(Base!$A$3:$A$5001,Q$3,Base!$B$3:$B$5001,$A$61,Base!$AD$3:$AD$5001,"&lt;&gt;")=0,"",SUMIFS(Base!$AD$3:$AD$5001,Base!$A$3:$A$5001,Q$3,Base!$B$3:$B$5001,$A$61)))</f>
        <v/>
      </c>
      <c r="R77" s="103" t="str">
        <f>IF(R$3="","",IF(COUNTIFS(Base!$A$3:$A$5001,R$3,Base!$B$3:$B$5001,$A$61,Base!$AD$3:$AD$5001,"&lt;&gt;")=0,"",SUMIFS(Base!$AD$3:$AD$5001,Base!$A$3:$A$5001,R$3,Base!$B$3:$B$5001,$A$61)))</f>
        <v/>
      </c>
      <c r="S77" s="103" t="str">
        <f>IF(S$3="","",IF(COUNTIFS(Base!$A$3:$A$5001,S$3,Base!$B$3:$B$5001,$A$61,Base!$AD$3:$AD$5001,"&lt;&gt;")=0,"",SUMIFS(Base!$AD$3:$AD$5001,Base!$A$3:$A$5001,S$3,Base!$B$3:$B$5001,$A$61)))</f>
        <v/>
      </c>
      <c r="T77" s="103" t="str">
        <f>IF(T$3="","",IF(COUNTIFS(Base!$A$3:$A$5001,T$3,Base!$B$3:$B$5001,$A$61,Base!$AD$3:$AD$5001,"&lt;&gt;")=0,"",SUMIFS(Base!$AD$3:$AD$5001,Base!$A$3:$A$5001,T$3,Base!$B$3:$B$5001,$A$61)))</f>
        <v/>
      </c>
      <c r="U77" s="103" t="str">
        <f>IF(U$3="","",IF(COUNTIFS(Base!$A$3:$A$5001,U$3,Base!$B$3:$B$5001,$A$61,Base!$AD$3:$AD$5001,"&lt;&gt;")=0,"",SUMIFS(Base!$AD$3:$AD$5001,Base!$A$3:$A$5001,U$3,Base!$B$3:$B$5001,$A$61)))</f>
        <v/>
      </c>
      <c r="V77" s="103" t="str">
        <f>IF(V$3="","",IF(COUNTIFS(Base!$A$3:$A$5001,V$3,Base!$B$3:$B$5001,$A$61,Base!$AD$3:$AD$5001,"&lt;&gt;")=0,"",SUMIFS(Base!$AD$3:$AD$5001,Base!$A$3:$A$5001,V$3,Base!$B$3:$B$5001,$A$61)))</f>
        <v/>
      </c>
      <c r="W77" s="103" t="str">
        <f>IF(W$3="","",IF(COUNTIFS(Base!$A$3:$A$5001,W$3,Base!$B$3:$B$5001,$A$61,Base!$AD$3:$AD$5001,"&lt;&gt;")=0,"",SUMIFS(Base!$AD$3:$AD$5001,Base!$A$3:$A$5001,W$3,Base!$B$3:$B$5001,$A$61)))</f>
        <v/>
      </c>
      <c r="X77" s="103" t="str">
        <f>IF(X$3="","",IF(COUNTIFS(Base!$A$3:$A$5001,X$3,Base!$B$3:$B$5001,$A$61,Base!$AD$3:$AD$5001,"&lt;&gt;")=0,"",SUMIFS(Base!$AD$3:$AD$5001,Base!$A$3:$A$5001,X$3,Base!$B$3:$B$5001,$A$61)))</f>
        <v/>
      </c>
      <c r="Y77" s="103" t="str">
        <f>IF(Y$3="","",IF(COUNTIFS(Base!$A$3:$A$5001,Y$3,Base!$B$3:$B$5001,$A$61,Base!$AD$3:$AD$5001,"&lt;&gt;")=0,"",SUMIFS(Base!$AD$3:$AD$5001,Base!$A$3:$A$5001,Y$3,Base!$B$3:$B$5001,$A$61)))</f>
        <v/>
      </c>
      <c r="Z77" s="103" t="str">
        <f>IF(Z$3="","",IF(COUNTIFS(Base!$A$3:$A$5001,Z$3,Base!$B$3:$B$5001,$A$61,Base!$AD$3:$AD$5001,"&lt;&gt;")=0,"",SUMIFS(Base!$AD$3:$AD$5001,Base!$A$3:$A$5001,Z$3,Base!$B$3:$B$5001,$A$61)))</f>
        <v/>
      </c>
      <c r="AA77" s="103" t="str">
        <f>IF(AA$3="","",IF(COUNTIFS(Base!$A$3:$A$5001,AA$3,Base!$B$3:$B$5001,$A$61,Base!$AD$3:$AD$5001,"&lt;&gt;")=0,"",SUMIFS(Base!$AD$3:$AD$5001,Base!$A$3:$A$5001,AA$3,Base!$B$3:$B$5001,$A$61)))</f>
        <v/>
      </c>
      <c r="AB77" s="103" t="str">
        <f>IF(AB$3="","",IF(COUNTIFS(Base!$A$3:$A$5001,AB$3,Base!$B$3:$B$5001,$A$61,Base!$AD$3:$AD$5001,"&lt;&gt;")=0,"",SUMIFS(Base!$AD$3:$AD$5001,Base!$A$3:$A$5001,AB$3,Base!$B$3:$B$5001,$A$61)))</f>
        <v/>
      </c>
      <c r="AC77" s="103" t="str">
        <f>IF(AC$3="","",IF(COUNTIFS(Base!$A$3:$A$5001,AC$3,Base!$B$3:$B$5001,$A$61,Base!$AD$3:$AD$5001,"&lt;&gt;")=0,"",SUMIFS(Base!$AD$3:$AD$5001,Base!$A$3:$A$5001,AC$3,Base!$B$3:$B$5001,$A$61)))</f>
        <v/>
      </c>
      <c r="AD77" s="103" t="str">
        <f>IF(AD$3="","",IF(COUNTIFS(Base!$A$3:$A$5001,AD$3,Base!$B$3:$B$5001,$A$61,Base!$AD$3:$AD$5001,"&lt;&gt;")=0,"",SUMIFS(Base!$AD$3:$AD$5001,Base!$A$3:$A$5001,AD$3,Base!$B$3:$B$5001,$A$61)))</f>
        <v/>
      </c>
      <c r="AE77" s="103" t="str">
        <f>IF(AE$3="","",IF(COUNTIFS(Base!$A$3:$A$5001,AE$3,Base!$B$3:$B$5001,$A$61,Base!$AD$3:$AD$5001,"&lt;&gt;")=0,"",SUMIFS(Base!$AD$3:$AD$5001,Base!$A$3:$A$5001,AE$3,Base!$B$3:$B$5001,$A$61)))</f>
        <v/>
      </c>
      <c r="AF77" s="103" t="str">
        <f>IF(AF$3="","",IF(COUNTIFS(Base!$A$3:$A$5001,AF$3,Base!$B$3:$B$5001,$A$61,Base!$AD$3:$AD$5001,"&lt;&gt;")=0,"",SUMIFS(Base!$AD$3:$AD$5001,Base!$A$3:$A$5001,AF$3,Base!$B$3:$B$5001,$A$61)))</f>
        <v/>
      </c>
      <c r="AG77" s="103" t="str">
        <f>IF(AG$3="","",IF(COUNTIFS(Base!$A$3:$A$5001,AG$3,Base!$B$3:$B$5001,$A$61,Base!$AD$3:$AD$5001,"&lt;&gt;")=0,"",SUMIFS(Base!$AD$3:$AD$5001,Base!$A$3:$A$5001,AG$3,Base!$B$3:$B$5001,$A$61)))</f>
        <v/>
      </c>
      <c r="AH77" s="103" t="str">
        <f>IF(AH$3="","",IF(COUNTIFS(Base!$A$3:$A$5001,AH$3,Base!$B$3:$B$5001,$A$61,Base!$AD$3:$AD$5001,"&lt;&gt;")=0,"",SUMIFS(Base!$AD$3:$AD$5001,Base!$A$3:$A$5001,AH$3,Base!$B$3:$B$5001,$A$61)))</f>
        <v/>
      </c>
      <c r="AI77" s="103" t="str">
        <f>IF(AI$3="","",IF(COUNTIFS(Base!$A$3:$A$5001,AI$3,Base!$B$3:$B$5001,$A$61,Base!$AD$3:$AD$5001,"&lt;&gt;")=0,"",SUMIFS(Base!$AD$3:$AD$5001,Base!$A$3:$A$5001,AI$3,Base!$B$3:$B$5001,$A$61)))</f>
        <v/>
      </c>
      <c r="AJ77" s="104" t="str">
        <f>IF(AJ$3="","",IF(COUNTIFS(Base!$A$3:$A$5001,AJ$3,Base!$B$3:$B$5001,$A$61,Base!$AD$3:$AD$5001,"&lt;&gt;")=0,"",SUMIFS(Base!$AD$3:$AD$5001,Base!$A$3:$A$5001,AJ$3,Base!$B$3:$B$5001,$A$61)))</f>
        <v/>
      </c>
      <c r="AK77" s="100" t="str">
        <f>IF(COUNT(F77:AJ77)=0,"",SUM(F77:AJ77))</f>
        <v/>
      </c>
    </row>
    <row r="79" ht="15.75" customHeight="1">
      <c r="A79" s="117" t="inlineStr">
        <is>
          <t xml:space="preserve">GE VERNOVA</t>
        </is>
      </c>
      <c r="B79" s="105" t="inlineStr">
        <is>
          <t xml:space="preserve">IN</t>
        </is>
      </c>
      <c r="C79" s="21" t="inlineStr">
        <is>
          <t xml:space="preserve">Veículos Recebidos</t>
        </is>
      </c>
      <c r="D79" s="22" t="str">
        <f>IFERROR(1/(1/INDEX(calculos!$C$55:$K$83,MATCH("IN Veículos Recebidos",calculos!$A$55:$A$83,0),MATCH($A$79,calculos!$C$54:$K$54,0))),"")</f>
        <v/>
      </c>
      <c r="E79" s="23"/>
      <c r="F79" s="24" t="str">
        <f>IF(F$3="","",IF(COUNTIFS(Base!$A$3:$A$5001,F$3,Base!$B$3:$B$5001,$A$79,Base!$C$3:$C$5001,"&lt;&gt;")=0,"",SUMIFS(Base!$C$3:$C$5001,Base!$A$3:$A$5001,F$3,Base!$B$3:$B$5001,$A$79)))</f>
        <v/>
      </c>
      <c r="G79" s="25" t="str">
        <f>IF(G$3="","",IF(COUNTIFS(Base!$A$3:$A$5001,G$3,Base!$B$3:$B$5001,$A$79,Base!$C$3:$C$5001,"&lt;&gt;")=0,"",SUMIFS(Base!$C$3:$C$5001,Base!$A$3:$A$5001,G$3,Base!$B$3:$B$5001,$A$79)))</f>
        <v/>
      </c>
      <c r="H79" s="25" t="str">
        <f>IF(H$3="","",IF(COUNTIFS(Base!$A$3:$A$5001,H$3,Base!$B$3:$B$5001,$A$79,Base!$C$3:$C$5001,"&lt;&gt;")=0,"",SUMIFS(Base!$C$3:$C$5001,Base!$A$3:$A$5001,H$3,Base!$B$3:$B$5001,$A$79)))</f>
        <v/>
      </c>
      <c r="I79" s="25" t="str">
        <f>IF(I$3="","",IF(COUNTIFS(Base!$A$3:$A$5001,I$3,Base!$B$3:$B$5001,$A$79,Base!$C$3:$C$5001,"&lt;&gt;")=0,"",SUMIFS(Base!$C$3:$C$5001,Base!$A$3:$A$5001,I$3,Base!$B$3:$B$5001,$A$79)))</f>
        <v/>
      </c>
      <c r="J79" s="25" t="str">
        <f>IF(J$3="","",IF(COUNTIFS(Base!$A$3:$A$5001,J$3,Base!$B$3:$B$5001,$A$79,Base!$C$3:$C$5001,"&lt;&gt;")=0,"",SUMIFS(Base!$C$3:$C$5001,Base!$A$3:$A$5001,J$3,Base!$B$3:$B$5001,$A$79)))</f>
        <v/>
      </c>
      <c r="K79" s="25" t="str">
        <f>IF(K$3="","",IF(COUNTIFS(Base!$A$3:$A$5001,K$3,Base!$B$3:$B$5001,$A$79,Base!$C$3:$C$5001,"&lt;&gt;")=0,"",SUMIFS(Base!$C$3:$C$5001,Base!$A$3:$A$5001,K$3,Base!$B$3:$B$5001,$A$79)))</f>
        <v/>
      </c>
      <c r="L79" s="25" t="str">
        <f>IF(L$3="","",IF(COUNTIFS(Base!$A$3:$A$5001,L$3,Base!$B$3:$B$5001,$A$79,Base!$C$3:$C$5001,"&lt;&gt;")=0,"",SUMIFS(Base!$C$3:$C$5001,Base!$A$3:$A$5001,L$3,Base!$B$3:$B$5001,$A$79)))</f>
        <v/>
      </c>
      <c r="M79" s="25" t="str">
        <f>IF(M$3="","",IF(COUNTIFS(Base!$A$3:$A$5001,M$3,Base!$B$3:$B$5001,$A$79,Base!$C$3:$C$5001,"&lt;&gt;")=0,"",SUMIFS(Base!$C$3:$C$5001,Base!$A$3:$A$5001,M$3,Base!$B$3:$B$5001,$A$79)))</f>
        <v/>
      </c>
      <c r="N79" s="25" t="str">
        <f>IF(N$3="","",IF(COUNTIFS(Base!$A$3:$A$5001,N$3,Base!$B$3:$B$5001,$A$79,Base!$C$3:$C$5001,"&lt;&gt;")=0,"",SUMIFS(Base!$C$3:$C$5001,Base!$A$3:$A$5001,N$3,Base!$B$3:$B$5001,$A$79)))</f>
        <v/>
      </c>
      <c r="O79" s="25" t="str">
        <f>IF(O$3="","",IF(COUNTIFS(Base!$A$3:$A$5001,O$3,Base!$B$3:$B$5001,$A$79,Base!$C$3:$C$5001,"&lt;&gt;")=0,"",SUMIFS(Base!$C$3:$C$5001,Base!$A$3:$A$5001,O$3,Base!$B$3:$B$5001,$A$79)))</f>
        <v/>
      </c>
      <c r="P79" s="25" t="str">
        <f>IF(P$3="","",IF(COUNTIFS(Base!$A$3:$A$5001,P$3,Base!$B$3:$B$5001,$A$79,Base!$C$3:$C$5001,"&lt;&gt;")=0,"",SUMIFS(Base!$C$3:$C$5001,Base!$A$3:$A$5001,P$3,Base!$B$3:$B$5001,$A$79)))</f>
        <v/>
      </c>
      <c r="Q79" s="25" t="str">
        <f>IF(Q$3="","",IF(COUNTIFS(Base!$A$3:$A$5001,Q$3,Base!$B$3:$B$5001,$A$79,Base!$C$3:$C$5001,"&lt;&gt;")=0,"",SUMIFS(Base!$C$3:$C$5001,Base!$A$3:$A$5001,Q$3,Base!$B$3:$B$5001,$A$79)))</f>
        <v/>
      </c>
      <c r="R79" s="25" t="str">
        <f>IF(R$3="","",IF(COUNTIFS(Base!$A$3:$A$5001,R$3,Base!$B$3:$B$5001,$A$79,Base!$C$3:$C$5001,"&lt;&gt;")=0,"",SUMIFS(Base!$C$3:$C$5001,Base!$A$3:$A$5001,R$3,Base!$B$3:$B$5001,$A$79)))</f>
        <v/>
      </c>
      <c r="S79" s="25" t="str">
        <f>IF(S$3="","",IF(COUNTIFS(Base!$A$3:$A$5001,S$3,Base!$B$3:$B$5001,$A$79,Base!$C$3:$C$5001,"&lt;&gt;")=0,"",SUMIFS(Base!$C$3:$C$5001,Base!$A$3:$A$5001,S$3,Base!$B$3:$B$5001,$A$79)))</f>
        <v/>
      </c>
      <c r="T79" s="25" t="str">
        <f>IF(T$3="","",IF(COUNTIFS(Base!$A$3:$A$5001,T$3,Base!$B$3:$B$5001,$A$79,Base!$C$3:$C$5001,"&lt;&gt;")=0,"",SUMIFS(Base!$C$3:$C$5001,Base!$A$3:$A$5001,T$3,Base!$B$3:$B$5001,$A$79)))</f>
        <v/>
      </c>
      <c r="U79" s="25" t="str">
        <f>IF(U$3="","",IF(COUNTIFS(Base!$A$3:$A$5001,U$3,Base!$B$3:$B$5001,$A$79,Base!$C$3:$C$5001,"&lt;&gt;")=0,"",SUMIFS(Base!$C$3:$C$5001,Base!$A$3:$A$5001,U$3,Base!$B$3:$B$5001,$A$79)))</f>
        <v/>
      </c>
      <c r="V79" s="25" t="str">
        <f>IF(V$3="","",IF(COUNTIFS(Base!$A$3:$A$5001,V$3,Base!$B$3:$B$5001,$A$79,Base!$C$3:$C$5001,"&lt;&gt;")=0,"",SUMIFS(Base!$C$3:$C$5001,Base!$A$3:$A$5001,V$3,Base!$B$3:$B$5001,$A$79)))</f>
        <v/>
      </c>
      <c r="W79" s="25" t="str">
        <f>IF(W$3="","",IF(COUNTIFS(Base!$A$3:$A$5001,W$3,Base!$B$3:$B$5001,$A$79,Base!$C$3:$C$5001,"&lt;&gt;")=0,"",SUMIFS(Base!$C$3:$C$5001,Base!$A$3:$A$5001,W$3,Base!$B$3:$B$5001,$A$79)))</f>
        <v/>
      </c>
      <c r="X79" s="25" t="str">
        <f>IF(X$3="","",IF(COUNTIFS(Base!$A$3:$A$5001,X$3,Base!$B$3:$B$5001,$A$79,Base!$C$3:$C$5001,"&lt;&gt;")=0,"",SUMIFS(Base!$C$3:$C$5001,Base!$A$3:$A$5001,X$3,Base!$B$3:$B$5001,$A$79)))</f>
        <v/>
      </c>
      <c r="Y79" s="25" t="str">
        <f>IF(Y$3="","",IF(COUNTIFS(Base!$A$3:$A$5001,Y$3,Base!$B$3:$B$5001,$A$79,Base!$C$3:$C$5001,"&lt;&gt;")=0,"",SUMIFS(Base!$C$3:$C$5001,Base!$A$3:$A$5001,Y$3,Base!$B$3:$B$5001,$A$79)))</f>
        <v/>
      </c>
      <c r="Z79" s="25" t="str">
        <f>IF(Z$3="","",IF(COUNTIFS(Base!$A$3:$A$5001,Z$3,Base!$B$3:$B$5001,$A$79,Base!$C$3:$C$5001,"&lt;&gt;")=0,"",SUMIFS(Base!$C$3:$C$5001,Base!$A$3:$A$5001,Z$3,Base!$B$3:$B$5001,$A$79)))</f>
        <v/>
      </c>
      <c r="AA79" s="25" t="str">
        <f>IF(AA$3="","",IF(COUNTIFS(Base!$A$3:$A$5001,AA$3,Base!$B$3:$B$5001,$A$79,Base!$C$3:$C$5001,"&lt;&gt;")=0,"",SUMIFS(Base!$C$3:$C$5001,Base!$A$3:$A$5001,AA$3,Base!$B$3:$B$5001,$A$79)))</f>
        <v/>
      </c>
      <c r="AB79" s="25" t="str">
        <f>IF(AB$3="","",IF(COUNTIFS(Base!$A$3:$A$5001,AB$3,Base!$B$3:$B$5001,$A$79,Base!$C$3:$C$5001,"&lt;&gt;")=0,"",SUMIFS(Base!$C$3:$C$5001,Base!$A$3:$A$5001,AB$3,Base!$B$3:$B$5001,$A$79)))</f>
        <v/>
      </c>
      <c r="AC79" s="25" t="str">
        <f>IF(AC$3="","",IF(COUNTIFS(Base!$A$3:$A$5001,AC$3,Base!$B$3:$B$5001,$A$79,Base!$C$3:$C$5001,"&lt;&gt;")=0,"",SUMIFS(Base!$C$3:$C$5001,Base!$A$3:$A$5001,AC$3,Base!$B$3:$B$5001,$A$79)))</f>
        <v/>
      </c>
      <c r="AD79" s="25" t="str">
        <f>IF(AD$3="","",IF(COUNTIFS(Base!$A$3:$A$5001,AD$3,Base!$B$3:$B$5001,$A$79,Base!$C$3:$C$5001,"&lt;&gt;")=0,"",SUMIFS(Base!$C$3:$C$5001,Base!$A$3:$A$5001,AD$3,Base!$B$3:$B$5001,$A$79)))</f>
        <v/>
      </c>
      <c r="AE79" s="25" t="str">
        <f>IF(AE$3="","",IF(COUNTIFS(Base!$A$3:$A$5001,AE$3,Base!$B$3:$B$5001,$A$79,Base!$C$3:$C$5001,"&lt;&gt;")=0,"",SUMIFS(Base!$C$3:$C$5001,Base!$A$3:$A$5001,AE$3,Base!$B$3:$B$5001,$A$79)))</f>
        <v/>
      </c>
      <c r="AF79" s="25" t="str">
        <f>IF(AF$3="","",IF(COUNTIFS(Base!$A$3:$A$5001,AF$3,Base!$B$3:$B$5001,$A$79,Base!$C$3:$C$5001,"&lt;&gt;")=0,"",SUMIFS(Base!$C$3:$C$5001,Base!$A$3:$A$5001,AF$3,Base!$B$3:$B$5001,$A$79)))</f>
        <v/>
      </c>
      <c r="AG79" s="25" t="str">
        <f>IF(AG$3="","",IF(COUNTIFS(Base!$A$3:$A$5001,AG$3,Base!$B$3:$B$5001,$A$79,Base!$C$3:$C$5001,"&lt;&gt;")=0,"",SUMIFS(Base!$C$3:$C$5001,Base!$A$3:$A$5001,AG$3,Base!$B$3:$B$5001,$A$79)))</f>
        <v/>
      </c>
      <c r="AH79" s="25" t="str">
        <f>IF(AH$3="","",IF(COUNTIFS(Base!$A$3:$A$5001,AH$3,Base!$B$3:$B$5001,$A$79,Base!$C$3:$C$5001,"&lt;&gt;")=0,"",SUMIFS(Base!$C$3:$C$5001,Base!$A$3:$A$5001,AH$3,Base!$B$3:$B$5001,$A$79)))</f>
        <v/>
      </c>
      <c r="AI79" s="25" t="str">
        <f>IF(AI$3="","",IF(COUNTIFS(Base!$A$3:$A$5001,AI$3,Base!$B$3:$B$5001,$A$79,Base!$C$3:$C$5001,"&lt;&gt;")=0,"",SUMIFS(Base!$C$3:$C$5001,Base!$A$3:$A$5001,AI$3,Base!$B$3:$B$5001,$A$79)))</f>
        <v/>
      </c>
      <c r="AJ79" s="26" t="str">
        <f>IF(AJ$3="","",IF(COUNTIFS(Base!$A$3:$A$5001,AJ$3,Base!$B$3:$B$5001,$A$79,Base!$C$3:$C$5001,"&lt;&gt;")=0,"",SUMIFS(Base!$C$3:$C$5001,Base!$A$3:$A$5001,AJ$3,Base!$B$3:$B$5001,$A$79)))</f>
        <v/>
      </c>
      <c r="AK79" s="27" t="str">
        <f>IF(COUNT(F79:AJ79)=0,"",SUM(F79:AJ79))</f>
        <v/>
      </c>
    </row>
    <row r="80" ht="15.75" customHeight="1">
      <c r="A80" s="118"/>
      <c r="B80" s="106"/>
      <c r="C80" s="28" t="inlineStr">
        <is>
          <t xml:space="preserve">Pallets Movimentados</t>
        </is>
      </c>
      <c r="D80" s="29" t="str">
        <f>IFERROR(1/(1/INDEX(calculos!$C$55:$K$83,MATCH("IN Pallets Movimentados",calculos!$A$55:$A$83,0),MATCH($A$79,calculos!$C$54:$K$54,0))),"")</f>
        <v/>
      </c>
      <c r="E80" s="30"/>
      <c r="F80" s="31" t="str">
        <f>IF(F$3="","",IF(COUNTIFS(Base!$A$3:$A$5001,F$3,Base!$B$3:$B$5001,$A$79,Base!$D$3:$D$5001,"&lt;&gt;")=0,"",SUMIFS(Base!$D$3:$D$5001,Base!$A$3:$A$5001,F$3,Base!$B$3:$B$5001,$A$79)))</f>
        <v/>
      </c>
      <c r="G80" s="32" t="str">
        <f>IF(G$3="","",IF(COUNTIFS(Base!$A$3:$A$5001,G$3,Base!$B$3:$B$5001,$A$79,Base!$D$3:$D$5001,"&lt;&gt;")=0,"",SUMIFS(Base!$D$3:$D$5001,Base!$A$3:$A$5001,G$3,Base!$B$3:$B$5001,$A$79)))</f>
        <v/>
      </c>
      <c r="H80" s="32" t="str">
        <f>IF(H$3="","",IF(COUNTIFS(Base!$A$3:$A$5001,H$3,Base!$B$3:$B$5001,$A$79,Base!$D$3:$D$5001,"&lt;&gt;")=0,"",SUMIFS(Base!$D$3:$D$5001,Base!$A$3:$A$5001,H$3,Base!$B$3:$B$5001,$A$79)))</f>
        <v/>
      </c>
      <c r="I80" s="32" t="str">
        <f>IF(I$3="","",IF(COUNTIFS(Base!$A$3:$A$5001,I$3,Base!$B$3:$B$5001,$A$79,Base!$D$3:$D$5001,"&lt;&gt;")=0,"",SUMIFS(Base!$D$3:$D$5001,Base!$A$3:$A$5001,I$3,Base!$B$3:$B$5001,$A$79)))</f>
        <v/>
      </c>
      <c r="J80" s="32" t="str">
        <f>IF(J$3="","",IF(COUNTIFS(Base!$A$3:$A$5001,J$3,Base!$B$3:$B$5001,$A$79,Base!$D$3:$D$5001,"&lt;&gt;")=0,"",SUMIFS(Base!$D$3:$D$5001,Base!$A$3:$A$5001,J$3,Base!$B$3:$B$5001,$A$79)))</f>
        <v/>
      </c>
      <c r="K80" s="32" t="str">
        <f>IF(K$3="","",IF(COUNTIFS(Base!$A$3:$A$5001,K$3,Base!$B$3:$B$5001,$A$79,Base!$D$3:$D$5001,"&lt;&gt;")=0,"",SUMIFS(Base!$D$3:$D$5001,Base!$A$3:$A$5001,K$3,Base!$B$3:$B$5001,$A$79)))</f>
        <v/>
      </c>
      <c r="L80" s="32" t="str">
        <f>IF(L$3="","",IF(COUNTIFS(Base!$A$3:$A$5001,L$3,Base!$B$3:$B$5001,$A$79,Base!$D$3:$D$5001,"&lt;&gt;")=0,"",SUMIFS(Base!$D$3:$D$5001,Base!$A$3:$A$5001,L$3,Base!$B$3:$B$5001,$A$79)))</f>
        <v/>
      </c>
      <c r="M80" s="32" t="str">
        <f>IF(M$3="","",IF(COUNTIFS(Base!$A$3:$A$5001,M$3,Base!$B$3:$B$5001,$A$79,Base!$D$3:$D$5001,"&lt;&gt;")=0,"",SUMIFS(Base!$D$3:$D$5001,Base!$A$3:$A$5001,M$3,Base!$B$3:$B$5001,$A$79)))</f>
        <v/>
      </c>
      <c r="N80" s="32" t="str">
        <f>IF(N$3="","",IF(COUNTIFS(Base!$A$3:$A$5001,N$3,Base!$B$3:$B$5001,$A$79,Base!$D$3:$D$5001,"&lt;&gt;")=0,"",SUMIFS(Base!$D$3:$D$5001,Base!$A$3:$A$5001,N$3,Base!$B$3:$B$5001,$A$79)))</f>
        <v/>
      </c>
      <c r="O80" s="32" t="str">
        <f>IF(O$3="","",IF(COUNTIFS(Base!$A$3:$A$5001,O$3,Base!$B$3:$B$5001,$A$79,Base!$D$3:$D$5001,"&lt;&gt;")=0,"",SUMIFS(Base!$D$3:$D$5001,Base!$A$3:$A$5001,O$3,Base!$B$3:$B$5001,$A$79)))</f>
        <v/>
      </c>
      <c r="P80" s="32" t="str">
        <f>IF(P$3="","",IF(COUNTIFS(Base!$A$3:$A$5001,P$3,Base!$B$3:$B$5001,$A$79,Base!$D$3:$D$5001,"&lt;&gt;")=0,"",SUMIFS(Base!$D$3:$D$5001,Base!$A$3:$A$5001,P$3,Base!$B$3:$B$5001,$A$79)))</f>
        <v/>
      </c>
      <c r="Q80" s="32" t="str">
        <f>IF(Q$3="","",IF(COUNTIFS(Base!$A$3:$A$5001,Q$3,Base!$B$3:$B$5001,$A$79,Base!$D$3:$D$5001,"&lt;&gt;")=0,"",SUMIFS(Base!$D$3:$D$5001,Base!$A$3:$A$5001,Q$3,Base!$B$3:$B$5001,$A$79)))</f>
        <v/>
      </c>
      <c r="R80" s="32" t="str">
        <f>IF(R$3="","",IF(COUNTIFS(Base!$A$3:$A$5001,R$3,Base!$B$3:$B$5001,$A$79,Base!$D$3:$D$5001,"&lt;&gt;")=0,"",SUMIFS(Base!$D$3:$D$5001,Base!$A$3:$A$5001,R$3,Base!$B$3:$B$5001,$A$79)))</f>
        <v/>
      </c>
      <c r="S80" s="32" t="str">
        <f>IF(S$3="","",IF(COUNTIFS(Base!$A$3:$A$5001,S$3,Base!$B$3:$B$5001,$A$79,Base!$D$3:$D$5001,"&lt;&gt;")=0,"",SUMIFS(Base!$D$3:$D$5001,Base!$A$3:$A$5001,S$3,Base!$B$3:$B$5001,$A$79)))</f>
        <v/>
      </c>
      <c r="T80" s="32" t="str">
        <f>IF(T$3="","",IF(COUNTIFS(Base!$A$3:$A$5001,T$3,Base!$B$3:$B$5001,$A$79,Base!$D$3:$D$5001,"&lt;&gt;")=0,"",SUMIFS(Base!$D$3:$D$5001,Base!$A$3:$A$5001,T$3,Base!$B$3:$B$5001,$A$79)))</f>
        <v/>
      </c>
      <c r="U80" s="32" t="str">
        <f>IF(U$3="","",IF(COUNTIFS(Base!$A$3:$A$5001,U$3,Base!$B$3:$B$5001,$A$79,Base!$D$3:$D$5001,"&lt;&gt;")=0,"",SUMIFS(Base!$D$3:$D$5001,Base!$A$3:$A$5001,U$3,Base!$B$3:$B$5001,$A$79)))</f>
        <v/>
      </c>
      <c r="V80" s="32" t="str">
        <f>IF(V$3="","",IF(COUNTIFS(Base!$A$3:$A$5001,V$3,Base!$B$3:$B$5001,$A$79,Base!$D$3:$D$5001,"&lt;&gt;")=0,"",SUMIFS(Base!$D$3:$D$5001,Base!$A$3:$A$5001,V$3,Base!$B$3:$B$5001,$A$79)))</f>
        <v/>
      </c>
      <c r="W80" s="32" t="str">
        <f>IF(W$3="","",IF(COUNTIFS(Base!$A$3:$A$5001,W$3,Base!$B$3:$B$5001,$A$79,Base!$D$3:$D$5001,"&lt;&gt;")=0,"",SUMIFS(Base!$D$3:$D$5001,Base!$A$3:$A$5001,W$3,Base!$B$3:$B$5001,$A$79)))</f>
        <v/>
      </c>
      <c r="X80" s="32" t="str">
        <f>IF(X$3="","",IF(COUNTIFS(Base!$A$3:$A$5001,X$3,Base!$B$3:$B$5001,$A$79,Base!$D$3:$D$5001,"&lt;&gt;")=0,"",SUMIFS(Base!$D$3:$D$5001,Base!$A$3:$A$5001,X$3,Base!$B$3:$B$5001,$A$79)))</f>
        <v/>
      </c>
      <c r="Y80" s="32" t="str">
        <f>IF(Y$3="","",IF(COUNTIFS(Base!$A$3:$A$5001,Y$3,Base!$B$3:$B$5001,$A$79,Base!$D$3:$D$5001,"&lt;&gt;")=0,"",SUMIFS(Base!$D$3:$D$5001,Base!$A$3:$A$5001,Y$3,Base!$B$3:$B$5001,$A$79)))</f>
        <v/>
      </c>
      <c r="Z80" s="32" t="str">
        <f>IF(Z$3="","",IF(COUNTIFS(Base!$A$3:$A$5001,Z$3,Base!$B$3:$B$5001,$A$79,Base!$D$3:$D$5001,"&lt;&gt;")=0,"",SUMIFS(Base!$D$3:$D$5001,Base!$A$3:$A$5001,Z$3,Base!$B$3:$B$5001,$A$79)))</f>
        <v/>
      </c>
      <c r="AA80" s="32" t="str">
        <f>IF(AA$3="","",IF(COUNTIFS(Base!$A$3:$A$5001,AA$3,Base!$B$3:$B$5001,$A$79,Base!$D$3:$D$5001,"&lt;&gt;")=0,"",SUMIFS(Base!$D$3:$D$5001,Base!$A$3:$A$5001,AA$3,Base!$B$3:$B$5001,$A$79)))</f>
        <v/>
      </c>
      <c r="AB80" s="32" t="str">
        <f>IF(AB$3="","",IF(COUNTIFS(Base!$A$3:$A$5001,AB$3,Base!$B$3:$B$5001,$A$79,Base!$D$3:$D$5001,"&lt;&gt;")=0,"",SUMIFS(Base!$D$3:$D$5001,Base!$A$3:$A$5001,AB$3,Base!$B$3:$B$5001,$A$79)))</f>
        <v/>
      </c>
      <c r="AC80" s="32" t="str">
        <f>IF(AC$3="","",IF(COUNTIFS(Base!$A$3:$A$5001,AC$3,Base!$B$3:$B$5001,$A$79,Base!$D$3:$D$5001,"&lt;&gt;")=0,"",SUMIFS(Base!$D$3:$D$5001,Base!$A$3:$A$5001,AC$3,Base!$B$3:$B$5001,$A$79)))</f>
        <v/>
      </c>
      <c r="AD80" s="32" t="str">
        <f>IF(AD$3="","",IF(COUNTIFS(Base!$A$3:$A$5001,AD$3,Base!$B$3:$B$5001,$A$79,Base!$D$3:$D$5001,"&lt;&gt;")=0,"",SUMIFS(Base!$D$3:$D$5001,Base!$A$3:$A$5001,AD$3,Base!$B$3:$B$5001,$A$79)))</f>
        <v/>
      </c>
      <c r="AE80" s="32" t="str">
        <f>IF(AE$3="","",IF(COUNTIFS(Base!$A$3:$A$5001,AE$3,Base!$B$3:$B$5001,$A$79,Base!$D$3:$D$5001,"&lt;&gt;")=0,"",SUMIFS(Base!$D$3:$D$5001,Base!$A$3:$A$5001,AE$3,Base!$B$3:$B$5001,$A$79)))</f>
        <v/>
      </c>
      <c r="AF80" s="32" t="str">
        <f>IF(AF$3="","",IF(COUNTIFS(Base!$A$3:$A$5001,AF$3,Base!$B$3:$B$5001,$A$79,Base!$D$3:$D$5001,"&lt;&gt;")=0,"",SUMIFS(Base!$D$3:$D$5001,Base!$A$3:$A$5001,AF$3,Base!$B$3:$B$5001,$A$79)))</f>
        <v/>
      </c>
      <c r="AG80" s="32" t="str">
        <f>IF(AG$3="","",IF(COUNTIFS(Base!$A$3:$A$5001,AG$3,Base!$B$3:$B$5001,$A$79,Base!$D$3:$D$5001,"&lt;&gt;")=0,"",SUMIFS(Base!$D$3:$D$5001,Base!$A$3:$A$5001,AG$3,Base!$B$3:$B$5001,$A$79)))</f>
        <v/>
      </c>
      <c r="AH80" s="32" t="str">
        <f>IF(AH$3="","",IF(COUNTIFS(Base!$A$3:$A$5001,AH$3,Base!$B$3:$B$5001,$A$79,Base!$D$3:$D$5001,"&lt;&gt;")=0,"",SUMIFS(Base!$D$3:$D$5001,Base!$A$3:$A$5001,AH$3,Base!$B$3:$B$5001,$A$79)))</f>
        <v/>
      </c>
      <c r="AI80" s="32" t="str">
        <f>IF(AI$3="","",IF(COUNTIFS(Base!$A$3:$A$5001,AI$3,Base!$B$3:$B$5001,$A$79,Base!$D$3:$D$5001,"&lt;&gt;")=0,"",SUMIFS(Base!$D$3:$D$5001,Base!$A$3:$A$5001,AI$3,Base!$B$3:$B$5001,$A$79)))</f>
        <v/>
      </c>
      <c r="AJ80" s="33" t="str">
        <f>IF(AJ$3="","",IF(COUNTIFS(Base!$A$3:$A$5001,AJ$3,Base!$B$3:$B$5001,$A$79,Base!$D$3:$D$5001,"&lt;&gt;")=0,"",SUMIFS(Base!$D$3:$D$5001,Base!$A$3:$A$5001,AJ$3,Base!$B$3:$B$5001,$A$79)))</f>
        <v/>
      </c>
      <c r="AK80" s="34" t="str">
        <f>IF(COUNT(F80:AJ80)=0,"",SUM(F80:AJ80))</f>
        <v/>
      </c>
    </row>
    <row r="81" ht="15.75" customHeight="1">
      <c r="A81" s="118"/>
      <c r="B81" s="106"/>
      <c r="C81" s="28" t="inlineStr">
        <is>
          <t xml:space="preserve">Peças Movimentadas</t>
        </is>
      </c>
      <c r="D81" s="29" t="str">
        <f>IFERROR(1/(1/INDEX(calculos!$C$55:$K$83,MATCH("IN Peças Movimentadas",calculos!$A$55:$A$83,0),MATCH($A$79,calculos!$C$54:$K$54,0))),"")</f>
        <v/>
      </c>
      <c r="E81" s="30"/>
      <c r="F81" s="31" t="str">
        <f>IF(F$3="","",IF(COUNTIFS(Base!$A$3:$A$5001,F$3,Base!$B$3:$B$5001,$A$79,Base!$J$3:$J$5001,"&lt;&gt;")=0,"",SUMIFS(Base!$J$3:$J$5001,Base!$A$3:$A$5001,F$3,Base!$B$3:$B$5001,$A$79)))</f>
        <v/>
      </c>
      <c r="G81" s="32" t="str">
        <f>IF(G$3="","",IF(COUNTIFS(Base!$A$3:$A$5001,G$3,Base!$B$3:$B$5001,$A$79,Base!$J$3:$J$5001,"&lt;&gt;")=0,"",SUMIFS(Base!$J$3:$J$5001,Base!$A$3:$A$5001,G$3,Base!$B$3:$B$5001,$A$79)))</f>
        <v/>
      </c>
      <c r="H81" s="32" t="str">
        <f>IF(H$3="","",IF(COUNTIFS(Base!$A$3:$A$5001,H$3,Base!$B$3:$B$5001,$A$79,Base!$J$3:$J$5001,"&lt;&gt;")=0,"",SUMIFS(Base!$J$3:$J$5001,Base!$A$3:$A$5001,H$3,Base!$B$3:$B$5001,$A$79)))</f>
        <v/>
      </c>
      <c r="I81" s="32" t="str">
        <f>IF(I$3="","",IF(COUNTIFS(Base!$A$3:$A$5001,I$3,Base!$B$3:$B$5001,$A$79,Base!$J$3:$J$5001,"&lt;&gt;")=0,"",SUMIFS(Base!$J$3:$J$5001,Base!$A$3:$A$5001,I$3,Base!$B$3:$B$5001,$A$79)))</f>
        <v/>
      </c>
      <c r="J81" s="32" t="str">
        <f>IF(J$3="","",IF(COUNTIFS(Base!$A$3:$A$5001,J$3,Base!$B$3:$B$5001,$A$79,Base!$J$3:$J$5001,"&lt;&gt;")=0,"",SUMIFS(Base!$J$3:$J$5001,Base!$A$3:$A$5001,J$3,Base!$B$3:$B$5001,$A$79)))</f>
        <v/>
      </c>
      <c r="K81" s="32" t="str">
        <f>IF(K$3="","",IF(COUNTIFS(Base!$A$3:$A$5001,K$3,Base!$B$3:$B$5001,$A$79,Base!$J$3:$J$5001,"&lt;&gt;")=0,"",SUMIFS(Base!$J$3:$J$5001,Base!$A$3:$A$5001,K$3,Base!$B$3:$B$5001,$A$79)))</f>
        <v/>
      </c>
      <c r="L81" s="32" t="str">
        <f>IF(L$3="","",IF(COUNTIFS(Base!$A$3:$A$5001,L$3,Base!$B$3:$B$5001,$A$79,Base!$J$3:$J$5001,"&lt;&gt;")=0,"",SUMIFS(Base!$J$3:$J$5001,Base!$A$3:$A$5001,L$3,Base!$B$3:$B$5001,$A$79)))</f>
        <v/>
      </c>
      <c r="M81" s="32" t="str">
        <f>IF(M$3="","",IF(COUNTIFS(Base!$A$3:$A$5001,M$3,Base!$B$3:$B$5001,$A$79,Base!$J$3:$J$5001,"&lt;&gt;")=0,"",SUMIFS(Base!$J$3:$J$5001,Base!$A$3:$A$5001,M$3,Base!$B$3:$B$5001,$A$79)))</f>
        <v/>
      </c>
      <c r="N81" s="32" t="str">
        <f>IF(N$3="","",IF(COUNTIFS(Base!$A$3:$A$5001,N$3,Base!$B$3:$B$5001,$A$79,Base!$J$3:$J$5001,"&lt;&gt;")=0,"",SUMIFS(Base!$J$3:$J$5001,Base!$A$3:$A$5001,N$3,Base!$B$3:$B$5001,$A$79)))</f>
        <v/>
      </c>
      <c r="O81" s="32" t="str">
        <f>IF(O$3="","",IF(COUNTIFS(Base!$A$3:$A$5001,O$3,Base!$B$3:$B$5001,$A$79,Base!$J$3:$J$5001,"&lt;&gt;")=0,"",SUMIFS(Base!$J$3:$J$5001,Base!$A$3:$A$5001,O$3,Base!$B$3:$B$5001,$A$79)))</f>
        <v/>
      </c>
      <c r="P81" s="32" t="str">
        <f>IF(P$3="","",IF(COUNTIFS(Base!$A$3:$A$5001,P$3,Base!$B$3:$B$5001,$A$79,Base!$J$3:$J$5001,"&lt;&gt;")=0,"",SUMIFS(Base!$J$3:$J$5001,Base!$A$3:$A$5001,P$3,Base!$B$3:$B$5001,$A$79)))</f>
        <v/>
      </c>
      <c r="Q81" s="32" t="str">
        <f>IF(Q$3="","",IF(COUNTIFS(Base!$A$3:$A$5001,Q$3,Base!$B$3:$B$5001,$A$79,Base!$J$3:$J$5001,"&lt;&gt;")=0,"",SUMIFS(Base!$J$3:$J$5001,Base!$A$3:$A$5001,Q$3,Base!$B$3:$B$5001,$A$79)))</f>
        <v/>
      </c>
      <c r="R81" s="32" t="str">
        <f>IF(R$3="","",IF(COUNTIFS(Base!$A$3:$A$5001,R$3,Base!$B$3:$B$5001,$A$79,Base!$J$3:$J$5001,"&lt;&gt;")=0,"",SUMIFS(Base!$J$3:$J$5001,Base!$A$3:$A$5001,R$3,Base!$B$3:$B$5001,$A$79)))</f>
        <v/>
      </c>
      <c r="S81" s="32" t="str">
        <f>IF(S$3="","",IF(COUNTIFS(Base!$A$3:$A$5001,S$3,Base!$B$3:$B$5001,$A$79,Base!$J$3:$J$5001,"&lt;&gt;")=0,"",SUMIFS(Base!$J$3:$J$5001,Base!$A$3:$A$5001,S$3,Base!$B$3:$B$5001,$A$79)))</f>
        <v/>
      </c>
      <c r="T81" s="32" t="str">
        <f>IF(T$3="","",IF(COUNTIFS(Base!$A$3:$A$5001,T$3,Base!$B$3:$B$5001,$A$79,Base!$J$3:$J$5001,"&lt;&gt;")=0,"",SUMIFS(Base!$J$3:$J$5001,Base!$A$3:$A$5001,T$3,Base!$B$3:$B$5001,$A$79)))</f>
        <v/>
      </c>
      <c r="U81" s="32" t="str">
        <f>IF(U$3="","",IF(COUNTIFS(Base!$A$3:$A$5001,U$3,Base!$B$3:$B$5001,$A$79,Base!$J$3:$J$5001,"&lt;&gt;")=0,"",SUMIFS(Base!$J$3:$J$5001,Base!$A$3:$A$5001,U$3,Base!$B$3:$B$5001,$A$79)))</f>
        <v/>
      </c>
      <c r="V81" s="32" t="str">
        <f>IF(V$3="","",IF(COUNTIFS(Base!$A$3:$A$5001,V$3,Base!$B$3:$B$5001,$A$79,Base!$J$3:$J$5001,"&lt;&gt;")=0,"",SUMIFS(Base!$J$3:$J$5001,Base!$A$3:$A$5001,V$3,Base!$B$3:$B$5001,$A$79)))</f>
        <v/>
      </c>
      <c r="W81" s="32" t="str">
        <f>IF(W$3="","",IF(COUNTIFS(Base!$A$3:$A$5001,W$3,Base!$B$3:$B$5001,$A$79,Base!$J$3:$J$5001,"&lt;&gt;")=0,"",SUMIFS(Base!$J$3:$J$5001,Base!$A$3:$A$5001,W$3,Base!$B$3:$B$5001,$A$79)))</f>
        <v/>
      </c>
      <c r="X81" s="32" t="str">
        <f>IF(X$3="","",IF(COUNTIFS(Base!$A$3:$A$5001,X$3,Base!$B$3:$B$5001,$A$79,Base!$J$3:$J$5001,"&lt;&gt;")=0,"",SUMIFS(Base!$J$3:$J$5001,Base!$A$3:$A$5001,X$3,Base!$B$3:$B$5001,$A$79)))</f>
        <v/>
      </c>
      <c r="Y81" s="32" t="str">
        <f>IF(Y$3="","",IF(COUNTIFS(Base!$A$3:$A$5001,Y$3,Base!$B$3:$B$5001,$A$79,Base!$J$3:$J$5001,"&lt;&gt;")=0,"",SUMIFS(Base!$J$3:$J$5001,Base!$A$3:$A$5001,Y$3,Base!$B$3:$B$5001,$A$79)))</f>
        <v/>
      </c>
      <c r="Z81" s="32" t="str">
        <f>IF(Z$3="","",IF(COUNTIFS(Base!$A$3:$A$5001,Z$3,Base!$B$3:$B$5001,$A$79,Base!$J$3:$J$5001,"&lt;&gt;")=0,"",SUMIFS(Base!$J$3:$J$5001,Base!$A$3:$A$5001,Z$3,Base!$B$3:$B$5001,$A$79)))</f>
        <v/>
      </c>
      <c r="AA81" s="32" t="str">
        <f>IF(AA$3="","",IF(COUNTIFS(Base!$A$3:$A$5001,AA$3,Base!$B$3:$B$5001,$A$79,Base!$J$3:$J$5001,"&lt;&gt;")=0,"",SUMIFS(Base!$J$3:$J$5001,Base!$A$3:$A$5001,AA$3,Base!$B$3:$B$5001,$A$79)))</f>
        <v/>
      </c>
      <c r="AB81" s="32" t="str">
        <f>IF(AB$3="","",IF(COUNTIFS(Base!$A$3:$A$5001,AB$3,Base!$B$3:$B$5001,$A$79,Base!$J$3:$J$5001,"&lt;&gt;")=0,"",SUMIFS(Base!$J$3:$J$5001,Base!$A$3:$A$5001,AB$3,Base!$B$3:$B$5001,$A$79)))</f>
        <v/>
      </c>
      <c r="AC81" s="32" t="str">
        <f>IF(AC$3="","",IF(COUNTIFS(Base!$A$3:$A$5001,AC$3,Base!$B$3:$B$5001,$A$79,Base!$J$3:$J$5001,"&lt;&gt;")=0,"",SUMIFS(Base!$J$3:$J$5001,Base!$A$3:$A$5001,AC$3,Base!$B$3:$B$5001,$A$79)))</f>
        <v/>
      </c>
      <c r="AD81" s="32" t="str">
        <f>IF(AD$3="","",IF(COUNTIFS(Base!$A$3:$A$5001,AD$3,Base!$B$3:$B$5001,$A$79,Base!$J$3:$J$5001,"&lt;&gt;")=0,"",SUMIFS(Base!$J$3:$J$5001,Base!$A$3:$A$5001,AD$3,Base!$B$3:$B$5001,$A$79)))</f>
        <v/>
      </c>
      <c r="AE81" s="32" t="str">
        <f>IF(AE$3="","",IF(COUNTIFS(Base!$A$3:$A$5001,AE$3,Base!$B$3:$B$5001,$A$79,Base!$J$3:$J$5001,"&lt;&gt;")=0,"",SUMIFS(Base!$J$3:$J$5001,Base!$A$3:$A$5001,AE$3,Base!$B$3:$B$5001,$A$79)))</f>
        <v/>
      </c>
      <c r="AF81" s="32" t="str">
        <f>IF(AF$3="","",IF(COUNTIFS(Base!$A$3:$A$5001,AF$3,Base!$B$3:$B$5001,$A$79,Base!$J$3:$J$5001,"&lt;&gt;")=0,"",SUMIFS(Base!$J$3:$J$5001,Base!$A$3:$A$5001,AF$3,Base!$B$3:$B$5001,$A$79)))</f>
        <v/>
      </c>
      <c r="AG81" s="32" t="str">
        <f>IF(AG$3="","",IF(COUNTIFS(Base!$A$3:$A$5001,AG$3,Base!$B$3:$B$5001,$A$79,Base!$J$3:$J$5001,"&lt;&gt;")=0,"",SUMIFS(Base!$J$3:$J$5001,Base!$A$3:$A$5001,AG$3,Base!$B$3:$B$5001,$A$79)))</f>
        <v/>
      </c>
      <c r="AH81" s="32" t="str">
        <f>IF(AH$3="","",IF(COUNTIFS(Base!$A$3:$A$5001,AH$3,Base!$B$3:$B$5001,$A$79,Base!$J$3:$J$5001,"&lt;&gt;")=0,"",SUMIFS(Base!$J$3:$J$5001,Base!$A$3:$A$5001,AH$3,Base!$B$3:$B$5001,$A$79)))</f>
        <v/>
      </c>
      <c r="AI81" s="32" t="str">
        <f>IF(AI$3="","",IF(COUNTIFS(Base!$A$3:$A$5001,AI$3,Base!$B$3:$B$5001,$A$79,Base!$J$3:$J$5001,"&lt;&gt;")=0,"",SUMIFS(Base!$J$3:$J$5001,Base!$A$3:$A$5001,AI$3,Base!$B$3:$B$5001,$A$79)))</f>
        <v/>
      </c>
      <c r="AJ81" s="33" t="str">
        <f>IF(AJ$3="","",IF(COUNTIFS(Base!$A$3:$A$5001,AJ$3,Base!$B$3:$B$5001,$A$79,Base!$J$3:$J$5001,"&lt;&gt;")=0,"",SUMIFS(Base!$J$3:$J$5001,Base!$A$3:$A$5001,AJ$3,Base!$B$3:$B$5001,$A$79)))</f>
        <v/>
      </c>
      <c r="AK81" s="34" t="str">
        <f>IF(COUNT(F81:AJ81)=0,"",SUM(F81:AJ81))</f>
        <v/>
      </c>
    </row>
    <row r="82" ht="15.75" customHeight="1">
      <c r="A82" s="118"/>
      <c r="B82" s="107"/>
      <c r="C82" s="35" t="inlineStr">
        <is>
          <t xml:space="preserve">Linhas NF</t>
        </is>
      </c>
      <c r="D82" s="469" t="str">
        <f>IFERROR(1/(1/INDEX(calculos!$C$55:$K$83,MATCH("IN Linhas NF",calculos!$A$55:$A$83,0),MATCH($A$79,calculos!$C$54:$K$54,0))),"")</f>
        <v/>
      </c>
      <c r="E82" s="37"/>
      <c r="F82" s="470" t="str">
        <f>IF(F$3="","",IF(COUNTIFS(Base!$A$3:$A$5001,F$3,Base!$B$3:$B$5001,$A$79,Base!$K$3:$K$5001,"&lt;&gt;")=0,"",SUMIFS(Base!$K$3:$K$5001,Base!$A$3:$A$5001,F$3,Base!$B$3:$B$5001,$A$79)))</f>
        <v/>
      </c>
      <c r="G82" s="471" t="str">
        <f>IF(G$3="","",IF(COUNTIFS(Base!$A$3:$A$5001,G$3,Base!$B$3:$B$5001,$A$79,Base!$K$3:$K$5001,"&lt;&gt;")=0,"",SUMIFS(Base!$K$3:$K$5001,Base!$A$3:$A$5001,G$3,Base!$B$3:$B$5001,$A$79)))</f>
        <v/>
      </c>
      <c r="H82" s="471" t="str">
        <f>IF(H$3="","",IF(COUNTIFS(Base!$A$3:$A$5001,H$3,Base!$B$3:$B$5001,$A$79,Base!$K$3:$K$5001,"&lt;&gt;")=0,"",SUMIFS(Base!$K$3:$K$5001,Base!$A$3:$A$5001,H$3,Base!$B$3:$B$5001,$A$79)))</f>
        <v/>
      </c>
      <c r="I82" s="471" t="str">
        <f>IF(I$3="","",IF(COUNTIFS(Base!$A$3:$A$5001,I$3,Base!$B$3:$B$5001,$A$79,Base!$K$3:$K$5001,"&lt;&gt;")=0,"",SUMIFS(Base!$K$3:$K$5001,Base!$A$3:$A$5001,I$3,Base!$B$3:$B$5001,$A$79)))</f>
        <v/>
      </c>
      <c r="J82" s="471" t="str">
        <f>IF(J$3="","",IF(COUNTIFS(Base!$A$3:$A$5001,J$3,Base!$B$3:$B$5001,$A$79,Base!$K$3:$K$5001,"&lt;&gt;")=0,"",SUMIFS(Base!$K$3:$K$5001,Base!$A$3:$A$5001,J$3,Base!$B$3:$B$5001,$A$79)))</f>
        <v/>
      </c>
      <c r="K82" s="471" t="str">
        <f>IF(K$3="","",IF(COUNTIFS(Base!$A$3:$A$5001,K$3,Base!$B$3:$B$5001,$A$79,Base!$K$3:$K$5001,"&lt;&gt;")=0,"",SUMIFS(Base!$K$3:$K$5001,Base!$A$3:$A$5001,K$3,Base!$B$3:$B$5001,$A$79)))</f>
        <v/>
      </c>
      <c r="L82" s="471" t="str">
        <f>IF(L$3="","",IF(COUNTIFS(Base!$A$3:$A$5001,L$3,Base!$B$3:$B$5001,$A$79,Base!$K$3:$K$5001,"&lt;&gt;")=0,"",SUMIFS(Base!$K$3:$K$5001,Base!$A$3:$A$5001,L$3,Base!$B$3:$B$5001,$A$79)))</f>
        <v/>
      </c>
      <c r="M82" s="471" t="str">
        <f>IF(M$3="","",IF(COUNTIFS(Base!$A$3:$A$5001,M$3,Base!$B$3:$B$5001,$A$79,Base!$K$3:$K$5001,"&lt;&gt;")=0,"",SUMIFS(Base!$K$3:$K$5001,Base!$A$3:$A$5001,M$3,Base!$B$3:$B$5001,$A$79)))</f>
        <v/>
      </c>
      <c r="N82" s="471" t="str">
        <f>IF(N$3="","",IF(COUNTIFS(Base!$A$3:$A$5001,N$3,Base!$B$3:$B$5001,$A$79,Base!$K$3:$K$5001,"&lt;&gt;")=0,"",SUMIFS(Base!$K$3:$K$5001,Base!$A$3:$A$5001,N$3,Base!$B$3:$B$5001,$A$79)))</f>
        <v/>
      </c>
      <c r="O82" s="471" t="str">
        <f>IF(O$3="","",IF(COUNTIFS(Base!$A$3:$A$5001,O$3,Base!$B$3:$B$5001,$A$79,Base!$K$3:$K$5001,"&lt;&gt;")=0,"",SUMIFS(Base!$K$3:$K$5001,Base!$A$3:$A$5001,O$3,Base!$B$3:$B$5001,$A$79)))</f>
        <v/>
      </c>
      <c r="P82" s="471" t="str">
        <f>IF(P$3="","",IF(COUNTIFS(Base!$A$3:$A$5001,P$3,Base!$B$3:$B$5001,$A$79,Base!$K$3:$K$5001,"&lt;&gt;")=0,"",SUMIFS(Base!$K$3:$K$5001,Base!$A$3:$A$5001,P$3,Base!$B$3:$B$5001,$A$79)))</f>
        <v/>
      </c>
      <c r="Q82" s="471" t="str">
        <f>IF(Q$3="","",IF(COUNTIFS(Base!$A$3:$A$5001,Q$3,Base!$B$3:$B$5001,$A$79,Base!$K$3:$K$5001,"&lt;&gt;")=0,"",SUMIFS(Base!$K$3:$K$5001,Base!$A$3:$A$5001,Q$3,Base!$B$3:$B$5001,$A$79)))</f>
        <v/>
      </c>
      <c r="R82" s="471" t="str">
        <f>IF(R$3="","",IF(COUNTIFS(Base!$A$3:$A$5001,R$3,Base!$B$3:$B$5001,$A$79,Base!$K$3:$K$5001,"&lt;&gt;")=0,"",SUMIFS(Base!$K$3:$K$5001,Base!$A$3:$A$5001,R$3,Base!$B$3:$B$5001,$A$79)))</f>
        <v/>
      </c>
      <c r="S82" s="471" t="str">
        <f>IF(S$3="","",IF(COUNTIFS(Base!$A$3:$A$5001,S$3,Base!$B$3:$B$5001,$A$79,Base!$K$3:$K$5001,"&lt;&gt;")=0,"",SUMIFS(Base!$K$3:$K$5001,Base!$A$3:$A$5001,S$3,Base!$B$3:$B$5001,$A$79)))</f>
        <v/>
      </c>
      <c r="T82" s="471" t="str">
        <f>IF(T$3="","",IF(COUNTIFS(Base!$A$3:$A$5001,T$3,Base!$B$3:$B$5001,$A$79,Base!$K$3:$K$5001,"&lt;&gt;")=0,"",SUMIFS(Base!$K$3:$K$5001,Base!$A$3:$A$5001,T$3,Base!$B$3:$B$5001,$A$79)))</f>
        <v/>
      </c>
      <c r="U82" s="471" t="str">
        <f>IF(U$3="","",IF(COUNTIFS(Base!$A$3:$A$5001,U$3,Base!$B$3:$B$5001,$A$79,Base!$K$3:$K$5001,"&lt;&gt;")=0,"",SUMIFS(Base!$K$3:$K$5001,Base!$A$3:$A$5001,U$3,Base!$B$3:$B$5001,$A$79)))</f>
        <v/>
      </c>
      <c r="V82" s="471" t="str">
        <f>IF(V$3="","",IF(COUNTIFS(Base!$A$3:$A$5001,V$3,Base!$B$3:$B$5001,$A$79,Base!$K$3:$K$5001,"&lt;&gt;")=0,"",SUMIFS(Base!$K$3:$K$5001,Base!$A$3:$A$5001,V$3,Base!$B$3:$B$5001,$A$79)))</f>
        <v/>
      </c>
      <c r="W82" s="471" t="str">
        <f>IF(W$3="","",IF(COUNTIFS(Base!$A$3:$A$5001,W$3,Base!$B$3:$B$5001,$A$79,Base!$K$3:$K$5001,"&lt;&gt;")=0,"",SUMIFS(Base!$K$3:$K$5001,Base!$A$3:$A$5001,W$3,Base!$B$3:$B$5001,$A$79)))</f>
        <v/>
      </c>
      <c r="X82" s="471" t="str">
        <f>IF(X$3="","",IF(COUNTIFS(Base!$A$3:$A$5001,X$3,Base!$B$3:$B$5001,$A$79,Base!$K$3:$K$5001,"&lt;&gt;")=0,"",SUMIFS(Base!$K$3:$K$5001,Base!$A$3:$A$5001,X$3,Base!$B$3:$B$5001,$A$79)))</f>
        <v/>
      </c>
      <c r="Y82" s="471" t="str">
        <f>IF(Y$3="","",IF(COUNTIFS(Base!$A$3:$A$5001,Y$3,Base!$B$3:$B$5001,$A$79,Base!$K$3:$K$5001,"&lt;&gt;")=0,"",SUMIFS(Base!$K$3:$K$5001,Base!$A$3:$A$5001,Y$3,Base!$B$3:$B$5001,$A$79)))</f>
        <v/>
      </c>
      <c r="Z82" s="471" t="str">
        <f>IF(Z$3="","",IF(COUNTIFS(Base!$A$3:$A$5001,Z$3,Base!$B$3:$B$5001,$A$79,Base!$K$3:$K$5001,"&lt;&gt;")=0,"",SUMIFS(Base!$K$3:$K$5001,Base!$A$3:$A$5001,Z$3,Base!$B$3:$B$5001,$A$79)))</f>
        <v/>
      </c>
      <c r="AA82" s="471" t="str">
        <f>IF(AA$3="","",IF(COUNTIFS(Base!$A$3:$A$5001,AA$3,Base!$B$3:$B$5001,$A$79,Base!$K$3:$K$5001,"&lt;&gt;")=0,"",SUMIFS(Base!$K$3:$K$5001,Base!$A$3:$A$5001,AA$3,Base!$B$3:$B$5001,$A$79)))</f>
        <v/>
      </c>
      <c r="AB82" s="471" t="str">
        <f>IF(AB$3="","",IF(COUNTIFS(Base!$A$3:$A$5001,AB$3,Base!$B$3:$B$5001,$A$79,Base!$K$3:$K$5001,"&lt;&gt;")=0,"",SUMIFS(Base!$K$3:$K$5001,Base!$A$3:$A$5001,AB$3,Base!$B$3:$B$5001,$A$79)))</f>
        <v/>
      </c>
      <c r="AC82" s="471" t="str">
        <f>IF(AC$3="","",IF(COUNTIFS(Base!$A$3:$A$5001,AC$3,Base!$B$3:$B$5001,$A$79,Base!$K$3:$K$5001,"&lt;&gt;")=0,"",SUMIFS(Base!$K$3:$K$5001,Base!$A$3:$A$5001,AC$3,Base!$B$3:$B$5001,$A$79)))</f>
        <v/>
      </c>
      <c r="AD82" s="471" t="str">
        <f>IF(AD$3="","",IF(COUNTIFS(Base!$A$3:$A$5001,AD$3,Base!$B$3:$B$5001,$A$79,Base!$K$3:$K$5001,"&lt;&gt;")=0,"",SUMIFS(Base!$K$3:$K$5001,Base!$A$3:$A$5001,AD$3,Base!$B$3:$B$5001,$A$79)))</f>
        <v/>
      </c>
      <c r="AE82" s="471" t="str">
        <f>IF(AE$3="","",IF(COUNTIFS(Base!$A$3:$A$5001,AE$3,Base!$B$3:$B$5001,$A$79,Base!$K$3:$K$5001,"&lt;&gt;")=0,"",SUMIFS(Base!$K$3:$K$5001,Base!$A$3:$A$5001,AE$3,Base!$B$3:$B$5001,$A$79)))</f>
        <v/>
      </c>
      <c r="AF82" s="471" t="str">
        <f>IF(AF$3="","",IF(COUNTIFS(Base!$A$3:$A$5001,AF$3,Base!$B$3:$B$5001,$A$79,Base!$K$3:$K$5001,"&lt;&gt;")=0,"",SUMIFS(Base!$K$3:$K$5001,Base!$A$3:$A$5001,AF$3,Base!$B$3:$B$5001,$A$79)))</f>
        <v/>
      </c>
      <c r="AG82" s="471" t="str">
        <f>IF(AG$3="","",IF(COUNTIFS(Base!$A$3:$A$5001,AG$3,Base!$B$3:$B$5001,$A$79,Base!$K$3:$K$5001,"&lt;&gt;")=0,"",SUMIFS(Base!$K$3:$K$5001,Base!$A$3:$A$5001,AG$3,Base!$B$3:$B$5001,$A$79)))</f>
        <v/>
      </c>
      <c r="AH82" s="471" t="str">
        <f>IF(AH$3="","",IF(COUNTIFS(Base!$A$3:$A$5001,AH$3,Base!$B$3:$B$5001,$A$79,Base!$K$3:$K$5001,"&lt;&gt;")=0,"",SUMIFS(Base!$K$3:$K$5001,Base!$A$3:$A$5001,AH$3,Base!$B$3:$B$5001,$A$79)))</f>
        <v/>
      </c>
      <c r="AI82" s="471" t="str">
        <f>IF(AI$3="","",IF(COUNTIFS(Base!$A$3:$A$5001,AI$3,Base!$B$3:$B$5001,$A$79,Base!$K$3:$K$5001,"&lt;&gt;")=0,"",SUMIFS(Base!$K$3:$K$5001,Base!$A$3:$A$5001,AI$3,Base!$B$3:$B$5001,$A$79)))</f>
        <v/>
      </c>
      <c r="AJ82" s="472" t="str">
        <f>IF(AJ$3="","",IF(COUNTIFS(Base!$A$3:$A$5001,AJ$3,Base!$B$3:$B$5001,$A$79,Base!$K$3:$K$5001,"&lt;&gt;")=0,"",SUMIFS(Base!$K$3:$K$5001,Base!$A$3:$A$5001,AJ$3,Base!$B$3:$B$5001,$A$79)))</f>
        <v/>
      </c>
      <c r="AK82" s="469" t="str">
        <f>IF(COUNT(F82:AJ82)=0,"",SUM(F82:AJ82))</f>
        <v/>
      </c>
    </row>
    <row r="83" ht="15.75" customHeight="1">
      <c r="A83" s="118"/>
      <c r="B83" s="108" t="inlineStr">
        <is>
          <t xml:space="preserve">OUT</t>
        </is>
      </c>
      <c r="C83" s="41" t="inlineStr">
        <is>
          <t xml:space="preserve">Veículos Expedidos</t>
        </is>
      </c>
      <c r="D83" s="42" t="str">
        <f>IFERROR(1/(1/INDEX(calculos!$C$55:$K$83,MATCH("OUT Veículos Expedidos",calculos!$A$55:$A$83,0),MATCH($A$79,calculos!$C$54:$K$54,0))),"")</f>
        <v/>
      </c>
      <c r="E83" s="43"/>
      <c r="F83" s="44" t="str">
        <f>IF(F$3="","",IF(COUNTIFS(Base!$A$3:$A$5001,F$3,Base!$B$3:$B$5001,$A$79,Base!$L$3:$L$5001,"&lt;&gt;")=0,"",SUMIFS(Base!$L$3:$L$5001,Base!$A$3:$A$5001,F$3,Base!$B$3:$B$5001,$A$79)))</f>
        <v/>
      </c>
      <c r="G83" s="45" t="str">
        <f>IF(G$3="","",IF(COUNTIFS(Base!$A$3:$A$5001,G$3,Base!$B$3:$B$5001,$A$79,Base!$L$3:$L$5001,"&lt;&gt;")=0,"",SUMIFS(Base!$L$3:$L$5001,Base!$A$3:$A$5001,G$3,Base!$B$3:$B$5001,$A$79)))</f>
        <v/>
      </c>
      <c r="H83" s="45" t="str">
        <f>IF(H$3="","",IF(COUNTIFS(Base!$A$3:$A$5001,H$3,Base!$B$3:$B$5001,$A$79,Base!$L$3:$L$5001,"&lt;&gt;")=0,"",SUMIFS(Base!$L$3:$L$5001,Base!$A$3:$A$5001,H$3,Base!$B$3:$B$5001,$A$79)))</f>
        <v/>
      </c>
      <c r="I83" s="45" t="str">
        <f>IF(I$3="","",IF(COUNTIFS(Base!$A$3:$A$5001,I$3,Base!$B$3:$B$5001,$A$79,Base!$L$3:$L$5001,"&lt;&gt;")=0,"",SUMIFS(Base!$L$3:$L$5001,Base!$A$3:$A$5001,I$3,Base!$B$3:$B$5001,$A$79)))</f>
        <v/>
      </c>
      <c r="J83" s="45" t="str">
        <f>IF(J$3="","",IF(COUNTIFS(Base!$A$3:$A$5001,J$3,Base!$B$3:$B$5001,$A$79,Base!$L$3:$L$5001,"&lt;&gt;")=0,"",SUMIFS(Base!$L$3:$L$5001,Base!$A$3:$A$5001,J$3,Base!$B$3:$B$5001,$A$79)))</f>
        <v/>
      </c>
      <c r="K83" s="45" t="str">
        <f>IF(K$3="","",IF(COUNTIFS(Base!$A$3:$A$5001,K$3,Base!$B$3:$B$5001,$A$79,Base!$L$3:$L$5001,"&lt;&gt;")=0,"",SUMIFS(Base!$L$3:$L$5001,Base!$A$3:$A$5001,K$3,Base!$B$3:$B$5001,$A$79)))</f>
        <v/>
      </c>
      <c r="L83" s="45" t="str">
        <f>IF(L$3="","",IF(COUNTIFS(Base!$A$3:$A$5001,L$3,Base!$B$3:$B$5001,$A$79,Base!$L$3:$L$5001,"&lt;&gt;")=0,"",SUMIFS(Base!$L$3:$L$5001,Base!$A$3:$A$5001,L$3,Base!$B$3:$B$5001,$A$79)))</f>
        <v/>
      </c>
      <c r="M83" s="45" t="str">
        <f>IF(M$3="","",IF(COUNTIFS(Base!$A$3:$A$5001,M$3,Base!$B$3:$B$5001,$A$79,Base!$L$3:$L$5001,"&lt;&gt;")=0,"",SUMIFS(Base!$L$3:$L$5001,Base!$A$3:$A$5001,M$3,Base!$B$3:$B$5001,$A$79)))</f>
        <v/>
      </c>
      <c r="N83" s="45" t="str">
        <f>IF(N$3="","",IF(COUNTIFS(Base!$A$3:$A$5001,N$3,Base!$B$3:$B$5001,$A$79,Base!$L$3:$L$5001,"&lt;&gt;")=0,"",SUMIFS(Base!$L$3:$L$5001,Base!$A$3:$A$5001,N$3,Base!$B$3:$B$5001,$A$79)))</f>
        <v/>
      </c>
      <c r="O83" s="45" t="str">
        <f>IF(O$3="","",IF(COUNTIFS(Base!$A$3:$A$5001,O$3,Base!$B$3:$B$5001,$A$79,Base!$L$3:$L$5001,"&lt;&gt;")=0,"",SUMIFS(Base!$L$3:$L$5001,Base!$A$3:$A$5001,O$3,Base!$B$3:$B$5001,$A$79)))</f>
        <v/>
      </c>
      <c r="P83" s="45" t="str">
        <f>IF(P$3="","",IF(COUNTIFS(Base!$A$3:$A$5001,P$3,Base!$B$3:$B$5001,$A$79,Base!$L$3:$L$5001,"&lt;&gt;")=0,"",SUMIFS(Base!$L$3:$L$5001,Base!$A$3:$A$5001,P$3,Base!$B$3:$B$5001,$A$79)))</f>
        <v/>
      </c>
      <c r="Q83" s="45" t="str">
        <f>IF(Q$3="","",IF(COUNTIFS(Base!$A$3:$A$5001,Q$3,Base!$B$3:$B$5001,$A$79,Base!$L$3:$L$5001,"&lt;&gt;")=0,"",SUMIFS(Base!$L$3:$L$5001,Base!$A$3:$A$5001,Q$3,Base!$B$3:$B$5001,$A$79)))</f>
        <v/>
      </c>
      <c r="R83" s="45" t="str">
        <f>IF(R$3="","",IF(COUNTIFS(Base!$A$3:$A$5001,R$3,Base!$B$3:$B$5001,$A$79,Base!$L$3:$L$5001,"&lt;&gt;")=0,"",SUMIFS(Base!$L$3:$L$5001,Base!$A$3:$A$5001,R$3,Base!$B$3:$B$5001,$A$79)))</f>
        <v/>
      </c>
      <c r="S83" s="45" t="str">
        <f>IF(S$3="","",IF(COUNTIFS(Base!$A$3:$A$5001,S$3,Base!$B$3:$B$5001,$A$79,Base!$L$3:$L$5001,"&lt;&gt;")=0,"",SUMIFS(Base!$L$3:$L$5001,Base!$A$3:$A$5001,S$3,Base!$B$3:$B$5001,$A$79)))</f>
        <v/>
      </c>
      <c r="T83" s="45" t="str">
        <f>IF(T$3="","",IF(COUNTIFS(Base!$A$3:$A$5001,T$3,Base!$B$3:$B$5001,$A$79,Base!$L$3:$L$5001,"&lt;&gt;")=0,"",SUMIFS(Base!$L$3:$L$5001,Base!$A$3:$A$5001,T$3,Base!$B$3:$B$5001,$A$79)))</f>
        <v/>
      </c>
      <c r="U83" s="45" t="str">
        <f>IF(U$3="","",IF(COUNTIFS(Base!$A$3:$A$5001,U$3,Base!$B$3:$B$5001,$A$79,Base!$L$3:$L$5001,"&lt;&gt;")=0,"",SUMIFS(Base!$L$3:$L$5001,Base!$A$3:$A$5001,U$3,Base!$B$3:$B$5001,$A$79)))</f>
        <v/>
      </c>
      <c r="V83" s="45" t="str">
        <f>IF(V$3="","",IF(COUNTIFS(Base!$A$3:$A$5001,V$3,Base!$B$3:$B$5001,$A$79,Base!$L$3:$L$5001,"&lt;&gt;")=0,"",SUMIFS(Base!$L$3:$L$5001,Base!$A$3:$A$5001,V$3,Base!$B$3:$B$5001,$A$79)))</f>
        <v/>
      </c>
      <c r="W83" s="45" t="str">
        <f>IF(W$3="","",IF(COUNTIFS(Base!$A$3:$A$5001,W$3,Base!$B$3:$B$5001,$A$79,Base!$L$3:$L$5001,"&lt;&gt;")=0,"",SUMIFS(Base!$L$3:$L$5001,Base!$A$3:$A$5001,W$3,Base!$B$3:$B$5001,$A$79)))</f>
        <v/>
      </c>
      <c r="X83" s="45" t="str">
        <f>IF(X$3="","",IF(COUNTIFS(Base!$A$3:$A$5001,X$3,Base!$B$3:$B$5001,$A$79,Base!$L$3:$L$5001,"&lt;&gt;")=0,"",SUMIFS(Base!$L$3:$L$5001,Base!$A$3:$A$5001,X$3,Base!$B$3:$B$5001,$A$79)))</f>
        <v/>
      </c>
      <c r="Y83" s="45" t="str">
        <f>IF(Y$3="","",IF(COUNTIFS(Base!$A$3:$A$5001,Y$3,Base!$B$3:$B$5001,$A$79,Base!$L$3:$L$5001,"&lt;&gt;")=0,"",SUMIFS(Base!$L$3:$L$5001,Base!$A$3:$A$5001,Y$3,Base!$B$3:$B$5001,$A$79)))</f>
        <v/>
      </c>
      <c r="Z83" s="45" t="str">
        <f>IF(Z$3="","",IF(COUNTIFS(Base!$A$3:$A$5001,Z$3,Base!$B$3:$B$5001,$A$79,Base!$L$3:$L$5001,"&lt;&gt;")=0,"",SUMIFS(Base!$L$3:$L$5001,Base!$A$3:$A$5001,Z$3,Base!$B$3:$B$5001,$A$79)))</f>
        <v/>
      </c>
      <c r="AA83" s="45" t="str">
        <f>IF(AA$3="","",IF(COUNTIFS(Base!$A$3:$A$5001,AA$3,Base!$B$3:$B$5001,$A$79,Base!$L$3:$L$5001,"&lt;&gt;")=0,"",SUMIFS(Base!$L$3:$L$5001,Base!$A$3:$A$5001,AA$3,Base!$B$3:$B$5001,$A$79)))</f>
        <v/>
      </c>
      <c r="AB83" s="45" t="str">
        <f>IF(AB$3="","",IF(COUNTIFS(Base!$A$3:$A$5001,AB$3,Base!$B$3:$B$5001,$A$79,Base!$L$3:$L$5001,"&lt;&gt;")=0,"",SUMIFS(Base!$L$3:$L$5001,Base!$A$3:$A$5001,AB$3,Base!$B$3:$B$5001,$A$79)))</f>
        <v/>
      </c>
      <c r="AC83" s="45" t="str">
        <f>IF(AC$3="","",IF(COUNTIFS(Base!$A$3:$A$5001,AC$3,Base!$B$3:$B$5001,$A$79,Base!$L$3:$L$5001,"&lt;&gt;")=0,"",SUMIFS(Base!$L$3:$L$5001,Base!$A$3:$A$5001,AC$3,Base!$B$3:$B$5001,$A$79)))</f>
        <v/>
      </c>
      <c r="AD83" s="45" t="str">
        <f>IF(AD$3="","",IF(COUNTIFS(Base!$A$3:$A$5001,AD$3,Base!$B$3:$B$5001,$A$79,Base!$L$3:$L$5001,"&lt;&gt;")=0,"",SUMIFS(Base!$L$3:$L$5001,Base!$A$3:$A$5001,AD$3,Base!$B$3:$B$5001,$A$79)))</f>
        <v/>
      </c>
      <c r="AE83" s="45" t="str">
        <f>IF(AE$3="","",IF(COUNTIFS(Base!$A$3:$A$5001,AE$3,Base!$B$3:$B$5001,$A$79,Base!$L$3:$L$5001,"&lt;&gt;")=0,"",SUMIFS(Base!$L$3:$L$5001,Base!$A$3:$A$5001,AE$3,Base!$B$3:$B$5001,$A$79)))</f>
        <v/>
      </c>
      <c r="AF83" s="45" t="str">
        <f>IF(AF$3="","",IF(COUNTIFS(Base!$A$3:$A$5001,AF$3,Base!$B$3:$B$5001,$A$79,Base!$L$3:$L$5001,"&lt;&gt;")=0,"",SUMIFS(Base!$L$3:$L$5001,Base!$A$3:$A$5001,AF$3,Base!$B$3:$B$5001,$A$79)))</f>
        <v/>
      </c>
      <c r="AG83" s="45" t="str">
        <f>IF(AG$3="","",IF(COUNTIFS(Base!$A$3:$A$5001,AG$3,Base!$B$3:$B$5001,$A$79,Base!$L$3:$L$5001,"&lt;&gt;")=0,"",SUMIFS(Base!$L$3:$L$5001,Base!$A$3:$A$5001,AG$3,Base!$B$3:$B$5001,$A$79)))</f>
        <v/>
      </c>
      <c r="AH83" s="45" t="str">
        <f>IF(AH$3="","",IF(COUNTIFS(Base!$A$3:$A$5001,AH$3,Base!$B$3:$B$5001,$A$79,Base!$L$3:$L$5001,"&lt;&gt;")=0,"",SUMIFS(Base!$L$3:$L$5001,Base!$A$3:$A$5001,AH$3,Base!$B$3:$B$5001,$A$79)))</f>
        <v/>
      </c>
      <c r="AI83" s="45" t="str">
        <f>IF(AI$3="","",IF(COUNTIFS(Base!$A$3:$A$5001,AI$3,Base!$B$3:$B$5001,$A$79,Base!$L$3:$L$5001,"&lt;&gt;")=0,"",SUMIFS(Base!$L$3:$L$5001,Base!$A$3:$A$5001,AI$3,Base!$B$3:$B$5001,$A$79)))</f>
        <v/>
      </c>
      <c r="AJ83" s="46" t="str">
        <f>IF(AJ$3="","",IF(COUNTIFS(Base!$A$3:$A$5001,AJ$3,Base!$B$3:$B$5001,$A$79,Base!$L$3:$L$5001,"&lt;&gt;")=0,"",SUMIFS(Base!$L$3:$L$5001,Base!$A$3:$A$5001,AJ$3,Base!$B$3:$B$5001,$A$79)))</f>
        <v/>
      </c>
      <c r="AK83" s="47" t="str">
        <f>IF(COUNT(F83:AJ83)=0,"",SUM(F83:AJ83))</f>
        <v/>
      </c>
    </row>
    <row r="84" ht="15.75" customHeight="1">
      <c r="A84" s="118"/>
      <c r="B84" s="109"/>
      <c r="C84" s="48" t="inlineStr">
        <is>
          <t xml:space="preserve">Pallets Movimentados</t>
        </is>
      </c>
      <c r="D84" s="49" t="str">
        <f>IFERROR(1/(1/INDEX(calculos!$C$55:$K$83,MATCH("OUT Pallets Movimentados",calculos!$A$55:$A$83,0),MATCH($A$79,calculos!$C$54:$K$54,0))),"")</f>
        <v/>
      </c>
      <c r="E84" s="50"/>
      <c r="F84" s="51" t="str">
        <f>IF(F$3="","",IF(COUNTIFS(Base!$A$3:$A$5001,F$3,Base!$B$3:$B$5001,$A$79,Base!$M$3:$M$5001,"&lt;&gt;")=0,"",SUMIFS(Base!$M$3:$M$5001,Base!$A$3:$A$5001,F$3,Base!$B$3:$B$5001,$A$79)))</f>
        <v/>
      </c>
      <c r="G84" s="52" t="str">
        <f>IF(G$3="","",IF(COUNTIFS(Base!$A$3:$A$5001,G$3,Base!$B$3:$B$5001,$A$79,Base!$M$3:$M$5001,"&lt;&gt;")=0,"",SUMIFS(Base!$M$3:$M$5001,Base!$A$3:$A$5001,G$3,Base!$B$3:$B$5001,$A$79)))</f>
        <v/>
      </c>
      <c r="H84" s="52" t="str">
        <f>IF(H$3="","",IF(COUNTIFS(Base!$A$3:$A$5001,H$3,Base!$B$3:$B$5001,$A$79,Base!$M$3:$M$5001,"&lt;&gt;")=0,"",SUMIFS(Base!$M$3:$M$5001,Base!$A$3:$A$5001,H$3,Base!$B$3:$B$5001,$A$79)))</f>
        <v/>
      </c>
      <c r="I84" s="52" t="str">
        <f>IF(I$3="","",IF(COUNTIFS(Base!$A$3:$A$5001,I$3,Base!$B$3:$B$5001,$A$79,Base!$M$3:$M$5001,"&lt;&gt;")=0,"",SUMIFS(Base!$M$3:$M$5001,Base!$A$3:$A$5001,I$3,Base!$B$3:$B$5001,$A$79)))</f>
        <v/>
      </c>
      <c r="J84" s="52" t="str">
        <f>IF(J$3="","",IF(COUNTIFS(Base!$A$3:$A$5001,J$3,Base!$B$3:$B$5001,$A$79,Base!$M$3:$M$5001,"&lt;&gt;")=0,"",SUMIFS(Base!$M$3:$M$5001,Base!$A$3:$A$5001,J$3,Base!$B$3:$B$5001,$A$79)))</f>
        <v/>
      </c>
      <c r="K84" s="52" t="str">
        <f>IF(K$3="","",IF(COUNTIFS(Base!$A$3:$A$5001,K$3,Base!$B$3:$B$5001,$A$79,Base!$M$3:$M$5001,"&lt;&gt;")=0,"",SUMIFS(Base!$M$3:$M$5001,Base!$A$3:$A$5001,K$3,Base!$B$3:$B$5001,$A$79)))</f>
        <v/>
      </c>
      <c r="L84" s="52" t="str">
        <f>IF(L$3="","",IF(COUNTIFS(Base!$A$3:$A$5001,L$3,Base!$B$3:$B$5001,$A$79,Base!$M$3:$M$5001,"&lt;&gt;")=0,"",SUMIFS(Base!$M$3:$M$5001,Base!$A$3:$A$5001,L$3,Base!$B$3:$B$5001,$A$79)))</f>
        <v/>
      </c>
      <c r="M84" s="52" t="str">
        <f>IF(M$3="","",IF(COUNTIFS(Base!$A$3:$A$5001,M$3,Base!$B$3:$B$5001,$A$79,Base!$M$3:$M$5001,"&lt;&gt;")=0,"",SUMIFS(Base!$M$3:$M$5001,Base!$A$3:$A$5001,M$3,Base!$B$3:$B$5001,$A$79)))</f>
        <v/>
      </c>
      <c r="N84" s="52" t="str">
        <f>IF(N$3="","",IF(COUNTIFS(Base!$A$3:$A$5001,N$3,Base!$B$3:$B$5001,$A$79,Base!$M$3:$M$5001,"&lt;&gt;")=0,"",SUMIFS(Base!$M$3:$M$5001,Base!$A$3:$A$5001,N$3,Base!$B$3:$B$5001,$A$79)))</f>
        <v/>
      </c>
      <c r="O84" s="52" t="str">
        <f>IF(O$3="","",IF(COUNTIFS(Base!$A$3:$A$5001,O$3,Base!$B$3:$B$5001,$A$79,Base!$M$3:$M$5001,"&lt;&gt;")=0,"",SUMIFS(Base!$M$3:$M$5001,Base!$A$3:$A$5001,O$3,Base!$B$3:$B$5001,$A$79)))</f>
        <v/>
      </c>
      <c r="P84" s="52" t="str">
        <f>IF(P$3="","",IF(COUNTIFS(Base!$A$3:$A$5001,P$3,Base!$B$3:$B$5001,$A$79,Base!$M$3:$M$5001,"&lt;&gt;")=0,"",SUMIFS(Base!$M$3:$M$5001,Base!$A$3:$A$5001,P$3,Base!$B$3:$B$5001,$A$79)))</f>
        <v/>
      </c>
      <c r="Q84" s="52" t="str">
        <f>IF(Q$3="","",IF(COUNTIFS(Base!$A$3:$A$5001,Q$3,Base!$B$3:$B$5001,$A$79,Base!$M$3:$M$5001,"&lt;&gt;")=0,"",SUMIFS(Base!$M$3:$M$5001,Base!$A$3:$A$5001,Q$3,Base!$B$3:$B$5001,$A$79)))</f>
        <v/>
      </c>
      <c r="R84" s="52" t="str">
        <f>IF(R$3="","",IF(COUNTIFS(Base!$A$3:$A$5001,R$3,Base!$B$3:$B$5001,$A$79,Base!$M$3:$M$5001,"&lt;&gt;")=0,"",SUMIFS(Base!$M$3:$M$5001,Base!$A$3:$A$5001,R$3,Base!$B$3:$B$5001,$A$79)))</f>
        <v/>
      </c>
      <c r="S84" s="52" t="str">
        <f>IF(S$3="","",IF(COUNTIFS(Base!$A$3:$A$5001,S$3,Base!$B$3:$B$5001,$A$79,Base!$M$3:$M$5001,"&lt;&gt;")=0,"",SUMIFS(Base!$M$3:$M$5001,Base!$A$3:$A$5001,S$3,Base!$B$3:$B$5001,$A$79)))</f>
        <v/>
      </c>
      <c r="T84" s="52" t="str">
        <f>IF(T$3="","",IF(COUNTIFS(Base!$A$3:$A$5001,T$3,Base!$B$3:$B$5001,$A$79,Base!$M$3:$M$5001,"&lt;&gt;")=0,"",SUMIFS(Base!$M$3:$M$5001,Base!$A$3:$A$5001,T$3,Base!$B$3:$B$5001,$A$79)))</f>
        <v/>
      </c>
      <c r="U84" s="52" t="str">
        <f>IF(U$3="","",IF(COUNTIFS(Base!$A$3:$A$5001,U$3,Base!$B$3:$B$5001,$A$79,Base!$M$3:$M$5001,"&lt;&gt;")=0,"",SUMIFS(Base!$M$3:$M$5001,Base!$A$3:$A$5001,U$3,Base!$B$3:$B$5001,$A$79)))</f>
        <v/>
      </c>
      <c r="V84" s="52" t="str">
        <f>IF(V$3="","",IF(COUNTIFS(Base!$A$3:$A$5001,V$3,Base!$B$3:$B$5001,$A$79,Base!$M$3:$M$5001,"&lt;&gt;")=0,"",SUMIFS(Base!$M$3:$M$5001,Base!$A$3:$A$5001,V$3,Base!$B$3:$B$5001,$A$79)))</f>
        <v/>
      </c>
      <c r="W84" s="52" t="str">
        <f>IF(W$3="","",IF(COUNTIFS(Base!$A$3:$A$5001,W$3,Base!$B$3:$B$5001,$A$79,Base!$M$3:$M$5001,"&lt;&gt;")=0,"",SUMIFS(Base!$M$3:$M$5001,Base!$A$3:$A$5001,W$3,Base!$B$3:$B$5001,$A$79)))</f>
        <v/>
      </c>
      <c r="X84" s="52" t="str">
        <f>IF(X$3="","",IF(COUNTIFS(Base!$A$3:$A$5001,X$3,Base!$B$3:$B$5001,$A$79,Base!$M$3:$M$5001,"&lt;&gt;")=0,"",SUMIFS(Base!$M$3:$M$5001,Base!$A$3:$A$5001,X$3,Base!$B$3:$B$5001,$A$79)))</f>
        <v/>
      </c>
      <c r="Y84" s="52" t="str">
        <f>IF(Y$3="","",IF(COUNTIFS(Base!$A$3:$A$5001,Y$3,Base!$B$3:$B$5001,$A$79,Base!$M$3:$M$5001,"&lt;&gt;")=0,"",SUMIFS(Base!$M$3:$M$5001,Base!$A$3:$A$5001,Y$3,Base!$B$3:$B$5001,$A$79)))</f>
        <v/>
      </c>
      <c r="Z84" s="52" t="str">
        <f>IF(Z$3="","",IF(COUNTIFS(Base!$A$3:$A$5001,Z$3,Base!$B$3:$B$5001,$A$79,Base!$M$3:$M$5001,"&lt;&gt;")=0,"",SUMIFS(Base!$M$3:$M$5001,Base!$A$3:$A$5001,Z$3,Base!$B$3:$B$5001,$A$79)))</f>
        <v/>
      </c>
      <c r="AA84" s="52" t="str">
        <f>IF(AA$3="","",IF(COUNTIFS(Base!$A$3:$A$5001,AA$3,Base!$B$3:$B$5001,$A$79,Base!$M$3:$M$5001,"&lt;&gt;")=0,"",SUMIFS(Base!$M$3:$M$5001,Base!$A$3:$A$5001,AA$3,Base!$B$3:$B$5001,$A$79)))</f>
        <v/>
      </c>
      <c r="AB84" s="52" t="str">
        <f>IF(AB$3="","",IF(COUNTIFS(Base!$A$3:$A$5001,AB$3,Base!$B$3:$B$5001,$A$79,Base!$M$3:$M$5001,"&lt;&gt;")=0,"",SUMIFS(Base!$M$3:$M$5001,Base!$A$3:$A$5001,AB$3,Base!$B$3:$B$5001,$A$79)))</f>
        <v/>
      </c>
      <c r="AC84" s="52" t="str">
        <f>IF(AC$3="","",IF(COUNTIFS(Base!$A$3:$A$5001,AC$3,Base!$B$3:$B$5001,$A$79,Base!$M$3:$M$5001,"&lt;&gt;")=0,"",SUMIFS(Base!$M$3:$M$5001,Base!$A$3:$A$5001,AC$3,Base!$B$3:$B$5001,$A$79)))</f>
        <v/>
      </c>
      <c r="AD84" s="52" t="str">
        <f>IF(AD$3="","",IF(COUNTIFS(Base!$A$3:$A$5001,AD$3,Base!$B$3:$B$5001,$A$79,Base!$M$3:$M$5001,"&lt;&gt;")=0,"",SUMIFS(Base!$M$3:$M$5001,Base!$A$3:$A$5001,AD$3,Base!$B$3:$B$5001,$A$79)))</f>
        <v/>
      </c>
      <c r="AE84" s="52" t="str">
        <f>IF(AE$3="","",IF(COUNTIFS(Base!$A$3:$A$5001,AE$3,Base!$B$3:$B$5001,$A$79,Base!$M$3:$M$5001,"&lt;&gt;")=0,"",SUMIFS(Base!$M$3:$M$5001,Base!$A$3:$A$5001,AE$3,Base!$B$3:$B$5001,$A$79)))</f>
        <v/>
      </c>
      <c r="AF84" s="52" t="str">
        <f>IF(AF$3="","",IF(COUNTIFS(Base!$A$3:$A$5001,AF$3,Base!$B$3:$B$5001,$A$79,Base!$M$3:$M$5001,"&lt;&gt;")=0,"",SUMIFS(Base!$M$3:$M$5001,Base!$A$3:$A$5001,AF$3,Base!$B$3:$B$5001,$A$79)))</f>
        <v/>
      </c>
      <c r="AG84" s="52" t="str">
        <f>IF(AG$3="","",IF(COUNTIFS(Base!$A$3:$A$5001,AG$3,Base!$B$3:$B$5001,$A$79,Base!$M$3:$M$5001,"&lt;&gt;")=0,"",SUMIFS(Base!$M$3:$M$5001,Base!$A$3:$A$5001,AG$3,Base!$B$3:$B$5001,$A$79)))</f>
        <v/>
      </c>
      <c r="AH84" s="52" t="str">
        <f>IF(AH$3="","",IF(COUNTIFS(Base!$A$3:$A$5001,AH$3,Base!$B$3:$B$5001,$A$79,Base!$M$3:$M$5001,"&lt;&gt;")=0,"",SUMIFS(Base!$M$3:$M$5001,Base!$A$3:$A$5001,AH$3,Base!$B$3:$B$5001,$A$79)))</f>
        <v/>
      </c>
      <c r="AI84" s="52" t="str">
        <f>IF(AI$3="","",IF(COUNTIFS(Base!$A$3:$A$5001,AI$3,Base!$B$3:$B$5001,$A$79,Base!$M$3:$M$5001,"&lt;&gt;")=0,"",SUMIFS(Base!$M$3:$M$5001,Base!$A$3:$A$5001,AI$3,Base!$B$3:$B$5001,$A$79)))</f>
        <v/>
      </c>
      <c r="AJ84" s="53" t="str">
        <f>IF(AJ$3="","",IF(COUNTIFS(Base!$A$3:$A$5001,AJ$3,Base!$B$3:$B$5001,$A$79,Base!$M$3:$M$5001,"&lt;&gt;")=0,"",SUMIFS(Base!$M$3:$M$5001,Base!$A$3:$A$5001,AJ$3,Base!$B$3:$B$5001,$A$79)))</f>
        <v/>
      </c>
      <c r="AK84" s="54" t="str">
        <f>IF(COUNT(F84:AJ84)=0,"",SUM(F84:AJ84))</f>
        <v/>
      </c>
    </row>
    <row r="85" ht="15.75" customHeight="1">
      <c r="A85" s="118"/>
      <c r="B85" s="109"/>
      <c r="C85" s="48" t="inlineStr">
        <is>
          <t xml:space="preserve">Peças Movimentadas</t>
        </is>
      </c>
      <c r="D85" s="49" t="str">
        <f>IFERROR(1/(1/INDEX(calculos!$C$55:$K$83,MATCH("OUT Peças Movimentadas",calculos!$A$55:$A$83,0),MATCH($A$79,calculos!$C$54:$K$54,0))),"")</f>
        <v/>
      </c>
      <c r="E85" s="50"/>
      <c r="F85" s="51" t="str">
        <f>IF(F$3="","",IF(COUNTIFS(Base!$A$3:$A$5001,F$3,Base!$B$3:$B$5001,$A$79,Base!$S$3:$S$5001,"&lt;&gt;")=0,"",SUMIFS(Base!$S$3:$S$5001,Base!$A$3:$A$5001,F$3,Base!$B$3:$B$5001,$A$79)))</f>
        <v/>
      </c>
      <c r="G85" s="52" t="str">
        <f>IF(G$3="","",IF(COUNTIFS(Base!$A$3:$A$5001,G$3,Base!$B$3:$B$5001,$A$79,Base!$S$3:$S$5001,"&lt;&gt;")=0,"",SUMIFS(Base!$S$3:$S$5001,Base!$A$3:$A$5001,G$3,Base!$B$3:$B$5001,$A$79)))</f>
        <v/>
      </c>
      <c r="H85" s="52" t="str">
        <f>IF(H$3="","",IF(COUNTIFS(Base!$A$3:$A$5001,H$3,Base!$B$3:$B$5001,$A$79,Base!$S$3:$S$5001,"&lt;&gt;")=0,"",SUMIFS(Base!$S$3:$S$5001,Base!$A$3:$A$5001,H$3,Base!$B$3:$B$5001,$A$79)))</f>
        <v/>
      </c>
      <c r="I85" s="52" t="str">
        <f>IF(I$3="","",IF(COUNTIFS(Base!$A$3:$A$5001,I$3,Base!$B$3:$B$5001,$A$79,Base!$S$3:$S$5001,"&lt;&gt;")=0,"",SUMIFS(Base!$S$3:$S$5001,Base!$A$3:$A$5001,I$3,Base!$B$3:$B$5001,$A$79)))</f>
        <v/>
      </c>
      <c r="J85" s="52" t="str">
        <f>IF(J$3="","",IF(COUNTIFS(Base!$A$3:$A$5001,J$3,Base!$B$3:$B$5001,$A$79,Base!$S$3:$S$5001,"&lt;&gt;")=0,"",SUMIFS(Base!$S$3:$S$5001,Base!$A$3:$A$5001,J$3,Base!$B$3:$B$5001,$A$79)))</f>
        <v/>
      </c>
      <c r="K85" s="52" t="str">
        <f>IF(K$3="","",IF(COUNTIFS(Base!$A$3:$A$5001,K$3,Base!$B$3:$B$5001,$A$79,Base!$S$3:$S$5001,"&lt;&gt;")=0,"",SUMIFS(Base!$S$3:$S$5001,Base!$A$3:$A$5001,K$3,Base!$B$3:$B$5001,$A$79)))</f>
        <v/>
      </c>
      <c r="L85" s="52" t="str">
        <f>IF(L$3="","",IF(COUNTIFS(Base!$A$3:$A$5001,L$3,Base!$B$3:$B$5001,$A$79,Base!$S$3:$S$5001,"&lt;&gt;")=0,"",SUMIFS(Base!$S$3:$S$5001,Base!$A$3:$A$5001,L$3,Base!$B$3:$B$5001,$A$79)))</f>
        <v/>
      </c>
      <c r="M85" s="52" t="str">
        <f>IF(M$3="","",IF(COUNTIFS(Base!$A$3:$A$5001,M$3,Base!$B$3:$B$5001,$A$79,Base!$S$3:$S$5001,"&lt;&gt;")=0,"",SUMIFS(Base!$S$3:$S$5001,Base!$A$3:$A$5001,M$3,Base!$B$3:$B$5001,$A$79)))</f>
        <v/>
      </c>
      <c r="N85" s="52" t="str">
        <f>IF(N$3="","",IF(COUNTIFS(Base!$A$3:$A$5001,N$3,Base!$B$3:$B$5001,$A$79,Base!$S$3:$S$5001,"&lt;&gt;")=0,"",SUMIFS(Base!$S$3:$S$5001,Base!$A$3:$A$5001,N$3,Base!$B$3:$B$5001,$A$79)))</f>
        <v/>
      </c>
      <c r="O85" s="52" t="str">
        <f>IF(O$3="","",IF(COUNTIFS(Base!$A$3:$A$5001,O$3,Base!$B$3:$B$5001,$A$79,Base!$S$3:$S$5001,"&lt;&gt;")=0,"",SUMIFS(Base!$S$3:$S$5001,Base!$A$3:$A$5001,O$3,Base!$B$3:$B$5001,$A$79)))</f>
        <v/>
      </c>
      <c r="P85" s="52" t="str">
        <f>IF(P$3="","",IF(COUNTIFS(Base!$A$3:$A$5001,P$3,Base!$B$3:$B$5001,$A$79,Base!$S$3:$S$5001,"&lt;&gt;")=0,"",SUMIFS(Base!$S$3:$S$5001,Base!$A$3:$A$5001,P$3,Base!$B$3:$B$5001,$A$79)))</f>
        <v/>
      </c>
      <c r="Q85" s="52" t="str">
        <f>IF(Q$3="","",IF(COUNTIFS(Base!$A$3:$A$5001,Q$3,Base!$B$3:$B$5001,$A$79,Base!$S$3:$S$5001,"&lt;&gt;")=0,"",SUMIFS(Base!$S$3:$S$5001,Base!$A$3:$A$5001,Q$3,Base!$B$3:$B$5001,$A$79)))</f>
        <v/>
      </c>
      <c r="R85" s="52" t="str">
        <f>IF(R$3="","",IF(COUNTIFS(Base!$A$3:$A$5001,R$3,Base!$B$3:$B$5001,$A$79,Base!$S$3:$S$5001,"&lt;&gt;")=0,"",SUMIFS(Base!$S$3:$S$5001,Base!$A$3:$A$5001,R$3,Base!$B$3:$B$5001,$A$79)))</f>
        <v/>
      </c>
      <c r="S85" s="52" t="str">
        <f>IF(S$3="","",IF(COUNTIFS(Base!$A$3:$A$5001,S$3,Base!$B$3:$B$5001,$A$79,Base!$S$3:$S$5001,"&lt;&gt;")=0,"",SUMIFS(Base!$S$3:$S$5001,Base!$A$3:$A$5001,S$3,Base!$B$3:$B$5001,$A$79)))</f>
        <v/>
      </c>
      <c r="T85" s="52" t="str">
        <f>IF(T$3="","",IF(COUNTIFS(Base!$A$3:$A$5001,T$3,Base!$B$3:$B$5001,$A$79,Base!$S$3:$S$5001,"&lt;&gt;")=0,"",SUMIFS(Base!$S$3:$S$5001,Base!$A$3:$A$5001,T$3,Base!$B$3:$B$5001,$A$79)))</f>
        <v/>
      </c>
      <c r="U85" s="52" t="str">
        <f>IF(U$3="","",IF(COUNTIFS(Base!$A$3:$A$5001,U$3,Base!$B$3:$B$5001,$A$79,Base!$S$3:$S$5001,"&lt;&gt;")=0,"",SUMIFS(Base!$S$3:$S$5001,Base!$A$3:$A$5001,U$3,Base!$B$3:$B$5001,$A$79)))</f>
        <v/>
      </c>
      <c r="V85" s="52" t="str">
        <f>IF(V$3="","",IF(COUNTIFS(Base!$A$3:$A$5001,V$3,Base!$B$3:$B$5001,$A$79,Base!$S$3:$S$5001,"&lt;&gt;")=0,"",SUMIFS(Base!$S$3:$S$5001,Base!$A$3:$A$5001,V$3,Base!$B$3:$B$5001,$A$79)))</f>
        <v/>
      </c>
      <c r="W85" s="52" t="str">
        <f>IF(W$3="","",IF(COUNTIFS(Base!$A$3:$A$5001,W$3,Base!$B$3:$B$5001,$A$79,Base!$S$3:$S$5001,"&lt;&gt;")=0,"",SUMIFS(Base!$S$3:$S$5001,Base!$A$3:$A$5001,W$3,Base!$B$3:$B$5001,$A$79)))</f>
        <v/>
      </c>
      <c r="X85" s="52" t="str">
        <f>IF(X$3="","",IF(COUNTIFS(Base!$A$3:$A$5001,X$3,Base!$B$3:$B$5001,$A$79,Base!$S$3:$S$5001,"&lt;&gt;")=0,"",SUMIFS(Base!$S$3:$S$5001,Base!$A$3:$A$5001,X$3,Base!$B$3:$B$5001,$A$79)))</f>
        <v/>
      </c>
      <c r="Y85" s="52" t="str">
        <f>IF(Y$3="","",IF(COUNTIFS(Base!$A$3:$A$5001,Y$3,Base!$B$3:$B$5001,$A$79,Base!$S$3:$S$5001,"&lt;&gt;")=0,"",SUMIFS(Base!$S$3:$S$5001,Base!$A$3:$A$5001,Y$3,Base!$B$3:$B$5001,$A$79)))</f>
        <v/>
      </c>
      <c r="Z85" s="52" t="str">
        <f>IF(Z$3="","",IF(COUNTIFS(Base!$A$3:$A$5001,Z$3,Base!$B$3:$B$5001,$A$79,Base!$S$3:$S$5001,"&lt;&gt;")=0,"",SUMIFS(Base!$S$3:$S$5001,Base!$A$3:$A$5001,Z$3,Base!$B$3:$B$5001,$A$79)))</f>
        <v/>
      </c>
      <c r="AA85" s="52" t="str">
        <f>IF(AA$3="","",IF(COUNTIFS(Base!$A$3:$A$5001,AA$3,Base!$B$3:$B$5001,$A$79,Base!$S$3:$S$5001,"&lt;&gt;")=0,"",SUMIFS(Base!$S$3:$S$5001,Base!$A$3:$A$5001,AA$3,Base!$B$3:$B$5001,$A$79)))</f>
        <v/>
      </c>
      <c r="AB85" s="52" t="str">
        <f>IF(AB$3="","",IF(COUNTIFS(Base!$A$3:$A$5001,AB$3,Base!$B$3:$B$5001,$A$79,Base!$S$3:$S$5001,"&lt;&gt;")=0,"",SUMIFS(Base!$S$3:$S$5001,Base!$A$3:$A$5001,AB$3,Base!$B$3:$B$5001,$A$79)))</f>
        <v/>
      </c>
      <c r="AC85" s="52" t="str">
        <f>IF(AC$3="","",IF(COUNTIFS(Base!$A$3:$A$5001,AC$3,Base!$B$3:$B$5001,$A$79,Base!$S$3:$S$5001,"&lt;&gt;")=0,"",SUMIFS(Base!$S$3:$S$5001,Base!$A$3:$A$5001,AC$3,Base!$B$3:$B$5001,$A$79)))</f>
        <v/>
      </c>
      <c r="AD85" s="52" t="str">
        <f>IF(AD$3="","",IF(COUNTIFS(Base!$A$3:$A$5001,AD$3,Base!$B$3:$B$5001,$A$79,Base!$S$3:$S$5001,"&lt;&gt;")=0,"",SUMIFS(Base!$S$3:$S$5001,Base!$A$3:$A$5001,AD$3,Base!$B$3:$B$5001,$A$79)))</f>
        <v/>
      </c>
      <c r="AE85" s="52" t="str">
        <f>IF(AE$3="","",IF(COUNTIFS(Base!$A$3:$A$5001,AE$3,Base!$B$3:$B$5001,$A$79,Base!$S$3:$S$5001,"&lt;&gt;")=0,"",SUMIFS(Base!$S$3:$S$5001,Base!$A$3:$A$5001,AE$3,Base!$B$3:$B$5001,$A$79)))</f>
        <v/>
      </c>
      <c r="AF85" s="52" t="str">
        <f>IF(AF$3="","",IF(COUNTIFS(Base!$A$3:$A$5001,AF$3,Base!$B$3:$B$5001,$A$79,Base!$S$3:$S$5001,"&lt;&gt;")=0,"",SUMIFS(Base!$S$3:$S$5001,Base!$A$3:$A$5001,AF$3,Base!$B$3:$B$5001,$A$79)))</f>
        <v/>
      </c>
      <c r="AG85" s="52" t="str">
        <f>IF(AG$3="","",IF(COUNTIFS(Base!$A$3:$A$5001,AG$3,Base!$B$3:$B$5001,$A$79,Base!$S$3:$S$5001,"&lt;&gt;")=0,"",SUMIFS(Base!$S$3:$S$5001,Base!$A$3:$A$5001,AG$3,Base!$B$3:$B$5001,$A$79)))</f>
        <v/>
      </c>
      <c r="AH85" s="52" t="str">
        <f>IF(AH$3="","",IF(COUNTIFS(Base!$A$3:$A$5001,AH$3,Base!$B$3:$B$5001,$A$79,Base!$S$3:$S$5001,"&lt;&gt;")=0,"",SUMIFS(Base!$S$3:$S$5001,Base!$A$3:$A$5001,AH$3,Base!$B$3:$B$5001,$A$79)))</f>
        <v/>
      </c>
      <c r="AI85" s="52" t="str">
        <f>IF(AI$3="","",IF(COUNTIFS(Base!$A$3:$A$5001,AI$3,Base!$B$3:$B$5001,$A$79,Base!$S$3:$S$5001,"&lt;&gt;")=0,"",SUMIFS(Base!$S$3:$S$5001,Base!$A$3:$A$5001,AI$3,Base!$B$3:$B$5001,$A$79)))</f>
        <v/>
      </c>
      <c r="AJ85" s="53" t="str">
        <f>IF(AJ$3="","",IF(COUNTIFS(Base!$A$3:$A$5001,AJ$3,Base!$B$3:$B$5001,$A$79,Base!$S$3:$S$5001,"&lt;&gt;")=0,"",SUMIFS(Base!$S$3:$S$5001,Base!$A$3:$A$5001,AJ$3,Base!$B$3:$B$5001,$A$79)))</f>
        <v/>
      </c>
      <c r="AK85" s="54" t="str">
        <f>IF(COUNT(F85:AJ85)=0,"",SUM(F85:AJ85))</f>
        <v/>
      </c>
    </row>
    <row r="86" ht="15.75" customHeight="1">
      <c r="A86" s="118"/>
      <c r="B86" s="110"/>
      <c r="C86" s="55" t="inlineStr">
        <is>
          <t xml:space="preserve">Linhas NF</t>
        </is>
      </c>
      <c r="D86" s="473" t="str">
        <f>IFERROR(1/(1/INDEX(calculos!$C$55:$K$83,MATCH("OUT Linhas NF",calculos!$A$55:$A$83,0),MATCH($A$79,calculos!$C$54:$K$54,0))),"")</f>
        <v/>
      </c>
      <c r="E86" s="57"/>
      <c r="F86" s="474" t="str">
        <f>IF(F$3="","",IF(COUNTIFS(Base!$A$3:$A$5001,F$3,Base!$B$3:$B$5001,$A$79,Base!$T$3:$T$5001,"&lt;&gt;")=0,"",SUMIFS(Base!$T$3:$T$5001,Base!$A$3:$A$5001,F$3,Base!$B$3:$B$5001,$A$79)))</f>
        <v/>
      </c>
      <c r="G86" s="475" t="str">
        <f>IF(G$3="","",IF(COUNTIFS(Base!$A$3:$A$5001,G$3,Base!$B$3:$B$5001,$A$79,Base!$T$3:$T$5001,"&lt;&gt;")=0,"",SUMIFS(Base!$T$3:$T$5001,Base!$A$3:$A$5001,G$3,Base!$B$3:$B$5001,$A$79)))</f>
        <v/>
      </c>
      <c r="H86" s="475" t="str">
        <f>IF(H$3="","",IF(COUNTIFS(Base!$A$3:$A$5001,H$3,Base!$B$3:$B$5001,$A$79,Base!$T$3:$T$5001,"&lt;&gt;")=0,"",SUMIFS(Base!$T$3:$T$5001,Base!$A$3:$A$5001,H$3,Base!$B$3:$B$5001,$A$79)))</f>
        <v/>
      </c>
      <c r="I86" s="475" t="str">
        <f>IF(I$3="","",IF(COUNTIFS(Base!$A$3:$A$5001,I$3,Base!$B$3:$B$5001,$A$79,Base!$T$3:$T$5001,"&lt;&gt;")=0,"",SUMIFS(Base!$T$3:$T$5001,Base!$A$3:$A$5001,I$3,Base!$B$3:$B$5001,$A$79)))</f>
        <v/>
      </c>
      <c r="J86" s="475" t="str">
        <f>IF(J$3="","",IF(COUNTIFS(Base!$A$3:$A$5001,J$3,Base!$B$3:$B$5001,$A$79,Base!$T$3:$T$5001,"&lt;&gt;")=0,"",SUMIFS(Base!$T$3:$T$5001,Base!$A$3:$A$5001,J$3,Base!$B$3:$B$5001,$A$79)))</f>
        <v/>
      </c>
      <c r="K86" s="475" t="str">
        <f>IF(K$3="","",IF(COUNTIFS(Base!$A$3:$A$5001,K$3,Base!$B$3:$B$5001,$A$79,Base!$T$3:$T$5001,"&lt;&gt;")=0,"",SUMIFS(Base!$T$3:$T$5001,Base!$A$3:$A$5001,K$3,Base!$B$3:$B$5001,$A$79)))</f>
        <v/>
      </c>
      <c r="L86" s="475" t="str">
        <f>IF(L$3="","",IF(COUNTIFS(Base!$A$3:$A$5001,L$3,Base!$B$3:$B$5001,$A$79,Base!$T$3:$T$5001,"&lt;&gt;")=0,"",SUMIFS(Base!$T$3:$T$5001,Base!$A$3:$A$5001,L$3,Base!$B$3:$B$5001,$A$79)))</f>
        <v/>
      </c>
      <c r="M86" s="475" t="str">
        <f>IF(M$3="","",IF(COUNTIFS(Base!$A$3:$A$5001,M$3,Base!$B$3:$B$5001,$A$79,Base!$T$3:$T$5001,"&lt;&gt;")=0,"",SUMIFS(Base!$T$3:$T$5001,Base!$A$3:$A$5001,M$3,Base!$B$3:$B$5001,$A$79)))</f>
        <v/>
      </c>
      <c r="N86" s="475" t="str">
        <f>IF(N$3="","",IF(COUNTIFS(Base!$A$3:$A$5001,N$3,Base!$B$3:$B$5001,$A$79,Base!$T$3:$T$5001,"&lt;&gt;")=0,"",SUMIFS(Base!$T$3:$T$5001,Base!$A$3:$A$5001,N$3,Base!$B$3:$B$5001,$A$79)))</f>
        <v/>
      </c>
      <c r="O86" s="475" t="str">
        <f>IF(O$3="","",IF(COUNTIFS(Base!$A$3:$A$5001,O$3,Base!$B$3:$B$5001,$A$79,Base!$T$3:$T$5001,"&lt;&gt;")=0,"",SUMIFS(Base!$T$3:$T$5001,Base!$A$3:$A$5001,O$3,Base!$B$3:$B$5001,$A$79)))</f>
        <v/>
      </c>
      <c r="P86" s="475" t="str">
        <f>IF(P$3="","",IF(COUNTIFS(Base!$A$3:$A$5001,P$3,Base!$B$3:$B$5001,$A$79,Base!$T$3:$T$5001,"&lt;&gt;")=0,"",SUMIFS(Base!$T$3:$T$5001,Base!$A$3:$A$5001,P$3,Base!$B$3:$B$5001,$A$79)))</f>
        <v/>
      </c>
      <c r="Q86" s="475" t="str">
        <f>IF(Q$3="","",IF(COUNTIFS(Base!$A$3:$A$5001,Q$3,Base!$B$3:$B$5001,$A$79,Base!$T$3:$T$5001,"&lt;&gt;")=0,"",SUMIFS(Base!$T$3:$T$5001,Base!$A$3:$A$5001,Q$3,Base!$B$3:$B$5001,$A$79)))</f>
        <v/>
      </c>
      <c r="R86" s="475" t="str">
        <f>IF(R$3="","",IF(COUNTIFS(Base!$A$3:$A$5001,R$3,Base!$B$3:$B$5001,$A$79,Base!$T$3:$T$5001,"&lt;&gt;")=0,"",SUMIFS(Base!$T$3:$T$5001,Base!$A$3:$A$5001,R$3,Base!$B$3:$B$5001,$A$79)))</f>
        <v/>
      </c>
      <c r="S86" s="475" t="str">
        <f>IF(S$3="","",IF(COUNTIFS(Base!$A$3:$A$5001,S$3,Base!$B$3:$B$5001,$A$79,Base!$T$3:$T$5001,"&lt;&gt;")=0,"",SUMIFS(Base!$T$3:$T$5001,Base!$A$3:$A$5001,S$3,Base!$B$3:$B$5001,$A$79)))</f>
        <v/>
      </c>
      <c r="T86" s="475" t="str">
        <f>IF(T$3="","",IF(COUNTIFS(Base!$A$3:$A$5001,T$3,Base!$B$3:$B$5001,$A$79,Base!$T$3:$T$5001,"&lt;&gt;")=0,"",SUMIFS(Base!$T$3:$T$5001,Base!$A$3:$A$5001,T$3,Base!$B$3:$B$5001,$A$79)))</f>
        <v/>
      </c>
      <c r="U86" s="475" t="str">
        <f>IF(U$3="","",IF(COUNTIFS(Base!$A$3:$A$5001,U$3,Base!$B$3:$B$5001,$A$79,Base!$T$3:$T$5001,"&lt;&gt;")=0,"",SUMIFS(Base!$T$3:$T$5001,Base!$A$3:$A$5001,U$3,Base!$B$3:$B$5001,$A$79)))</f>
        <v/>
      </c>
      <c r="V86" s="475" t="str">
        <f>IF(V$3="","",IF(COUNTIFS(Base!$A$3:$A$5001,V$3,Base!$B$3:$B$5001,$A$79,Base!$T$3:$T$5001,"&lt;&gt;")=0,"",SUMIFS(Base!$T$3:$T$5001,Base!$A$3:$A$5001,V$3,Base!$B$3:$B$5001,$A$79)))</f>
        <v/>
      </c>
      <c r="W86" s="475" t="str">
        <f>IF(W$3="","",IF(COUNTIFS(Base!$A$3:$A$5001,W$3,Base!$B$3:$B$5001,$A$79,Base!$T$3:$T$5001,"&lt;&gt;")=0,"",SUMIFS(Base!$T$3:$T$5001,Base!$A$3:$A$5001,W$3,Base!$B$3:$B$5001,$A$79)))</f>
        <v/>
      </c>
      <c r="X86" s="475" t="str">
        <f>IF(X$3="","",IF(COUNTIFS(Base!$A$3:$A$5001,X$3,Base!$B$3:$B$5001,$A$79,Base!$T$3:$T$5001,"&lt;&gt;")=0,"",SUMIFS(Base!$T$3:$T$5001,Base!$A$3:$A$5001,X$3,Base!$B$3:$B$5001,$A$79)))</f>
        <v/>
      </c>
      <c r="Y86" s="475" t="str">
        <f>IF(Y$3="","",IF(COUNTIFS(Base!$A$3:$A$5001,Y$3,Base!$B$3:$B$5001,$A$79,Base!$T$3:$T$5001,"&lt;&gt;")=0,"",SUMIFS(Base!$T$3:$T$5001,Base!$A$3:$A$5001,Y$3,Base!$B$3:$B$5001,$A$79)))</f>
        <v/>
      </c>
      <c r="Z86" s="475" t="str">
        <f>IF(Z$3="","",IF(COUNTIFS(Base!$A$3:$A$5001,Z$3,Base!$B$3:$B$5001,$A$79,Base!$T$3:$T$5001,"&lt;&gt;")=0,"",SUMIFS(Base!$T$3:$T$5001,Base!$A$3:$A$5001,Z$3,Base!$B$3:$B$5001,$A$79)))</f>
        <v/>
      </c>
      <c r="AA86" s="475" t="str">
        <f>IF(AA$3="","",IF(COUNTIFS(Base!$A$3:$A$5001,AA$3,Base!$B$3:$B$5001,$A$79,Base!$T$3:$T$5001,"&lt;&gt;")=0,"",SUMIFS(Base!$T$3:$T$5001,Base!$A$3:$A$5001,AA$3,Base!$B$3:$B$5001,$A$79)))</f>
        <v/>
      </c>
      <c r="AB86" s="475" t="str">
        <f>IF(AB$3="","",IF(COUNTIFS(Base!$A$3:$A$5001,AB$3,Base!$B$3:$B$5001,$A$79,Base!$T$3:$T$5001,"&lt;&gt;")=0,"",SUMIFS(Base!$T$3:$T$5001,Base!$A$3:$A$5001,AB$3,Base!$B$3:$B$5001,$A$79)))</f>
        <v/>
      </c>
      <c r="AC86" s="475" t="str">
        <f>IF(AC$3="","",IF(COUNTIFS(Base!$A$3:$A$5001,AC$3,Base!$B$3:$B$5001,$A$79,Base!$T$3:$T$5001,"&lt;&gt;")=0,"",SUMIFS(Base!$T$3:$T$5001,Base!$A$3:$A$5001,AC$3,Base!$B$3:$B$5001,$A$79)))</f>
        <v/>
      </c>
      <c r="AD86" s="475" t="str">
        <f>IF(AD$3="","",IF(COUNTIFS(Base!$A$3:$A$5001,AD$3,Base!$B$3:$B$5001,$A$79,Base!$T$3:$T$5001,"&lt;&gt;")=0,"",SUMIFS(Base!$T$3:$T$5001,Base!$A$3:$A$5001,AD$3,Base!$B$3:$B$5001,$A$79)))</f>
        <v/>
      </c>
      <c r="AE86" s="475" t="str">
        <f>IF(AE$3="","",IF(COUNTIFS(Base!$A$3:$A$5001,AE$3,Base!$B$3:$B$5001,$A$79,Base!$T$3:$T$5001,"&lt;&gt;")=0,"",SUMIFS(Base!$T$3:$T$5001,Base!$A$3:$A$5001,AE$3,Base!$B$3:$B$5001,$A$79)))</f>
        <v/>
      </c>
      <c r="AF86" s="475" t="str">
        <f>IF(AF$3="","",IF(COUNTIFS(Base!$A$3:$A$5001,AF$3,Base!$B$3:$B$5001,$A$79,Base!$T$3:$T$5001,"&lt;&gt;")=0,"",SUMIFS(Base!$T$3:$T$5001,Base!$A$3:$A$5001,AF$3,Base!$B$3:$B$5001,$A$79)))</f>
        <v/>
      </c>
      <c r="AG86" s="475" t="str">
        <f>IF(AG$3="","",IF(COUNTIFS(Base!$A$3:$A$5001,AG$3,Base!$B$3:$B$5001,$A$79,Base!$T$3:$T$5001,"&lt;&gt;")=0,"",SUMIFS(Base!$T$3:$T$5001,Base!$A$3:$A$5001,AG$3,Base!$B$3:$B$5001,$A$79)))</f>
        <v/>
      </c>
      <c r="AH86" s="475" t="str">
        <f>IF(AH$3="","",IF(COUNTIFS(Base!$A$3:$A$5001,AH$3,Base!$B$3:$B$5001,$A$79,Base!$T$3:$T$5001,"&lt;&gt;")=0,"",SUMIFS(Base!$T$3:$T$5001,Base!$A$3:$A$5001,AH$3,Base!$B$3:$B$5001,$A$79)))</f>
        <v/>
      </c>
      <c r="AI86" s="475" t="str">
        <f>IF(AI$3="","",IF(COUNTIFS(Base!$A$3:$A$5001,AI$3,Base!$B$3:$B$5001,$A$79,Base!$T$3:$T$5001,"&lt;&gt;")=0,"",SUMIFS(Base!$T$3:$T$5001,Base!$A$3:$A$5001,AI$3,Base!$B$3:$B$5001,$A$79)))</f>
        <v/>
      </c>
      <c r="AJ86" s="476" t="str">
        <f>IF(AJ$3="","",IF(COUNTIFS(Base!$A$3:$A$5001,AJ$3,Base!$B$3:$B$5001,$A$79,Base!$T$3:$T$5001,"&lt;&gt;")=0,"",SUMIFS(Base!$T$3:$T$5001,Base!$A$3:$A$5001,AJ$3,Base!$B$3:$B$5001,$A$79)))</f>
        <v/>
      </c>
      <c r="AK86" s="473" t="str">
        <f>IF(COUNT(F86:AJ86)=0,"",SUM(F86:AJ86))</f>
        <v/>
      </c>
    </row>
    <row r="87" ht="15.75" customHeight="1">
      <c r="A87" s="118"/>
      <c r="B87" s="111" t="inlineStr">
        <is>
          <t xml:space="preserve">NC</t>
        </is>
      </c>
      <c r="C87" s="61" t="inlineStr">
        <is>
          <t xml:space="preserve">Incidentes</t>
        </is>
      </c>
      <c r="D87" s="62" t="str">
        <f>IFERROR(1/(1/INDEX(calculos!$C$55:$K$83,MATCH("NC Incidentes",calculos!$A$55:$A$83,0),MATCH($A$79,calculos!$C$54:$K$54,0))),"")</f>
        <v/>
      </c>
      <c r="E87" s="63"/>
      <c r="F87" s="64" t="str">
        <f>IF(F$3="","",IF(COUNTIFS(Base!$A$3:$A$5001,F$3,Base!$B$3:$B$5001,$A$79,Base!$U$3:$U$5001,"&lt;&gt;")=0,"",SUMIFS(Base!$U$3:$U$5001,Base!$A$3:$A$5001,F$3,Base!$B$3:$B$5001,$A$79)))</f>
        <v/>
      </c>
      <c r="G87" s="65" t="str">
        <f>IF(G$3="","",IF(COUNTIFS(Base!$A$3:$A$5001,G$3,Base!$B$3:$B$5001,$A$79,Base!$U$3:$U$5001,"&lt;&gt;")=0,"",SUMIFS(Base!$U$3:$U$5001,Base!$A$3:$A$5001,G$3,Base!$B$3:$B$5001,$A$79)))</f>
        <v/>
      </c>
      <c r="H87" s="65" t="str">
        <f>IF(H$3="","",IF(COUNTIFS(Base!$A$3:$A$5001,H$3,Base!$B$3:$B$5001,$A$79,Base!$U$3:$U$5001,"&lt;&gt;")=0,"",SUMIFS(Base!$U$3:$U$5001,Base!$A$3:$A$5001,H$3,Base!$B$3:$B$5001,$A$79)))</f>
        <v/>
      </c>
      <c r="I87" s="65" t="str">
        <f>IF(I$3="","",IF(COUNTIFS(Base!$A$3:$A$5001,I$3,Base!$B$3:$B$5001,$A$79,Base!$U$3:$U$5001,"&lt;&gt;")=0,"",SUMIFS(Base!$U$3:$U$5001,Base!$A$3:$A$5001,I$3,Base!$B$3:$B$5001,$A$79)))</f>
        <v/>
      </c>
      <c r="J87" s="65" t="str">
        <f>IF(J$3="","",IF(COUNTIFS(Base!$A$3:$A$5001,J$3,Base!$B$3:$B$5001,$A$79,Base!$U$3:$U$5001,"&lt;&gt;")=0,"",SUMIFS(Base!$U$3:$U$5001,Base!$A$3:$A$5001,J$3,Base!$B$3:$B$5001,$A$79)))</f>
        <v/>
      </c>
      <c r="K87" s="65" t="str">
        <f>IF(K$3="","",IF(COUNTIFS(Base!$A$3:$A$5001,K$3,Base!$B$3:$B$5001,$A$79,Base!$U$3:$U$5001,"&lt;&gt;")=0,"",SUMIFS(Base!$U$3:$U$5001,Base!$A$3:$A$5001,K$3,Base!$B$3:$B$5001,$A$79)))</f>
        <v/>
      </c>
      <c r="L87" s="65" t="str">
        <f>IF(L$3="","",IF(COUNTIFS(Base!$A$3:$A$5001,L$3,Base!$B$3:$B$5001,$A$79,Base!$U$3:$U$5001,"&lt;&gt;")=0,"",SUMIFS(Base!$U$3:$U$5001,Base!$A$3:$A$5001,L$3,Base!$B$3:$B$5001,$A$79)))</f>
        <v/>
      </c>
      <c r="M87" s="65" t="str">
        <f>IF(M$3="","",IF(COUNTIFS(Base!$A$3:$A$5001,M$3,Base!$B$3:$B$5001,$A$79,Base!$U$3:$U$5001,"&lt;&gt;")=0,"",SUMIFS(Base!$U$3:$U$5001,Base!$A$3:$A$5001,M$3,Base!$B$3:$B$5001,$A$79)))</f>
        <v/>
      </c>
      <c r="N87" s="65" t="str">
        <f>IF(N$3="","",IF(COUNTIFS(Base!$A$3:$A$5001,N$3,Base!$B$3:$B$5001,$A$79,Base!$U$3:$U$5001,"&lt;&gt;")=0,"",SUMIFS(Base!$U$3:$U$5001,Base!$A$3:$A$5001,N$3,Base!$B$3:$B$5001,$A$79)))</f>
        <v/>
      </c>
      <c r="O87" s="65" t="str">
        <f>IF(O$3="","",IF(COUNTIFS(Base!$A$3:$A$5001,O$3,Base!$B$3:$B$5001,$A$79,Base!$U$3:$U$5001,"&lt;&gt;")=0,"",SUMIFS(Base!$U$3:$U$5001,Base!$A$3:$A$5001,O$3,Base!$B$3:$B$5001,$A$79)))</f>
        <v/>
      </c>
      <c r="P87" s="65" t="str">
        <f>IF(P$3="","",IF(COUNTIFS(Base!$A$3:$A$5001,P$3,Base!$B$3:$B$5001,$A$79,Base!$U$3:$U$5001,"&lt;&gt;")=0,"",SUMIFS(Base!$U$3:$U$5001,Base!$A$3:$A$5001,P$3,Base!$B$3:$B$5001,$A$79)))</f>
        <v/>
      </c>
      <c r="Q87" s="65" t="str">
        <f>IF(Q$3="","",IF(COUNTIFS(Base!$A$3:$A$5001,Q$3,Base!$B$3:$B$5001,$A$79,Base!$U$3:$U$5001,"&lt;&gt;")=0,"",SUMIFS(Base!$U$3:$U$5001,Base!$A$3:$A$5001,Q$3,Base!$B$3:$B$5001,$A$79)))</f>
        <v/>
      </c>
      <c r="R87" s="65" t="str">
        <f>IF(R$3="","",IF(COUNTIFS(Base!$A$3:$A$5001,R$3,Base!$B$3:$B$5001,$A$79,Base!$U$3:$U$5001,"&lt;&gt;")=0,"",SUMIFS(Base!$U$3:$U$5001,Base!$A$3:$A$5001,R$3,Base!$B$3:$B$5001,$A$79)))</f>
        <v/>
      </c>
      <c r="S87" s="65" t="str">
        <f>IF(S$3="","",IF(COUNTIFS(Base!$A$3:$A$5001,S$3,Base!$B$3:$B$5001,$A$79,Base!$U$3:$U$5001,"&lt;&gt;")=0,"",SUMIFS(Base!$U$3:$U$5001,Base!$A$3:$A$5001,S$3,Base!$B$3:$B$5001,$A$79)))</f>
        <v/>
      </c>
      <c r="T87" s="65" t="str">
        <f>IF(T$3="","",IF(COUNTIFS(Base!$A$3:$A$5001,T$3,Base!$B$3:$B$5001,$A$79,Base!$U$3:$U$5001,"&lt;&gt;")=0,"",SUMIFS(Base!$U$3:$U$5001,Base!$A$3:$A$5001,T$3,Base!$B$3:$B$5001,$A$79)))</f>
        <v/>
      </c>
      <c r="U87" s="65" t="str">
        <f>IF(U$3="","",IF(COUNTIFS(Base!$A$3:$A$5001,U$3,Base!$B$3:$B$5001,$A$79,Base!$U$3:$U$5001,"&lt;&gt;")=0,"",SUMIFS(Base!$U$3:$U$5001,Base!$A$3:$A$5001,U$3,Base!$B$3:$B$5001,$A$79)))</f>
        <v/>
      </c>
      <c r="V87" s="65" t="str">
        <f>IF(V$3="","",IF(COUNTIFS(Base!$A$3:$A$5001,V$3,Base!$B$3:$B$5001,$A$79,Base!$U$3:$U$5001,"&lt;&gt;")=0,"",SUMIFS(Base!$U$3:$U$5001,Base!$A$3:$A$5001,V$3,Base!$B$3:$B$5001,$A$79)))</f>
        <v/>
      </c>
      <c r="W87" s="65" t="str">
        <f>IF(W$3="","",IF(COUNTIFS(Base!$A$3:$A$5001,W$3,Base!$B$3:$B$5001,$A$79,Base!$U$3:$U$5001,"&lt;&gt;")=0,"",SUMIFS(Base!$U$3:$U$5001,Base!$A$3:$A$5001,W$3,Base!$B$3:$B$5001,$A$79)))</f>
        <v/>
      </c>
      <c r="X87" s="65" t="str">
        <f>IF(X$3="","",IF(COUNTIFS(Base!$A$3:$A$5001,X$3,Base!$B$3:$B$5001,$A$79,Base!$U$3:$U$5001,"&lt;&gt;")=0,"",SUMIFS(Base!$U$3:$U$5001,Base!$A$3:$A$5001,X$3,Base!$B$3:$B$5001,$A$79)))</f>
        <v/>
      </c>
      <c r="Y87" s="65" t="str">
        <f>IF(Y$3="","",IF(COUNTIFS(Base!$A$3:$A$5001,Y$3,Base!$B$3:$B$5001,$A$79,Base!$U$3:$U$5001,"&lt;&gt;")=0,"",SUMIFS(Base!$U$3:$U$5001,Base!$A$3:$A$5001,Y$3,Base!$B$3:$B$5001,$A$79)))</f>
        <v/>
      </c>
      <c r="Z87" s="65" t="str">
        <f>IF(Z$3="","",IF(COUNTIFS(Base!$A$3:$A$5001,Z$3,Base!$B$3:$B$5001,$A$79,Base!$U$3:$U$5001,"&lt;&gt;")=0,"",SUMIFS(Base!$U$3:$U$5001,Base!$A$3:$A$5001,Z$3,Base!$B$3:$B$5001,$A$79)))</f>
        <v/>
      </c>
      <c r="AA87" s="65" t="str">
        <f>IF(AA$3="","",IF(COUNTIFS(Base!$A$3:$A$5001,AA$3,Base!$B$3:$B$5001,$A$79,Base!$U$3:$U$5001,"&lt;&gt;")=0,"",SUMIFS(Base!$U$3:$U$5001,Base!$A$3:$A$5001,AA$3,Base!$B$3:$B$5001,$A$79)))</f>
        <v/>
      </c>
      <c r="AB87" s="65" t="str">
        <f>IF(AB$3="","",IF(COUNTIFS(Base!$A$3:$A$5001,AB$3,Base!$B$3:$B$5001,$A$79,Base!$U$3:$U$5001,"&lt;&gt;")=0,"",SUMIFS(Base!$U$3:$U$5001,Base!$A$3:$A$5001,AB$3,Base!$B$3:$B$5001,$A$79)))</f>
        <v/>
      </c>
      <c r="AC87" s="65" t="str">
        <f>IF(AC$3="","",IF(COUNTIFS(Base!$A$3:$A$5001,AC$3,Base!$B$3:$B$5001,$A$79,Base!$U$3:$U$5001,"&lt;&gt;")=0,"",SUMIFS(Base!$U$3:$U$5001,Base!$A$3:$A$5001,AC$3,Base!$B$3:$B$5001,$A$79)))</f>
        <v/>
      </c>
      <c r="AD87" s="65" t="str">
        <f>IF(AD$3="","",IF(COUNTIFS(Base!$A$3:$A$5001,AD$3,Base!$B$3:$B$5001,$A$79,Base!$U$3:$U$5001,"&lt;&gt;")=0,"",SUMIFS(Base!$U$3:$U$5001,Base!$A$3:$A$5001,AD$3,Base!$B$3:$B$5001,$A$79)))</f>
        <v/>
      </c>
      <c r="AE87" s="65" t="str">
        <f>IF(AE$3="","",IF(COUNTIFS(Base!$A$3:$A$5001,AE$3,Base!$B$3:$B$5001,$A$79,Base!$U$3:$U$5001,"&lt;&gt;")=0,"",SUMIFS(Base!$U$3:$U$5001,Base!$A$3:$A$5001,AE$3,Base!$B$3:$B$5001,$A$79)))</f>
        <v/>
      </c>
      <c r="AF87" s="65" t="str">
        <f>IF(AF$3="","",IF(COUNTIFS(Base!$A$3:$A$5001,AF$3,Base!$B$3:$B$5001,$A$79,Base!$U$3:$U$5001,"&lt;&gt;")=0,"",SUMIFS(Base!$U$3:$U$5001,Base!$A$3:$A$5001,AF$3,Base!$B$3:$B$5001,$A$79)))</f>
        <v/>
      </c>
      <c r="AG87" s="65" t="str">
        <f>IF(AG$3="","",IF(COUNTIFS(Base!$A$3:$A$5001,AG$3,Base!$B$3:$B$5001,$A$79,Base!$U$3:$U$5001,"&lt;&gt;")=0,"",SUMIFS(Base!$U$3:$U$5001,Base!$A$3:$A$5001,AG$3,Base!$B$3:$B$5001,$A$79)))</f>
        <v/>
      </c>
      <c r="AH87" s="65" t="str">
        <f>IF(AH$3="","",IF(COUNTIFS(Base!$A$3:$A$5001,AH$3,Base!$B$3:$B$5001,$A$79,Base!$U$3:$U$5001,"&lt;&gt;")=0,"",SUMIFS(Base!$U$3:$U$5001,Base!$A$3:$A$5001,AH$3,Base!$B$3:$B$5001,$A$79)))</f>
        <v/>
      </c>
      <c r="AI87" s="65" t="str">
        <f>IF(AI$3="","",IF(COUNTIFS(Base!$A$3:$A$5001,AI$3,Base!$B$3:$B$5001,$A$79,Base!$U$3:$U$5001,"&lt;&gt;")=0,"",SUMIFS(Base!$U$3:$U$5001,Base!$A$3:$A$5001,AI$3,Base!$B$3:$B$5001,$A$79)))</f>
        <v/>
      </c>
      <c r="AJ87" s="66" t="str">
        <f>IF(AJ$3="","",IF(COUNTIFS(Base!$A$3:$A$5001,AJ$3,Base!$B$3:$B$5001,$A$79,Base!$U$3:$U$5001,"&lt;&gt;")=0,"",SUMIFS(Base!$U$3:$U$5001,Base!$A$3:$A$5001,AJ$3,Base!$B$3:$B$5001,$A$79)))</f>
        <v/>
      </c>
      <c r="AK87" s="67" t="str">
        <f>IF(COUNT(F87:AJ87)=0,"",SUM(F87:AJ87))</f>
        <v/>
      </c>
    </row>
    <row r="88" ht="15.75" customHeight="1">
      <c r="A88" s="118"/>
      <c r="B88" s="112"/>
      <c r="C88" s="68" t="inlineStr">
        <is>
          <t xml:space="preserve">No show</t>
        </is>
      </c>
      <c r="D88" s="69" t="str">
        <f>IFERROR(1/(1/INDEX(calculos!$C$55:$K$83,MATCH("NC No show",calculos!$A$55:$A$83,0),MATCH($A$79,calculos!$C$54:$K$54,0))),"")</f>
        <v/>
      </c>
      <c r="E88" s="70"/>
      <c r="F88" s="71" t="str">
        <f>IF(F$3="","",IF(COUNTIFS(Base!$A$3:$A$5001,F$3,Base!$B$3:$B$5001,$A$79,Base!$V$3:$V$5001,"&lt;&gt;")=0,"",SUMIFS(Base!$V$3:$V$5001,Base!$A$3:$A$5001,F$3,Base!$B$3:$B$5001,$A$79)))</f>
        <v/>
      </c>
      <c r="G88" s="72" t="str">
        <f>IF(G$3="","",IF(COUNTIFS(Base!$A$3:$A$5001,G$3,Base!$B$3:$B$5001,$A$79,Base!$V$3:$V$5001,"&lt;&gt;")=0,"",SUMIFS(Base!$V$3:$V$5001,Base!$A$3:$A$5001,G$3,Base!$B$3:$B$5001,$A$79)))</f>
        <v/>
      </c>
      <c r="H88" s="72" t="str">
        <f>IF(H$3="","",IF(COUNTIFS(Base!$A$3:$A$5001,H$3,Base!$B$3:$B$5001,$A$79,Base!$V$3:$V$5001,"&lt;&gt;")=0,"",SUMIFS(Base!$V$3:$V$5001,Base!$A$3:$A$5001,H$3,Base!$B$3:$B$5001,$A$79)))</f>
        <v/>
      </c>
      <c r="I88" s="72" t="str">
        <f>IF(I$3="","",IF(COUNTIFS(Base!$A$3:$A$5001,I$3,Base!$B$3:$B$5001,$A$79,Base!$V$3:$V$5001,"&lt;&gt;")=0,"",SUMIFS(Base!$V$3:$V$5001,Base!$A$3:$A$5001,I$3,Base!$B$3:$B$5001,$A$79)))</f>
        <v/>
      </c>
      <c r="J88" s="72" t="str">
        <f>IF(J$3="","",IF(COUNTIFS(Base!$A$3:$A$5001,J$3,Base!$B$3:$B$5001,$A$79,Base!$V$3:$V$5001,"&lt;&gt;")=0,"",SUMIFS(Base!$V$3:$V$5001,Base!$A$3:$A$5001,J$3,Base!$B$3:$B$5001,$A$79)))</f>
        <v/>
      </c>
      <c r="K88" s="72" t="str">
        <f>IF(K$3="","",IF(COUNTIFS(Base!$A$3:$A$5001,K$3,Base!$B$3:$B$5001,$A$79,Base!$V$3:$V$5001,"&lt;&gt;")=0,"",SUMIFS(Base!$V$3:$V$5001,Base!$A$3:$A$5001,K$3,Base!$B$3:$B$5001,$A$79)))</f>
        <v/>
      </c>
      <c r="L88" s="72" t="str">
        <f>IF(L$3="","",IF(COUNTIFS(Base!$A$3:$A$5001,L$3,Base!$B$3:$B$5001,$A$79,Base!$V$3:$V$5001,"&lt;&gt;")=0,"",SUMIFS(Base!$V$3:$V$5001,Base!$A$3:$A$5001,L$3,Base!$B$3:$B$5001,$A$79)))</f>
        <v/>
      </c>
      <c r="M88" s="72" t="str">
        <f>IF(M$3="","",IF(COUNTIFS(Base!$A$3:$A$5001,M$3,Base!$B$3:$B$5001,$A$79,Base!$V$3:$V$5001,"&lt;&gt;")=0,"",SUMIFS(Base!$V$3:$V$5001,Base!$A$3:$A$5001,M$3,Base!$B$3:$B$5001,$A$79)))</f>
        <v/>
      </c>
      <c r="N88" s="72" t="str">
        <f>IF(N$3="","",IF(COUNTIFS(Base!$A$3:$A$5001,N$3,Base!$B$3:$B$5001,$A$79,Base!$V$3:$V$5001,"&lt;&gt;")=0,"",SUMIFS(Base!$V$3:$V$5001,Base!$A$3:$A$5001,N$3,Base!$B$3:$B$5001,$A$79)))</f>
        <v/>
      </c>
      <c r="O88" s="72" t="str">
        <f>IF(O$3="","",IF(COUNTIFS(Base!$A$3:$A$5001,O$3,Base!$B$3:$B$5001,$A$79,Base!$V$3:$V$5001,"&lt;&gt;")=0,"",SUMIFS(Base!$V$3:$V$5001,Base!$A$3:$A$5001,O$3,Base!$B$3:$B$5001,$A$79)))</f>
        <v/>
      </c>
      <c r="P88" s="72" t="str">
        <f>IF(P$3="","",IF(COUNTIFS(Base!$A$3:$A$5001,P$3,Base!$B$3:$B$5001,$A$79,Base!$V$3:$V$5001,"&lt;&gt;")=0,"",SUMIFS(Base!$V$3:$V$5001,Base!$A$3:$A$5001,P$3,Base!$B$3:$B$5001,$A$79)))</f>
        <v/>
      </c>
      <c r="Q88" s="72" t="str">
        <f>IF(Q$3="","",IF(COUNTIFS(Base!$A$3:$A$5001,Q$3,Base!$B$3:$B$5001,$A$79,Base!$V$3:$V$5001,"&lt;&gt;")=0,"",SUMIFS(Base!$V$3:$V$5001,Base!$A$3:$A$5001,Q$3,Base!$B$3:$B$5001,$A$79)))</f>
        <v/>
      </c>
      <c r="R88" s="72" t="str">
        <f>IF(R$3="","",IF(COUNTIFS(Base!$A$3:$A$5001,R$3,Base!$B$3:$B$5001,$A$79,Base!$V$3:$V$5001,"&lt;&gt;")=0,"",SUMIFS(Base!$V$3:$V$5001,Base!$A$3:$A$5001,R$3,Base!$B$3:$B$5001,$A$79)))</f>
        <v/>
      </c>
      <c r="S88" s="72" t="str">
        <f>IF(S$3="","",IF(COUNTIFS(Base!$A$3:$A$5001,S$3,Base!$B$3:$B$5001,$A$79,Base!$V$3:$V$5001,"&lt;&gt;")=0,"",SUMIFS(Base!$V$3:$V$5001,Base!$A$3:$A$5001,S$3,Base!$B$3:$B$5001,$A$79)))</f>
        <v/>
      </c>
      <c r="T88" s="72" t="str">
        <f>IF(T$3="","",IF(COUNTIFS(Base!$A$3:$A$5001,T$3,Base!$B$3:$B$5001,$A$79,Base!$V$3:$V$5001,"&lt;&gt;")=0,"",SUMIFS(Base!$V$3:$V$5001,Base!$A$3:$A$5001,T$3,Base!$B$3:$B$5001,$A$79)))</f>
        <v/>
      </c>
      <c r="U88" s="72" t="str">
        <f>IF(U$3="","",IF(COUNTIFS(Base!$A$3:$A$5001,U$3,Base!$B$3:$B$5001,$A$79,Base!$V$3:$V$5001,"&lt;&gt;")=0,"",SUMIFS(Base!$V$3:$V$5001,Base!$A$3:$A$5001,U$3,Base!$B$3:$B$5001,$A$79)))</f>
        <v/>
      </c>
      <c r="V88" s="72" t="str">
        <f>IF(V$3="","",IF(COUNTIFS(Base!$A$3:$A$5001,V$3,Base!$B$3:$B$5001,$A$79,Base!$V$3:$V$5001,"&lt;&gt;")=0,"",SUMIFS(Base!$V$3:$V$5001,Base!$A$3:$A$5001,V$3,Base!$B$3:$B$5001,$A$79)))</f>
        <v/>
      </c>
      <c r="W88" s="72" t="str">
        <f>IF(W$3="","",IF(COUNTIFS(Base!$A$3:$A$5001,W$3,Base!$B$3:$B$5001,$A$79,Base!$V$3:$V$5001,"&lt;&gt;")=0,"",SUMIFS(Base!$V$3:$V$5001,Base!$A$3:$A$5001,W$3,Base!$B$3:$B$5001,$A$79)))</f>
        <v/>
      </c>
      <c r="X88" s="72" t="str">
        <f>IF(X$3="","",IF(COUNTIFS(Base!$A$3:$A$5001,X$3,Base!$B$3:$B$5001,$A$79,Base!$V$3:$V$5001,"&lt;&gt;")=0,"",SUMIFS(Base!$V$3:$V$5001,Base!$A$3:$A$5001,X$3,Base!$B$3:$B$5001,$A$79)))</f>
        <v/>
      </c>
      <c r="Y88" s="72" t="str">
        <f>IF(Y$3="","",IF(COUNTIFS(Base!$A$3:$A$5001,Y$3,Base!$B$3:$B$5001,$A$79,Base!$V$3:$V$5001,"&lt;&gt;")=0,"",SUMIFS(Base!$V$3:$V$5001,Base!$A$3:$A$5001,Y$3,Base!$B$3:$B$5001,$A$79)))</f>
        <v/>
      </c>
      <c r="Z88" s="72" t="str">
        <f>IF(Z$3="","",IF(COUNTIFS(Base!$A$3:$A$5001,Z$3,Base!$B$3:$B$5001,$A$79,Base!$V$3:$V$5001,"&lt;&gt;")=0,"",SUMIFS(Base!$V$3:$V$5001,Base!$A$3:$A$5001,Z$3,Base!$B$3:$B$5001,$A$79)))</f>
        <v/>
      </c>
      <c r="AA88" s="72" t="str">
        <f>IF(AA$3="","",IF(COUNTIFS(Base!$A$3:$A$5001,AA$3,Base!$B$3:$B$5001,$A$79,Base!$V$3:$V$5001,"&lt;&gt;")=0,"",SUMIFS(Base!$V$3:$V$5001,Base!$A$3:$A$5001,AA$3,Base!$B$3:$B$5001,$A$79)))</f>
        <v/>
      </c>
      <c r="AB88" s="72" t="str">
        <f>IF(AB$3="","",IF(COUNTIFS(Base!$A$3:$A$5001,AB$3,Base!$B$3:$B$5001,$A$79,Base!$V$3:$V$5001,"&lt;&gt;")=0,"",SUMIFS(Base!$V$3:$V$5001,Base!$A$3:$A$5001,AB$3,Base!$B$3:$B$5001,$A$79)))</f>
        <v/>
      </c>
      <c r="AC88" s="72" t="str">
        <f>IF(AC$3="","",IF(COUNTIFS(Base!$A$3:$A$5001,AC$3,Base!$B$3:$B$5001,$A$79,Base!$V$3:$V$5001,"&lt;&gt;")=0,"",SUMIFS(Base!$V$3:$V$5001,Base!$A$3:$A$5001,AC$3,Base!$B$3:$B$5001,$A$79)))</f>
        <v/>
      </c>
      <c r="AD88" s="72" t="str">
        <f>IF(AD$3="","",IF(COUNTIFS(Base!$A$3:$A$5001,AD$3,Base!$B$3:$B$5001,$A$79,Base!$V$3:$V$5001,"&lt;&gt;")=0,"",SUMIFS(Base!$V$3:$V$5001,Base!$A$3:$A$5001,AD$3,Base!$B$3:$B$5001,$A$79)))</f>
        <v/>
      </c>
      <c r="AE88" s="72" t="str">
        <f>IF(AE$3="","",IF(COUNTIFS(Base!$A$3:$A$5001,AE$3,Base!$B$3:$B$5001,$A$79,Base!$V$3:$V$5001,"&lt;&gt;")=0,"",SUMIFS(Base!$V$3:$V$5001,Base!$A$3:$A$5001,AE$3,Base!$B$3:$B$5001,$A$79)))</f>
        <v/>
      </c>
      <c r="AF88" s="72" t="str">
        <f>IF(AF$3="","",IF(COUNTIFS(Base!$A$3:$A$5001,AF$3,Base!$B$3:$B$5001,$A$79,Base!$V$3:$V$5001,"&lt;&gt;")=0,"",SUMIFS(Base!$V$3:$V$5001,Base!$A$3:$A$5001,AF$3,Base!$B$3:$B$5001,$A$79)))</f>
        <v/>
      </c>
      <c r="AG88" s="72" t="str">
        <f>IF(AG$3="","",IF(COUNTIFS(Base!$A$3:$A$5001,AG$3,Base!$B$3:$B$5001,$A$79,Base!$V$3:$V$5001,"&lt;&gt;")=0,"",SUMIFS(Base!$V$3:$V$5001,Base!$A$3:$A$5001,AG$3,Base!$B$3:$B$5001,$A$79)))</f>
        <v/>
      </c>
      <c r="AH88" s="72" t="str">
        <f>IF(AH$3="","",IF(COUNTIFS(Base!$A$3:$A$5001,AH$3,Base!$B$3:$B$5001,$A$79,Base!$V$3:$V$5001,"&lt;&gt;")=0,"",SUMIFS(Base!$V$3:$V$5001,Base!$A$3:$A$5001,AH$3,Base!$B$3:$B$5001,$A$79)))</f>
        <v/>
      </c>
      <c r="AI88" s="72" t="str">
        <f>IF(AI$3="","",IF(COUNTIFS(Base!$A$3:$A$5001,AI$3,Base!$B$3:$B$5001,$A$79,Base!$V$3:$V$5001,"&lt;&gt;")=0,"",SUMIFS(Base!$V$3:$V$5001,Base!$A$3:$A$5001,AI$3,Base!$B$3:$B$5001,$A$79)))</f>
        <v/>
      </c>
      <c r="AJ88" s="73" t="str">
        <f>IF(AJ$3="","",IF(COUNTIFS(Base!$A$3:$A$5001,AJ$3,Base!$B$3:$B$5001,$A$79,Base!$V$3:$V$5001,"&lt;&gt;")=0,"",SUMIFS(Base!$V$3:$V$5001,Base!$A$3:$A$5001,AJ$3,Base!$B$3:$B$5001,$A$79)))</f>
        <v/>
      </c>
      <c r="AK88" s="74" t="str">
        <f>IF(COUNT(F88:AJ88)=0,"",SUM(F88:AJ88))</f>
        <v/>
      </c>
    </row>
    <row r="89" ht="15.75" customHeight="1">
      <c r="A89" s="118"/>
      <c r="B89" s="113"/>
      <c r="C89" s="75" t="inlineStr">
        <is>
          <t xml:space="preserve">Backlog</t>
        </is>
      </c>
      <c r="D89" s="76" t="str">
        <f>IFERROR(1/(1/INDEX(calculos!$C$55:$K$83,MATCH("NC Backlog",calculos!$A$55:$A$83,0),MATCH($A$79,calculos!$C$54:$K$54,0))),"")</f>
        <v/>
      </c>
      <c r="E89" s="77"/>
      <c r="F89" s="78" t="str">
        <f>IF(F$3="","",IF(COUNTIFS(Base!$A$3:$A$5001,F$3,Base!$B$3:$B$5001,$A$79,Base!$W$3:$W$5001,"&lt;&gt;")=0,"",SUMIFS(Base!$W$3:$W$5001,Base!$A$3:$A$5001,F$3,Base!$B$3:$B$5001,$A$79)))</f>
        <v/>
      </c>
      <c r="G89" s="79" t="str">
        <f>IF(G$3="","",IF(COUNTIFS(Base!$A$3:$A$5001,G$3,Base!$B$3:$B$5001,$A$79,Base!$W$3:$W$5001,"&lt;&gt;")=0,"",SUMIFS(Base!$W$3:$W$5001,Base!$A$3:$A$5001,G$3,Base!$B$3:$B$5001,$A$79)))</f>
        <v/>
      </c>
      <c r="H89" s="79" t="str">
        <f>IF(H$3="","",IF(COUNTIFS(Base!$A$3:$A$5001,H$3,Base!$B$3:$B$5001,$A$79,Base!$W$3:$W$5001,"&lt;&gt;")=0,"",SUMIFS(Base!$W$3:$W$5001,Base!$A$3:$A$5001,H$3,Base!$B$3:$B$5001,$A$79)))</f>
        <v/>
      </c>
      <c r="I89" s="79" t="str">
        <f>IF(I$3="","",IF(COUNTIFS(Base!$A$3:$A$5001,I$3,Base!$B$3:$B$5001,$A$79,Base!$W$3:$W$5001,"&lt;&gt;")=0,"",SUMIFS(Base!$W$3:$W$5001,Base!$A$3:$A$5001,I$3,Base!$B$3:$B$5001,$A$79)))</f>
        <v/>
      </c>
      <c r="J89" s="79" t="str">
        <f>IF(J$3="","",IF(COUNTIFS(Base!$A$3:$A$5001,J$3,Base!$B$3:$B$5001,$A$79,Base!$W$3:$W$5001,"&lt;&gt;")=0,"",SUMIFS(Base!$W$3:$W$5001,Base!$A$3:$A$5001,J$3,Base!$B$3:$B$5001,$A$79)))</f>
        <v/>
      </c>
      <c r="K89" s="79" t="str">
        <f>IF(K$3="","",IF(COUNTIFS(Base!$A$3:$A$5001,K$3,Base!$B$3:$B$5001,$A$79,Base!$W$3:$W$5001,"&lt;&gt;")=0,"",SUMIFS(Base!$W$3:$W$5001,Base!$A$3:$A$5001,K$3,Base!$B$3:$B$5001,$A$79)))</f>
        <v/>
      </c>
      <c r="L89" s="79" t="str">
        <f>IF(L$3="","",IF(COUNTIFS(Base!$A$3:$A$5001,L$3,Base!$B$3:$B$5001,$A$79,Base!$W$3:$W$5001,"&lt;&gt;")=0,"",SUMIFS(Base!$W$3:$W$5001,Base!$A$3:$A$5001,L$3,Base!$B$3:$B$5001,$A$79)))</f>
        <v/>
      </c>
      <c r="M89" s="79" t="str">
        <f>IF(M$3="","",IF(COUNTIFS(Base!$A$3:$A$5001,M$3,Base!$B$3:$B$5001,$A$79,Base!$W$3:$W$5001,"&lt;&gt;")=0,"",SUMIFS(Base!$W$3:$W$5001,Base!$A$3:$A$5001,M$3,Base!$B$3:$B$5001,$A$79)))</f>
        <v/>
      </c>
      <c r="N89" s="79" t="str">
        <f>IF(N$3="","",IF(COUNTIFS(Base!$A$3:$A$5001,N$3,Base!$B$3:$B$5001,$A$79,Base!$W$3:$W$5001,"&lt;&gt;")=0,"",SUMIFS(Base!$W$3:$W$5001,Base!$A$3:$A$5001,N$3,Base!$B$3:$B$5001,$A$79)))</f>
        <v/>
      </c>
      <c r="O89" s="79" t="str">
        <f>IF(O$3="","",IF(COUNTIFS(Base!$A$3:$A$5001,O$3,Base!$B$3:$B$5001,$A$79,Base!$W$3:$W$5001,"&lt;&gt;")=0,"",SUMIFS(Base!$W$3:$W$5001,Base!$A$3:$A$5001,O$3,Base!$B$3:$B$5001,$A$79)))</f>
        <v/>
      </c>
      <c r="P89" s="79" t="str">
        <f>IF(P$3="","",IF(COUNTIFS(Base!$A$3:$A$5001,P$3,Base!$B$3:$B$5001,$A$79,Base!$W$3:$W$5001,"&lt;&gt;")=0,"",SUMIFS(Base!$W$3:$W$5001,Base!$A$3:$A$5001,P$3,Base!$B$3:$B$5001,$A$79)))</f>
        <v/>
      </c>
      <c r="Q89" s="79" t="str">
        <f>IF(Q$3="","",IF(COUNTIFS(Base!$A$3:$A$5001,Q$3,Base!$B$3:$B$5001,$A$79,Base!$W$3:$W$5001,"&lt;&gt;")=0,"",SUMIFS(Base!$W$3:$W$5001,Base!$A$3:$A$5001,Q$3,Base!$B$3:$B$5001,$A$79)))</f>
        <v/>
      </c>
      <c r="R89" s="79" t="str">
        <f>IF(R$3="","",IF(COUNTIFS(Base!$A$3:$A$5001,R$3,Base!$B$3:$B$5001,$A$79,Base!$W$3:$W$5001,"&lt;&gt;")=0,"",SUMIFS(Base!$W$3:$W$5001,Base!$A$3:$A$5001,R$3,Base!$B$3:$B$5001,$A$79)))</f>
        <v/>
      </c>
      <c r="S89" s="79" t="str">
        <f>IF(S$3="","",IF(COUNTIFS(Base!$A$3:$A$5001,S$3,Base!$B$3:$B$5001,$A$79,Base!$W$3:$W$5001,"&lt;&gt;")=0,"",SUMIFS(Base!$W$3:$W$5001,Base!$A$3:$A$5001,S$3,Base!$B$3:$B$5001,$A$79)))</f>
        <v/>
      </c>
      <c r="T89" s="79" t="str">
        <f>IF(T$3="","",IF(COUNTIFS(Base!$A$3:$A$5001,T$3,Base!$B$3:$B$5001,$A$79,Base!$W$3:$W$5001,"&lt;&gt;")=0,"",SUMIFS(Base!$W$3:$W$5001,Base!$A$3:$A$5001,T$3,Base!$B$3:$B$5001,$A$79)))</f>
        <v/>
      </c>
      <c r="U89" s="79" t="str">
        <f>IF(U$3="","",IF(COUNTIFS(Base!$A$3:$A$5001,U$3,Base!$B$3:$B$5001,$A$79,Base!$W$3:$W$5001,"&lt;&gt;")=0,"",SUMIFS(Base!$W$3:$W$5001,Base!$A$3:$A$5001,U$3,Base!$B$3:$B$5001,$A$79)))</f>
        <v/>
      </c>
      <c r="V89" s="79" t="str">
        <f>IF(V$3="","",IF(COUNTIFS(Base!$A$3:$A$5001,V$3,Base!$B$3:$B$5001,$A$79,Base!$W$3:$W$5001,"&lt;&gt;")=0,"",SUMIFS(Base!$W$3:$W$5001,Base!$A$3:$A$5001,V$3,Base!$B$3:$B$5001,$A$79)))</f>
        <v/>
      </c>
      <c r="W89" s="79" t="str">
        <f>IF(W$3="","",IF(COUNTIFS(Base!$A$3:$A$5001,W$3,Base!$B$3:$B$5001,$A$79,Base!$W$3:$W$5001,"&lt;&gt;")=0,"",SUMIFS(Base!$W$3:$W$5001,Base!$A$3:$A$5001,W$3,Base!$B$3:$B$5001,$A$79)))</f>
        <v/>
      </c>
      <c r="X89" s="79" t="str">
        <f>IF(X$3="","",IF(COUNTIFS(Base!$A$3:$A$5001,X$3,Base!$B$3:$B$5001,$A$79,Base!$W$3:$W$5001,"&lt;&gt;")=0,"",SUMIFS(Base!$W$3:$W$5001,Base!$A$3:$A$5001,X$3,Base!$B$3:$B$5001,$A$79)))</f>
        <v/>
      </c>
      <c r="Y89" s="79" t="str">
        <f>IF(Y$3="","",IF(COUNTIFS(Base!$A$3:$A$5001,Y$3,Base!$B$3:$B$5001,$A$79,Base!$W$3:$W$5001,"&lt;&gt;")=0,"",SUMIFS(Base!$W$3:$W$5001,Base!$A$3:$A$5001,Y$3,Base!$B$3:$B$5001,$A$79)))</f>
        <v/>
      </c>
      <c r="Z89" s="79" t="str">
        <f>IF(Z$3="","",IF(COUNTIFS(Base!$A$3:$A$5001,Z$3,Base!$B$3:$B$5001,$A$79,Base!$W$3:$W$5001,"&lt;&gt;")=0,"",SUMIFS(Base!$W$3:$W$5001,Base!$A$3:$A$5001,Z$3,Base!$B$3:$B$5001,$A$79)))</f>
        <v/>
      </c>
      <c r="AA89" s="79" t="str">
        <f>IF(AA$3="","",IF(COUNTIFS(Base!$A$3:$A$5001,AA$3,Base!$B$3:$B$5001,$A$79,Base!$W$3:$W$5001,"&lt;&gt;")=0,"",SUMIFS(Base!$W$3:$W$5001,Base!$A$3:$A$5001,AA$3,Base!$B$3:$B$5001,$A$79)))</f>
        <v/>
      </c>
      <c r="AB89" s="79" t="str">
        <f>IF(AB$3="","",IF(COUNTIFS(Base!$A$3:$A$5001,AB$3,Base!$B$3:$B$5001,$A$79,Base!$W$3:$W$5001,"&lt;&gt;")=0,"",SUMIFS(Base!$W$3:$W$5001,Base!$A$3:$A$5001,AB$3,Base!$B$3:$B$5001,$A$79)))</f>
        <v/>
      </c>
      <c r="AC89" s="79" t="str">
        <f>IF(AC$3="","",IF(COUNTIFS(Base!$A$3:$A$5001,AC$3,Base!$B$3:$B$5001,$A$79,Base!$W$3:$W$5001,"&lt;&gt;")=0,"",SUMIFS(Base!$W$3:$W$5001,Base!$A$3:$A$5001,AC$3,Base!$B$3:$B$5001,$A$79)))</f>
        <v/>
      </c>
      <c r="AD89" s="79" t="str">
        <f>IF(AD$3="","",IF(COUNTIFS(Base!$A$3:$A$5001,AD$3,Base!$B$3:$B$5001,$A$79,Base!$W$3:$W$5001,"&lt;&gt;")=0,"",SUMIFS(Base!$W$3:$W$5001,Base!$A$3:$A$5001,AD$3,Base!$B$3:$B$5001,$A$79)))</f>
        <v/>
      </c>
      <c r="AE89" s="79" t="str">
        <f>IF(AE$3="","",IF(COUNTIFS(Base!$A$3:$A$5001,AE$3,Base!$B$3:$B$5001,$A$79,Base!$W$3:$W$5001,"&lt;&gt;")=0,"",SUMIFS(Base!$W$3:$W$5001,Base!$A$3:$A$5001,AE$3,Base!$B$3:$B$5001,$A$79)))</f>
        <v/>
      </c>
      <c r="AF89" s="79" t="str">
        <f>IF(AF$3="","",IF(COUNTIFS(Base!$A$3:$A$5001,AF$3,Base!$B$3:$B$5001,$A$79,Base!$W$3:$W$5001,"&lt;&gt;")=0,"",SUMIFS(Base!$W$3:$W$5001,Base!$A$3:$A$5001,AF$3,Base!$B$3:$B$5001,$A$79)))</f>
        <v/>
      </c>
      <c r="AG89" s="79" t="str">
        <f>IF(AG$3="","",IF(COUNTIFS(Base!$A$3:$A$5001,AG$3,Base!$B$3:$B$5001,$A$79,Base!$W$3:$W$5001,"&lt;&gt;")=0,"",SUMIFS(Base!$W$3:$W$5001,Base!$A$3:$A$5001,AG$3,Base!$B$3:$B$5001,$A$79)))</f>
        <v/>
      </c>
      <c r="AH89" s="79" t="str">
        <f>IF(AH$3="","",IF(COUNTIFS(Base!$A$3:$A$5001,AH$3,Base!$B$3:$B$5001,$A$79,Base!$W$3:$W$5001,"&lt;&gt;")=0,"",SUMIFS(Base!$W$3:$W$5001,Base!$A$3:$A$5001,AH$3,Base!$B$3:$B$5001,$A$79)))</f>
        <v/>
      </c>
      <c r="AI89" s="79" t="str">
        <f>IF(AI$3="","",IF(COUNTIFS(Base!$A$3:$A$5001,AI$3,Base!$B$3:$B$5001,$A$79,Base!$W$3:$W$5001,"&lt;&gt;")=0,"",SUMIFS(Base!$W$3:$W$5001,Base!$A$3:$A$5001,AI$3,Base!$B$3:$B$5001,$A$79)))</f>
        <v/>
      </c>
      <c r="AJ89" s="80" t="str">
        <f>IF(AJ$3="","",IF(COUNTIFS(Base!$A$3:$A$5001,AJ$3,Base!$B$3:$B$5001,$A$79,Base!$W$3:$W$5001,"&lt;&gt;")=0,"",SUMIFS(Base!$W$3:$W$5001,Base!$A$3:$A$5001,AJ$3,Base!$B$3:$B$5001,$A$79)))</f>
        <v/>
      </c>
      <c r="AK89" s="76" t="str">
        <f>IFERROR(LOOKUP(9.99E+307,F89:AJ89),"")</f>
        <v/>
      </c>
    </row>
    <row r="90" ht="15.75" customHeight="1">
      <c r="A90" s="118"/>
      <c r="B90" s="105" t="inlineStr">
        <is>
          <t xml:space="preserve">OCUPAÇÃO (P.P)</t>
        </is>
      </c>
      <c r="C90" s="21" t="inlineStr">
        <is>
          <t xml:space="preserve">Posições Disponíveis</t>
        </is>
      </c>
      <c r="D90" s="22" t="str">
        <f>IFERROR(1/(1/INDEX(calculos!$C$55:$K$83,MATCH("Posições Disponíveis",calculos!$A$55:$A$83,0),MATCH($A$79,calculos!$C$54:$K$54,0))),"")</f>
        <v/>
      </c>
      <c r="E90" s="23"/>
      <c r="F90" s="24" t="str">
        <f>IF(F$3="","",IF(COUNTIFS(Base!$A$3:$A$5001,F$3,Base!$B$3:$B$5001,$A$79,Base!$X$3:$X$5001,"&lt;&gt;")=0,"",SUMIFS(Base!$X$3:$X$5001,Base!$A$3:$A$5001,F$3,Base!$B$3:$B$5001,$A$79)))</f>
        <v/>
      </c>
      <c r="G90" s="25" t="str">
        <f>IF(G$3="","",IF(COUNTIFS(Base!$A$3:$A$5001,G$3,Base!$B$3:$B$5001,$A$79,Base!$X$3:$X$5001,"&lt;&gt;")=0,"",SUMIFS(Base!$X$3:$X$5001,Base!$A$3:$A$5001,G$3,Base!$B$3:$B$5001,$A$79)))</f>
        <v/>
      </c>
      <c r="H90" s="25" t="str">
        <f>IF(H$3="","",IF(COUNTIFS(Base!$A$3:$A$5001,H$3,Base!$B$3:$B$5001,$A$79,Base!$X$3:$X$5001,"&lt;&gt;")=0,"",SUMIFS(Base!$X$3:$X$5001,Base!$A$3:$A$5001,H$3,Base!$B$3:$B$5001,$A$79)))</f>
        <v/>
      </c>
      <c r="I90" s="25" t="str">
        <f>IF(I$3="","",IF(COUNTIFS(Base!$A$3:$A$5001,I$3,Base!$B$3:$B$5001,$A$79,Base!$X$3:$X$5001,"&lt;&gt;")=0,"",SUMIFS(Base!$X$3:$X$5001,Base!$A$3:$A$5001,I$3,Base!$B$3:$B$5001,$A$79)))</f>
        <v/>
      </c>
      <c r="J90" s="25" t="str">
        <f>IF(J$3="","",IF(COUNTIFS(Base!$A$3:$A$5001,J$3,Base!$B$3:$B$5001,$A$79,Base!$X$3:$X$5001,"&lt;&gt;")=0,"",SUMIFS(Base!$X$3:$X$5001,Base!$A$3:$A$5001,J$3,Base!$B$3:$B$5001,$A$79)))</f>
        <v/>
      </c>
      <c r="K90" s="25" t="str">
        <f>IF(K$3="","",IF(COUNTIFS(Base!$A$3:$A$5001,K$3,Base!$B$3:$B$5001,$A$79,Base!$X$3:$X$5001,"&lt;&gt;")=0,"",SUMIFS(Base!$X$3:$X$5001,Base!$A$3:$A$5001,K$3,Base!$B$3:$B$5001,$A$79)))</f>
        <v/>
      </c>
      <c r="L90" s="25" t="str">
        <f>IF(L$3="","",IF(COUNTIFS(Base!$A$3:$A$5001,L$3,Base!$B$3:$B$5001,$A$79,Base!$X$3:$X$5001,"&lt;&gt;")=0,"",SUMIFS(Base!$X$3:$X$5001,Base!$A$3:$A$5001,L$3,Base!$B$3:$B$5001,$A$79)))</f>
        <v/>
      </c>
      <c r="M90" s="25" t="str">
        <f>IF(M$3="","",IF(COUNTIFS(Base!$A$3:$A$5001,M$3,Base!$B$3:$B$5001,$A$79,Base!$X$3:$X$5001,"&lt;&gt;")=0,"",SUMIFS(Base!$X$3:$X$5001,Base!$A$3:$A$5001,M$3,Base!$B$3:$B$5001,$A$79)))</f>
        <v/>
      </c>
      <c r="N90" s="25" t="str">
        <f>IF(N$3="","",IF(COUNTIFS(Base!$A$3:$A$5001,N$3,Base!$B$3:$B$5001,$A$79,Base!$X$3:$X$5001,"&lt;&gt;")=0,"",SUMIFS(Base!$X$3:$X$5001,Base!$A$3:$A$5001,N$3,Base!$B$3:$B$5001,$A$79)))</f>
        <v/>
      </c>
      <c r="O90" s="25" t="str">
        <f>IF(O$3="","",IF(COUNTIFS(Base!$A$3:$A$5001,O$3,Base!$B$3:$B$5001,$A$79,Base!$X$3:$X$5001,"&lt;&gt;")=0,"",SUMIFS(Base!$X$3:$X$5001,Base!$A$3:$A$5001,O$3,Base!$B$3:$B$5001,$A$79)))</f>
        <v/>
      </c>
      <c r="P90" s="25" t="str">
        <f>IF(P$3="","",IF(COUNTIFS(Base!$A$3:$A$5001,P$3,Base!$B$3:$B$5001,$A$79,Base!$X$3:$X$5001,"&lt;&gt;")=0,"",SUMIFS(Base!$X$3:$X$5001,Base!$A$3:$A$5001,P$3,Base!$B$3:$B$5001,$A$79)))</f>
        <v/>
      </c>
      <c r="Q90" s="25" t="str">
        <f>IF(Q$3="","",IF(COUNTIFS(Base!$A$3:$A$5001,Q$3,Base!$B$3:$B$5001,$A$79,Base!$X$3:$X$5001,"&lt;&gt;")=0,"",SUMIFS(Base!$X$3:$X$5001,Base!$A$3:$A$5001,Q$3,Base!$B$3:$B$5001,$A$79)))</f>
        <v/>
      </c>
      <c r="R90" s="25" t="str">
        <f>IF(R$3="","",IF(COUNTIFS(Base!$A$3:$A$5001,R$3,Base!$B$3:$B$5001,$A$79,Base!$X$3:$X$5001,"&lt;&gt;")=0,"",SUMIFS(Base!$X$3:$X$5001,Base!$A$3:$A$5001,R$3,Base!$B$3:$B$5001,$A$79)))</f>
        <v/>
      </c>
      <c r="S90" s="25" t="str">
        <f>IF(S$3="","",IF(COUNTIFS(Base!$A$3:$A$5001,S$3,Base!$B$3:$B$5001,$A$79,Base!$X$3:$X$5001,"&lt;&gt;")=0,"",SUMIFS(Base!$X$3:$X$5001,Base!$A$3:$A$5001,S$3,Base!$B$3:$B$5001,$A$79)))</f>
        <v/>
      </c>
      <c r="T90" s="25" t="str">
        <f>IF(T$3="","",IF(COUNTIFS(Base!$A$3:$A$5001,T$3,Base!$B$3:$B$5001,$A$79,Base!$X$3:$X$5001,"&lt;&gt;")=0,"",SUMIFS(Base!$X$3:$X$5001,Base!$A$3:$A$5001,T$3,Base!$B$3:$B$5001,$A$79)))</f>
        <v/>
      </c>
      <c r="U90" s="25" t="str">
        <f>IF(U$3="","",IF(COUNTIFS(Base!$A$3:$A$5001,U$3,Base!$B$3:$B$5001,$A$79,Base!$X$3:$X$5001,"&lt;&gt;")=0,"",SUMIFS(Base!$X$3:$X$5001,Base!$A$3:$A$5001,U$3,Base!$B$3:$B$5001,$A$79)))</f>
        <v/>
      </c>
      <c r="V90" s="25" t="str">
        <f>IF(V$3="","",IF(COUNTIFS(Base!$A$3:$A$5001,V$3,Base!$B$3:$B$5001,$A$79,Base!$X$3:$X$5001,"&lt;&gt;")=0,"",SUMIFS(Base!$X$3:$X$5001,Base!$A$3:$A$5001,V$3,Base!$B$3:$B$5001,$A$79)))</f>
        <v/>
      </c>
      <c r="W90" s="25" t="str">
        <f>IF(W$3="","",IF(COUNTIFS(Base!$A$3:$A$5001,W$3,Base!$B$3:$B$5001,$A$79,Base!$X$3:$X$5001,"&lt;&gt;")=0,"",SUMIFS(Base!$X$3:$X$5001,Base!$A$3:$A$5001,W$3,Base!$B$3:$B$5001,$A$79)))</f>
        <v/>
      </c>
      <c r="X90" s="25" t="str">
        <f>IF(X$3="","",IF(COUNTIFS(Base!$A$3:$A$5001,X$3,Base!$B$3:$B$5001,$A$79,Base!$X$3:$X$5001,"&lt;&gt;")=0,"",SUMIFS(Base!$X$3:$X$5001,Base!$A$3:$A$5001,X$3,Base!$B$3:$B$5001,$A$79)))</f>
        <v/>
      </c>
      <c r="Y90" s="25" t="str">
        <f>IF(Y$3="","",IF(COUNTIFS(Base!$A$3:$A$5001,Y$3,Base!$B$3:$B$5001,$A$79,Base!$X$3:$X$5001,"&lt;&gt;")=0,"",SUMIFS(Base!$X$3:$X$5001,Base!$A$3:$A$5001,Y$3,Base!$B$3:$B$5001,$A$79)))</f>
        <v/>
      </c>
      <c r="Z90" s="25" t="str">
        <f>IF(Z$3="","",IF(COUNTIFS(Base!$A$3:$A$5001,Z$3,Base!$B$3:$B$5001,$A$79,Base!$X$3:$X$5001,"&lt;&gt;")=0,"",SUMIFS(Base!$X$3:$X$5001,Base!$A$3:$A$5001,Z$3,Base!$B$3:$B$5001,$A$79)))</f>
        <v/>
      </c>
      <c r="AA90" s="25" t="str">
        <f>IF(AA$3="","",IF(COUNTIFS(Base!$A$3:$A$5001,AA$3,Base!$B$3:$B$5001,$A$79,Base!$X$3:$X$5001,"&lt;&gt;")=0,"",SUMIFS(Base!$X$3:$X$5001,Base!$A$3:$A$5001,AA$3,Base!$B$3:$B$5001,$A$79)))</f>
        <v/>
      </c>
      <c r="AB90" s="25" t="str">
        <f>IF(AB$3="","",IF(COUNTIFS(Base!$A$3:$A$5001,AB$3,Base!$B$3:$B$5001,$A$79,Base!$X$3:$X$5001,"&lt;&gt;")=0,"",SUMIFS(Base!$X$3:$X$5001,Base!$A$3:$A$5001,AB$3,Base!$B$3:$B$5001,$A$79)))</f>
        <v/>
      </c>
      <c r="AC90" s="25" t="str">
        <f>IF(AC$3="","",IF(COUNTIFS(Base!$A$3:$A$5001,AC$3,Base!$B$3:$B$5001,$A$79,Base!$X$3:$X$5001,"&lt;&gt;")=0,"",SUMIFS(Base!$X$3:$X$5001,Base!$A$3:$A$5001,AC$3,Base!$B$3:$B$5001,$A$79)))</f>
        <v/>
      </c>
      <c r="AD90" s="25" t="str">
        <f>IF(AD$3="","",IF(COUNTIFS(Base!$A$3:$A$5001,AD$3,Base!$B$3:$B$5001,$A$79,Base!$X$3:$X$5001,"&lt;&gt;")=0,"",SUMIFS(Base!$X$3:$X$5001,Base!$A$3:$A$5001,AD$3,Base!$B$3:$B$5001,$A$79)))</f>
        <v/>
      </c>
      <c r="AE90" s="25" t="str">
        <f>IF(AE$3="","",IF(COUNTIFS(Base!$A$3:$A$5001,AE$3,Base!$B$3:$B$5001,$A$79,Base!$X$3:$X$5001,"&lt;&gt;")=0,"",SUMIFS(Base!$X$3:$X$5001,Base!$A$3:$A$5001,AE$3,Base!$B$3:$B$5001,$A$79)))</f>
        <v/>
      </c>
      <c r="AF90" s="25" t="str">
        <f>IF(AF$3="","",IF(COUNTIFS(Base!$A$3:$A$5001,AF$3,Base!$B$3:$B$5001,$A$79,Base!$X$3:$X$5001,"&lt;&gt;")=0,"",SUMIFS(Base!$X$3:$X$5001,Base!$A$3:$A$5001,AF$3,Base!$B$3:$B$5001,$A$79)))</f>
        <v/>
      </c>
      <c r="AG90" s="25" t="str">
        <f>IF(AG$3="","",IF(COUNTIFS(Base!$A$3:$A$5001,AG$3,Base!$B$3:$B$5001,$A$79,Base!$X$3:$X$5001,"&lt;&gt;")=0,"",SUMIFS(Base!$X$3:$X$5001,Base!$A$3:$A$5001,AG$3,Base!$B$3:$B$5001,$A$79)))</f>
        <v/>
      </c>
      <c r="AH90" s="25" t="str">
        <f>IF(AH$3="","",IF(COUNTIFS(Base!$A$3:$A$5001,AH$3,Base!$B$3:$B$5001,$A$79,Base!$X$3:$X$5001,"&lt;&gt;")=0,"",SUMIFS(Base!$X$3:$X$5001,Base!$A$3:$A$5001,AH$3,Base!$B$3:$B$5001,$A$79)))</f>
        <v/>
      </c>
      <c r="AI90" s="25" t="str">
        <f>IF(AI$3="","",IF(COUNTIFS(Base!$A$3:$A$5001,AI$3,Base!$B$3:$B$5001,$A$79,Base!$X$3:$X$5001,"&lt;&gt;")=0,"",SUMIFS(Base!$X$3:$X$5001,Base!$A$3:$A$5001,AI$3,Base!$B$3:$B$5001,$A$79)))</f>
        <v/>
      </c>
      <c r="AJ90" s="26" t="str">
        <f>IF(AJ$3="","",IF(COUNTIFS(Base!$A$3:$A$5001,AJ$3,Base!$B$3:$B$5001,$A$79,Base!$X$3:$X$5001,"&lt;&gt;")=0,"",SUMIFS(Base!$X$3:$X$5001,Base!$A$3:$A$5001,AJ$3,Base!$B$3:$B$5001,$A$79)))</f>
        <v/>
      </c>
      <c r="AK90" s="27" t="str">
        <f>IFERROR(LOOKUP(9.99E+307,F90:AJ90),"")</f>
        <v/>
      </c>
    </row>
    <row r="91" ht="15.75" customHeight="1">
      <c r="A91" s="118"/>
      <c r="B91" s="106"/>
      <c r="C91" s="28" t="inlineStr">
        <is>
          <t xml:space="preserve">Posições Ocupadas</t>
        </is>
      </c>
      <c r="D91" s="29" t="str">
        <f>IFERROR(1/(1/INDEX(calculos!$C$55:$K$83,MATCH("Posições Ocupadas",calculos!$A$55:$A$83,0),MATCH($A$79,calculos!$C$54:$K$54,0))),"")</f>
        <v/>
      </c>
      <c r="E91" s="30"/>
      <c r="F91" s="31" t="str">
        <f>IF(F$3="","",IF(COUNTIFS(Base!$A$3:$A$5001,F$3,Base!$B$3:$B$5001,$A$79,Base!$Y$3:$Y$5001,"&lt;&gt;")=0,"",SUMIFS(Base!$Y$3:$Y$5001,Base!$A$3:$A$5001,F$3,Base!$B$3:$B$5001,$A$79)))</f>
        <v/>
      </c>
      <c r="G91" s="32" t="str">
        <f>IF(G$3="","",IF(COUNTIFS(Base!$A$3:$A$5001,G$3,Base!$B$3:$B$5001,$A$79,Base!$Y$3:$Y$5001,"&lt;&gt;")=0,"",SUMIFS(Base!$Y$3:$Y$5001,Base!$A$3:$A$5001,G$3,Base!$B$3:$B$5001,$A$79)))</f>
        <v/>
      </c>
      <c r="H91" s="32" t="str">
        <f>IF(H$3="","",IF(COUNTIFS(Base!$A$3:$A$5001,H$3,Base!$B$3:$B$5001,$A$79,Base!$Y$3:$Y$5001,"&lt;&gt;")=0,"",SUMIFS(Base!$Y$3:$Y$5001,Base!$A$3:$A$5001,H$3,Base!$B$3:$B$5001,$A$79)))</f>
        <v/>
      </c>
      <c r="I91" s="32" t="str">
        <f>IF(I$3="","",IF(COUNTIFS(Base!$A$3:$A$5001,I$3,Base!$B$3:$B$5001,$A$79,Base!$Y$3:$Y$5001,"&lt;&gt;")=0,"",SUMIFS(Base!$Y$3:$Y$5001,Base!$A$3:$A$5001,I$3,Base!$B$3:$B$5001,$A$79)))</f>
        <v/>
      </c>
      <c r="J91" s="32" t="str">
        <f>IF(J$3="","",IF(COUNTIFS(Base!$A$3:$A$5001,J$3,Base!$B$3:$B$5001,$A$79,Base!$Y$3:$Y$5001,"&lt;&gt;")=0,"",SUMIFS(Base!$Y$3:$Y$5001,Base!$A$3:$A$5001,J$3,Base!$B$3:$B$5001,$A$79)))</f>
        <v/>
      </c>
      <c r="K91" s="32" t="str">
        <f>IF(K$3="","",IF(COUNTIFS(Base!$A$3:$A$5001,K$3,Base!$B$3:$B$5001,$A$79,Base!$Y$3:$Y$5001,"&lt;&gt;")=0,"",SUMIFS(Base!$Y$3:$Y$5001,Base!$A$3:$A$5001,K$3,Base!$B$3:$B$5001,$A$79)))</f>
        <v/>
      </c>
      <c r="L91" s="32" t="str">
        <f>IF(L$3="","",IF(COUNTIFS(Base!$A$3:$A$5001,L$3,Base!$B$3:$B$5001,$A$79,Base!$Y$3:$Y$5001,"&lt;&gt;")=0,"",SUMIFS(Base!$Y$3:$Y$5001,Base!$A$3:$A$5001,L$3,Base!$B$3:$B$5001,$A$79)))</f>
        <v/>
      </c>
      <c r="M91" s="32" t="str">
        <f>IF(M$3="","",IF(COUNTIFS(Base!$A$3:$A$5001,M$3,Base!$B$3:$B$5001,$A$79,Base!$Y$3:$Y$5001,"&lt;&gt;")=0,"",SUMIFS(Base!$Y$3:$Y$5001,Base!$A$3:$A$5001,M$3,Base!$B$3:$B$5001,$A$79)))</f>
        <v/>
      </c>
      <c r="N91" s="32" t="str">
        <f>IF(N$3="","",IF(COUNTIFS(Base!$A$3:$A$5001,N$3,Base!$B$3:$B$5001,$A$79,Base!$Y$3:$Y$5001,"&lt;&gt;")=0,"",SUMIFS(Base!$Y$3:$Y$5001,Base!$A$3:$A$5001,N$3,Base!$B$3:$B$5001,$A$79)))</f>
        <v/>
      </c>
      <c r="O91" s="32" t="str">
        <f>IF(O$3="","",IF(COUNTIFS(Base!$A$3:$A$5001,O$3,Base!$B$3:$B$5001,$A$79,Base!$Y$3:$Y$5001,"&lt;&gt;")=0,"",SUMIFS(Base!$Y$3:$Y$5001,Base!$A$3:$A$5001,O$3,Base!$B$3:$B$5001,$A$79)))</f>
        <v/>
      </c>
      <c r="P91" s="32" t="str">
        <f>IF(P$3="","",IF(COUNTIFS(Base!$A$3:$A$5001,P$3,Base!$B$3:$B$5001,$A$79,Base!$Y$3:$Y$5001,"&lt;&gt;")=0,"",SUMIFS(Base!$Y$3:$Y$5001,Base!$A$3:$A$5001,P$3,Base!$B$3:$B$5001,$A$79)))</f>
        <v/>
      </c>
      <c r="Q91" s="32" t="str">
        <f>IF(Q$3="","",IF(COUNTIFS(Base!$A$3:$A$5001,Q$3,Base!$B$3:$B$5001,$A$79,Base!$Y$3:$Y$5001,"&lt;&gt;")=0,"",SUMIFS(Base!$Y$3:$Y$5001,Base!$A$3:$A$5001,Q$3,Base!$B$3:$B$5001,$A$79)))</f>
        <v/>
      </c>
      <c r="R91" s="32" t="str">
        <f>IF(R$3="","",IF(COUNTIFS(Base!$A$3:$A$5001,R$3,Base!$B$3:$B$5001,$A$79,Base!$Y$3:$Y$5001,"&lt;&gt;")=0,"",SUMIFS(Base!$Y$3:$Y$5001,Base!$A$3:$A$5001,R$3,Base!$B$3:$B$5001,$A$79)))</f>
        <v/>
      </c>
      <c r="S91" s="32" t="str">
        <f>IF(S$3="","",IF(COUNTIFS(Base!$A$3:$A$5001,S$3,Base!$B$3:$B$5001,$A$79,Base!$Y$3:$Y$5001,"&lt;&gt;")=0,"",SUMIFS(Base!$Y$3:$Y$5001,Base!$A$3:$A$5001,S$3,Base!$B$3:$B$5001,$A$79)))</f>
        <v/>
      </c>
      <c r="T91" s="32" t="str">
        <f>IF(T$3="","",IF(COUNTIFS(Base!$A$3:$A$5001,T$3,Base!$B$3:$B$5001,$A$79,Base!$Y$3:$Y$5001,"&lt;&gt;")=0,"",SUMIFS(Base!$Y$3:$Y$5001,Base!$A$3:$A$5001,T$3,Base!$B$3:$B$5001,$A$79)))</f>
        <v/>
      </c>
      <c r="U91" s="32" t="str">
        <f>IF(U$3="","",IF(COUNTIFS(Base!$A$3:$A$5001,U$3,Base!$B$3:$B$5001,$A$79,Base!$Y$3:$Y$5001,"&lt;&gt;")=0,"",SUMIFS(Base!$Y$3:$Y$5001,Base!$A$3:$A$5001,U$3,Base!$B$3:$B$5001,$A$79)))</f>
        <v/>
      </c>
      <c r="V91" s="32" t="str">
        <f>IF(V$3="","",IF(COUNTIFS(Base!$A$3:$A$5001,V$3,Base!$B$3:$B$5001,$A$79,Base!$Y$3:$Y$5001,"&lt;&gt;")=0,"",SUMIFS(Base!$Y$3:$Y$5001,Base!$A$3:$A$5001,V$3,Base!$B$3:$B$5001,$A$79)))</f>
        <v/>
      </c>
      <c r="W91" s="32" t="str">
        <f>IF(W$3="","",IF(COUNTIFS(Base!$A$3:$A$5001,W$3,Base!$B$3:$B$5001,$A$79,Base!$Y$3:$Y$5001,"&lt;&gt;")=0,"",SUMIFS(Base!$Y$3:$Y$5001,Base!$A$3:$A$5001,W$3,Base!$B$3:$B$5001,$A$79)))</f>
        <v/>
      </c>
      <c r="X91" s="32" t="str">
        <f>IF(X$3="","",IF(COUNTIFS(Base!$A$3:$A$5001,X$3,Base!$B$3:$B$5001,$A$79,Base!$Y$3:$Y$5001,"&lt;&gt;")=0,"",SUMIFS(Base!$Y$3:$Y$5001,Base!$A$3:$A$5001,X$3,Base!$B$3:$B$5001,$A$79)))</f>
        <v/>
      </c>
      <c r="Y91" s="32" t="str">
        <f>IF(Y$3="","",IF(COUNTIFS(Base!$A$3:$A$5001,Y$3,Base!$B$3:$B$5001,$A$79,Base!$Y$3:$Y$5001,"&lt;&gt;")=0,"",SUMIFS(Base!$Y$3:$Y$5001,Base!$A$3:$A$5001,Y$3,Base!$B$3:$B$5001,$A$79)))</f>
        <v/>
      </c>
      <c r="Z91" s="32" t="str">
        <f>IF(Z$3="","",IF(COUNTIFS(Base!$A$3:$A$5001,Z$3,Base!$B$3:$B$5001,$A$79,Base!$Y$3:$Y$5001,"&lt;&gt;")=0,"",SUMIFS(Base!$Y$3:$Y$5001,Base!$A$3:$A$5001,Z$3,Base!$B$3:$B$5001,$A$79)))</f>
        <v/>
      </c>
      <c r="AA91" s="32" t="str">
        <f>IF(AA$3="","",IF(COUNTIFS(Base!$A$3:$A$5001,AA$3,Base!$B$3:$B$5001,$A$79,Base!$Y$3:$Y$5001,"&lt;&gt;")=0,"",SUMIFS(Base!$Y$3:$Y$5001,Base!$A$3:$A$5001,AA$3,Base!$B$3:$B$5001,$A$79)))</f>
        <v/>
      </c>
      <c r="AB91" s="32" t="str">
        <f>IF(AB$3="","",IF(COUNTIFS(Base!$A$3:$A$5001,AB$3,Base!$B$3:$B$5001,$A$79,Base!$Y$3:$Y$5001,"&lt;&gt;")=0,"",SUMIFS(Base!$Y$3:$Y$5001,Base!$A$3:$A$5001,AB$3,Base!$B$3:$B$5001,$A$79)))</f>
        <v/>
      </c>
      <c r="AC91" s="32" t="str">
        <f>IF(AC$3="","",IF(COUNTIFS(Base!$A$3:$A$5001,AC$3,Base!$B$3:$B$5001,$A$79,Base!$Y$3:$Y$5001,"&lt;&gt;")=0,"",SUMIFS(Base!$Y$3:$Y$5001,Base!$A$3:$A$5001,AC$3,Base!$B$3:$B$5001,$A$79)))</f>
        <v/>
      </c>
      <c r="AD91" s="32" t="str">
        <f>IF(AD$3="","",IF(COUNTIFS(Base!$A$3:$A$5001,AD$3,Base!$B$3:$B$5001,$A$79,Base!$Y$3:$Y$5001,"&lt;&gt;")=0,"",SUMIFS(Base!$Y$3:$Y$5001,Base!$A$3:$A$5001,AD$3,Base!$B$3:$B$5001,$A$79)))</f>
        <v/>
      </c>
      <c r="AE91" s="32" t="str">
        <f>IF(AE$3="","",IF(COUNTIFS(Base!$A$3:$A$5001,AE$3,Base!$B$3:$B$5001,$A$79,Base!$Y$3:$Y$5001,"&lt;&gt;")=0,"",SUMIFS(Base!$Y$3:$Y$5001,Base!$A$3:$A$5001,AE$3,Base!$B$3:$B$5001,$A$79)))</f>
        <v/>
      </c>
      <c r="AF91" s="32" t="str">
        <f>IF(AF$3="","",IF(COUNTIFS(Base!$A$3:$A$5001,AF$3,Base!$B$3:$B$5001,$A$79,Base!$Y$3:$Y$5001,"&lt;&gt;")=0,"",SUMIFS(Base!$Y$3:$Y$5001,Base!$A$3:$A$5001,AF$3,Base!$B$3:$B$5001,$A$79)))</f>
        <v/>
      </c>
      <c r="AG91" s="32" t="str">
        <f>IF(AG$3="","",IF(COUNTIFS(Base!$A$3:$A$5001,AG$3,Base!$B$3:$B$5001,$A$79,Base!$Y$3:$Y$5001,"&lt;&gt;")=0,"",SUMIFS(Base!$Y$3:$Y$5001,Base!$A$3:$A$5001,AG$3,Base!$B$3:$B$5001,$A$79)))</f>
        <v/>
      </c>
      <c r="AH91" s="32" t="str">
        <f>IF(AH$3="","",IF(COUNTIFS(Base!$A$3:$A$5001,AH$3,Base!$B$3:$B$5001,$A$79,Base!$Y$3:$Y$5001,"&lt;&gt;")=0,"",SUMIFS(Base!$Y$3:$Y$5001,Base!$A$3:$A$5001,AH$3,Base!$B$3:$B$5001,$A$79)))</f>
        <v/>
      </c>
      <c r="AI91" s="32" t="str">
        <f>IF(AI$3="","",IF(COUNTIFS(Base!$A$3:$A$5001,AI$3,Base!$B$3:$B$5001,$A$79,Base!$Y$3:$Y$5001,"&lt;&gt;")=0,"",SUMIFS(Base!$Y$3:$Y$5001,Base!$A$3:$A$5001,AI$3,Base!$B$3:$B$5001,$A$79)))</f>
        <v/>
      </c>
      <c r="AJ91" s="33" t="str">
        <f>IF(AJ$3="","",IF(COUNTIFS(Base!$A$3:$A$5001,AJ$3,Base!$B$3:$B$5001,$A$79,Base!$Y$3:$Y$5001,"&lt;&gt;")=0,"",SUMIFS(Base!$Y$3:$Y$5001,Base!$A$3:$A$5001,AJ$3,Base!$B$3:$B$5001,$A$79)))</f>
        <v/>
      </c>
      <c r="AK91" s="34" t="str">
        <f>IFERROR(LOOKUP(9.99E+307,F91:AJ91),"")</f>
        <v/>
      </c>
    </row>
    <row r="92" ht="15.75" customHeight="1">
      <c r="A92" s="118"/>
      <c r="B92" s="107"/>
      <c r="C92" s="35" t="inlineStr">
        <is>
          <t xml:space="preserve">Taxa de Ocupação</t>
        </is>
      </c>
      <c r="D92" s="81" t="str">
        <f>IFERROR(1/(1/INDEX(calculos!$C$55:$K$83,MATCH("Taxa de Ocupação",calculos!$A$55:$A$83,0),MATCH($A$79,calculos!$C$54:$K$54,0))),"")</f>
        <v/>
      </c>
      <c r="E92" s="37"/>
      <c r="F92" s="82" t="str">
        <f>IF(AND(ISNUMBER(F90),ISNUMBER(F91)),IF(F90&gt;0,F91/F90,""),"")</f>
        <v/>
      </c>
      <c r="G92" s="83" t="str">
        <f>IF(AND(ISNUMBER(G90),ISNUMBER(G91)),IF(G90&gt;0,G91/G90,""),"")</f>
        <v/>
      </c>
      <c r="H92" s="83" t="str">
        <f>IF(AND(ISNUMBER(H90),ISNUMBER(H91)),IF(H90&gt;0,H91/H90,""),"")</f>
        <v/>
      </c>
      <c r="I92" s="83" t="str">
        <f>IF(AND(ISNUMBER(I90),ISNUMBER(I91)),IF(I90&gt;0,I91/I90,""),"")</f>
        <v/>
      </c>
      <c r="J92" s="83" t="str">
        <f>IF(AND(ISNUMBER(J90),ISNUMBER(J91)),IF(J90&gt;0,J91/J90,""),"")</f>
        <v/>
      </c>
      <c r="K92" s="83" t="str">
        <f>IF(AND(ISNUMBER(K90),ISNUMBER(K91)),IF(K90&gt;0,K91/K90,""),"")</f>
        <v/>
      </c>
      <c r="L92" s="83" t="str">
        <f>IF(AND(ISNUMBER(L90),ISNUMBER(L91)),IF(L90&gt;0,L91/L90,""),"")</f>
        <v/>
      </c>
      <c r="M92" s="83" t="str">
        <f>IF(AND(ISNUMBER(M90),ISNUMBER(M91)),IF(M90&gt;0,M91/M90,""),"")</f>
        <v/>
      </c>
      <c r="N92" s="83" t="str">
        <f>IF(AND(ISNUMBER(N90),ISNUMBER(N91)),IF(N90&gt;0,N91/N90,""),"")</f>
        <v/>
      </c>
      <c r="O92" s="83" t="str">
        <f>IF(AND(ISNUMBER(O90),ISNUMBER(O91)),IF(O90&gt;0,O91/O90,""),"")</f>
        <v/>
      </c>
      <c r="P92" s="83" t="str">
        <f>IF(AND(ISNUMBER(P90),ISNUMBER(P91)),IF(P90&gt;0,P91/P90,""),"")</f>
        <v/>
      </c>
      <c r="Q92" s="83" t="str">
        <f>IF(AND(ISNUMBER(Q90),ISNUMBER(Q91)),IF(Q90&gt;0,Q91/Q90,""),"")</f>
        <v/>
      </c>
      <c r="R92" s="83" t="str">
        <f>IF(AND(ISNUMBER(R90),ISNUMBER(R91)),IF(R90&gt;0,R91/R90,""),"")</f>
        <v/>
      </c>
      <c r="S92" s="83" t="str">
        <f>IF(AND(ISNUMBER(S90),ISNUMBER(S91)),IF(S90&gt;0,S91/S90,""),"")</f>
        <v/>
      </c>
      <c r="T92" s="83" t="str">
        <f>IF(AND(ISNUMBER(T90),ISNUMBER(T91)),IF(T90&gt;0,T91/T90,""),"")</f>
        <v/>
      </c>
      <c r="U92" s="83" t="str">
        <f>IF(AND(ISNUMBER(U90),ISNUMBER(U91)),IF(U90&gt;0,U91/U90,""),"")</f>
        <v/>
      </c>
      <c r="V92" s="83" t="str">
        <f>IF(AND(ISNUMBER(V90),ISNUMBER(V91)),IF(V90&gt;0,V91/V90,""),"")</f>
        <v/>
      </c>
      <c r="W92" s="83" t="str">
        <f>IF(AND(ISNUMBER(W90),ISNUMBER(W91)),IF(W90&gt;0,W91/W90,""),"")</f>
        <v/>
      </c>
      <c r="X92" s="83" t="str">
        <f>IF(AND(ISNUMBER(X90),ISNUMBER(X91)),IF(X90&gt;0,X91/X90,""),"")</f>
        <v/>
      </c>
      <c r="Y92" s="83" t="str">
        <f>IF(AND(ISNUMBER(Y90),ISNUMBER(Y91)),IF(Y90&gt;0,Y91/Y90,""),"")</f>
        <v/>
      </c>
      <c r="Z92" s="83" t="str">
        <f>IF(AND(ISNUMBER(Z90),ISNUMBER(Z91)),IF(Z90&gt;0,Z91/Z90,""),"")</f>
        <v/>
      </c>
      <c r="AA92" s="83" t="str">
        <f>IF(AND(ISNUMBER(AA90),ISNUMBER(AA91)),IF(AA90&gt;0,AA91/AA90,""),"")</f>
        <v/>
      </c>
      <c r="AB92" s="83" t="str">
        <f>IF(AND(ISNUMBER(AB90),ISNUMBER(AB91)),IF(AB90&gt;0,AB91/AB90,""),"")</f>
        <v/>
      </c>
      <c r="AC92" s="83" t="str">
        <f>IF(AND(ISNUMBER(AC90),ISNUMBER(AC91)),IF(AC90&gt;0,AC91/AC90,""),"")</f>
        <v/>
      </c>
      <c r="AD92" s="83" t="str">
        <f>IF(AND(ISNUMBER(AD90),ISNUMBER(AD91)),IF(AD90&gt;0,AD91/AD90,""),"")</f>
        <v/>
      </c>
      <c r="AE92" s="83" t="str">
        <f>IF(AND(ISNUMBER(AE90),ISNUMBER(AE91)),IF(AE90&gt;0,AE91/AE90,""),"")</f>
        <v/>
      </c>
      <c r="AF92" s="83" t="str">
        <f>IF(AND(ISNUMBER(AF90),ISNUMBER(AF91)),IF(AF90&gt;0,AF91/AF90,""),"")</f>
        <v/>
      </c>
      <c r="AG92" s="83" t="str">
        <f>IF(AND(ISNUMBER(AG90),ISNUMBER(AG91)),IF(AG90&gt;0,AG91/AG90,""),"")</f>
        <v/>
      </c>
      <c r="AH92" s="83" t="str">
        <f>IF(AND(ISNUMBER(AH90),ISNUMBER(AH91)),IF(AH90&gt;0,AH91/AH90,""),"")</f>
        <v/>
      </c>
      <c r="AI92" s="83" t="str">
        <f>IF(AND(ISNUMBER(AI90),ISNUMBER(AI91)),IF(AI90&gt;0,AI91/AI90,""),"")</f>
        <v/>
      </c>
      <c r="AJ92" s="84" t="str">
        <f>IF(AND(ISNUMBER(AJ90),ISNUMBER(AJ91)),IF(AJ90&gt;0,AJ91/AJ90,""),"")</f>
        <v/>
      </c>
      <c r="AK92" s="81" t="str">
        <f>IF(AND(ISNUMBER(AK90),ISNUMBER(AK91)),IF(AK90&gt;0,AK91/AK90,""),"")</f>
        <v/>
      </c>
    </row>
    <row r="93" ht="15.75" customHeight="1">
      <c r="A93" s="118"/>
      <c r="B93" s="114" t="inlineStr">
        <is>
          <t xml:space="preserve">GENTE</t>
        </is>
      </c>
      <c r="C93" s="85" t="inlineStr">
        <is>
          <t xml:space="preserve">Efetivo</t>
        </is>
      </c>
      <c r="D93" s="86" t="str">
        <f>IFERROR(1/(1/INDEX(calculos!$C$55:$K$83,MATCH("Efetivo",calculos!$A$55:$A$83,0),MATCH($A$79,calculos!$C$54:$K$54,0))),"")</f>
        <v/>
      </c>
      <c r="E93" s="87"/>
      <c r="F93" s="88" t="str">
        <f>IF(F$3="","",IF(COUNTIFS(Base!$A$3:$A$5001,F$3,Base!$B$3:$B$5001,$A$79,Base!$Z$3:$Z$5001,"&lt;&gt;")=0,"",SUMIFS(Base!$Z$3:$Z$5001,Base!$A$3:$A$5001,F$3,Base!$B$3:$B$5001,$A$79)))</f>
        <v/>
      </c>
      <c r="G93" s="89" t="str">
        <f>IF(G$3="","",IF(COUNTIFS(Base!$A$3:$A$5001,G$3,Base!$B$3:$B$5001,$A$79,Base!$Z$3:$Z$5001,"&lt;&gt;")=0,"",SUMIFS(Base!$Z$3:$Z$5001,Base!$A$3:$A$5001,G$3,Base!$B$3:$B$5001,$A$79)))</f>
        <v/>
      </c>
      <c r="H93" s="89" t="str">
        <f>IF(H$3="","",IF(COUNTIFS(Base!$A$3:$A$5001,H$3,Base!$B$3:$B$5001,$A$79,Base!$Z$3:$Z$5001,"&lt;&gt;")=0,"",SUMIFS(Base!$Z$3:$Z$5001,Base!$A$3:$A$5001,H$3,Base!$B$3:$B$5001,$A$79)))</f>
        <v/>
      </c>
      <c r="I93" s="89" t="str">
        <f>IF(I$3="","",IF(COUNTIFS(Base!$A$3:$A$5001,I$3,Base!$B$3:$B$5001,$A$79,Base!$Z$3:$Z$5001,"&lt;&gt;")=0,"",SUMIFS(Base!$Z$3:$Z$5001,Base!$A$3:$A$5001,I$3,Base!$B$3:$B$5001,$A$79)))</f>
        <v/>
      </c>
      <c r="J93" s="89" t="str">
        <f>IF(J$3="","",IF(COUNTIFS(Base!$A$3:$A$5001,J$3,Base!$B$3:$B$5001,$A$79,Base!$Z$3:$Z$5001,"&lt;&gt;")=0,"",SUMIFS(Base!$Z$3:$Z$5001,Base!$A$3:$A$5001,J$3,Base!$B$3:$B$5001,$A$79)))</f>
        <v/>
      </c>
      <c r="K93" s="89" t="str">
        <f>IF(K$3="","",IF(COUNTIFS(Base!$A$3:$A$5001,K$3,Base!$B$3:$B$5001,$A$79,Base!$Z$3:$Z$5001,"&lt;&gt;")=0,"",SUMIFS(Base!$Z$3:$Z$5001,Base!$A$3:$A$5001,K$3,Base!$B$3:$B$5001,$A$79)))</f>
        <v/>
      </c>
      <c r="L93" s="89" t="str">
        <f>IF(L$3="","",IF(COUNTIFS(Base!$A$3:$A$5001,L$3,Base!$B$3:$B$5001,$A$79,Base!$Z$3:$Z$5001,"&lt;&gt;")=0,"",SUMIFS(Base!$Z$3:$Z$5001,Base!$A$3:$A$5001,L$3,Base!$B$3:$B$5001,$A$79)))</f>
        <v/>
      </c>
      <c r="M93" s="89" t="str">
        <f>IF(M$3="","",IF(COUNTIFS(Base!$A$3:$A$5001,M$3,Base!$B$3:$B$5001,$A$79,Base!$Z$3:$Z$5001,"&lt;&gt;")=0,"",SUMIFS(Base!$Z$3:$Z$5001,Base!$A$3:$A$5001,M$3,Base!$B$3:$B$5001,$A$79)))</f>
        <v/>
      </c>
      <c r="N93" s="89" t="str">
        <f>IF(N$3="","",IF(COUNTIFS(Base!$A$3:$A$5001,N$3,Base!$B$3:$B$5001,$A$79,Base!$Z$3:$Z$5001,"&lt;&gt;")=0,"",SUMIFS(Base!$Z$3:$Z$5001,Base!$A$3:$A$5001,N$3,Base!$B$3:$B$5001,$A$79)))</f>
        <v/>
      </c>
      <c r="O93" s="89" t="str">
        <f>IF(O$3="","",IF(COUNTIFS(Base!$A$3:$A$5001,O$3,Base!$B$3:$B$5001,$A$79,Base!$Z$3:$Z$5001,"&lt;&gt;")=0,"",SUMIFS(Base!$Z$3:$Z$5001,Base!$A$3:$A$5001,O$3,Base!$B$3:$B$5001,$A$79)))</f>
        <v/>
      </c>
      <c r="P93" s="89" t="str">
        <f>IF(P$3="","",IF(COUNTIFS(Base!$A$3:$A$5001,P$3,Base!$B$3:$B$5001,$A$79,Base!$Z$3:$Z$5001,"&lt;&gt;")=0,"",SUMIFS(Base!$Z$3:$Z$5001,Base!$A$3:$A$5001,P$3,Base!$B$3:$B$5001,$A$79)))</f>
        <v/>
      </c>
      <c r="Q93" s="89" t="str">
        <f>IF(Q$3="","",IF(COUNTIFS(Base!$A$3:$A$5001,Q$3,Base!$B$3:$B$5001,$A$79,Base!$Z$3:$Z$5001,"&lt;&gt;")=0,"",SUMIFS(Base!$Z$3:$Z$5001,Base!$A$3:$A$5001,Q$3,Base!$B$3:$B$5001,$A$79)))</f>
        <v/>
      </c>
      <c r="R93" s="89" t="str">
        <f>IF(R$3="","",IF(COUNTIFS(Base!$A$3:$A$5001,R$3,Base!$B$3:$B$5001,$A$79,Base!$Z$3:$Z$5001,"&lt;&gt;")=0,"",SUMIFS(Base!$Z$3:$Z$5001,Base!$A$3:$A$5001,R$3,Base!$B$3:$B$5001,$A$79)))</f>
        <v/>
      </c>
      <c r="S93" s="89" t="str">
        <f>IF(S$3="","",IF(COUNTIFS(Base!$A$3:$A$5001,S$3,Base!$B$3:$B$5001,$A$79,Base!$Z$3:$Z$5001,"&lt;&gt;")=0,"",SUMIFS(Base!$Z$3:$Z$5001,Base!$A$3:$A$5001,S$3,Base!$B$3:$B$5001,$A$79)))</f>
        <v/>
      </c>
      <c r="T93" s="89" t="str">
        <f>IF(T$3="","",IF(COUNTIFS(Base!$A$3:$A$5001,T$3,Base!$B$3:$B$5001,$A$79,Base!$Z$3:$Z$5001,"&lt;&gt;")=0,"",SUMIFS(Base!$Z$3:$Z$5001,Base!$A$3:$A$5001,T$3,Base!$B$3:$B$5001,$A$79)))</f>
        <v/>
      </c>
      <c r="U93" s="89" t="str">
        <f>IF(U$3="","",IF(COUNTIFS(Base!$A$3:$A$5001,U$3,Base!$B$3:$B$5001,$A$79,Base!$Z$3:$Z$5001,"&lt;&gt;")=0,"",SUMIFS(Base!$Z$3:$Z$5001,Base!$A$3:$A$5001,U$3,Base!$B$3:$B$5001,$A$79)))</f>
        <v/>
      </c>
      <c r="V93" s="89" t="str">
        <f>IF(V$3="","",IF(COUNTIFS(Base!$A$3:$A$5001,V$3,Base!$B$3:$B$5001,$A$79,Base!$Z$3:$Z$5001,"&lt;&gt;")=0,"",SUMIFS(Base!$Z$3:$Z$5001,Base!$A$3:$A$5001,V$3,Base!$B$3:$B$5001,$A$79)))</f>
        <v/>
      </c>
      <c r="W93" s="89" t="str">
        <f>IF(W$3="","",IF(COUNTIFS(Base!$A$3:$A$5001,W$3,Base!$B$3:$B$5001,$A$79,Base!$Z$3:$Z$5001,"&lt;&gt;")=0,"",SUMIFS(Base!$Z$3:$Z$5001,Base!$A$3:$A$5001,W$3,Base!$B$3:$B$5001,$A$79)))</f>
        <v/>
      </c>
      <c r="X93" s="89" t="str">
        <f>IF(X$3="","",IF(COUNTIFS(Base!$A$3:$A$5001,X$3,Base!$B$3:$B$5001,$A$79,Base!$Z$3:$Z$5001,"&lt;&gt;")=0,"",SUMIFS(Base!$Z$3:$Z$5001,Base!$A$3:$A$5001,X$3,Base!$B$3:$B$5001,$A$79)))</f>
        <v/>
      </c>
      <c r="Y93" s="89" t="str">
        <f>IF(Y$3="","",IF(COUNTIFS(Base!$A$3:$A$5001,Y$3,Base!$B$3:$B$5001,$A$79,Base!$Z$3:$Z$5001,"&lt;&gt;")=0,"",SUMIFS(Base!$Z$3:$Z$5001,Base!$A$3:$A$5001,Y$3,Base!$B$3:$B$5001,$A$79)))</f>
        <v/>
      </c>
      <c r="Z93" s="89" t="str">
        <f>IF(Z$3="","",IF(COUNTIFS(Base!$A$3:$A$5001,Z$3,Base!$B$3:$B$5001,$A$79,Base!$Z$3:$Z$5001,"&lt;&gt;")=0,"",SUMIFS(Base!$Z$3:$Z$5001,Base!$A$3:$A$5001,Z$3,Base!$B$3:$B$5001,$A$79)))</f>
        <v/>
      </c>
      <c r="AA93" s="89" t="str">
        <f>IF(AA$3="","",IF(COUNTIFS(Base!$A$3:$A$5001,AA$3,Base!$B$3:$B$5001,$A$79,Base!$Z$3:$Z$5001,"&lt;&gt;")=0,"",SUMIFS(Base!$Z$3:$Z$5001,Base!$A$3:$A$5001,AA$3,Base!$B$3:$B$5001,$A$79)))</f>
        <v/>
      </c>
      <c r="AB93" s="89" t="str">
        <f>IF(AB$3="","",IF(COUNTIFS(Base!$A$3:$A$5001,AB$3,Base!$B$3:$B$5001,$A$79,Base!$Z$3:$Z$5001,"&lt;&gt;")=0,"",SUMIFS(Base!$Z$3:$Z$5001,Base!$A$3:$A$5001,AB$3,Base!$B$3:$B$5001,$A$79)))</f>
        <v/>
      </c>
      <c r="AC93" s="89" t="str">
        <f>IF(AC$3="","",IF(COUNTIFS(Base!$A$3:$A$5001,AC$3,Base!$B$3:$B$5001,$A$79,Base!$Z$3:$Z$5001,"&lt;&gt;")=0,"",SUMIFS(Base!$Z$3:$Z$5001,Base!$A$3:$A$5001,AC$3,Base!$B$3:$B$5001,$A$79)))</f>
        <v/>
      </c>
      <c r="AD93" s="89" t="str">
        <f>IF(AD$3="","",IF(COUNTIFS(Base!$A$3:$A$5001,AD$3,Base!$B$3:$B$5001,$A$79,Base!$Z$3:$Z$5001,"&lt;&gt;")=0,"",SUMIFS(Base!$Z$3:$Z$5001,Base!$A$3:$A$5001,AD$3,Base!$B$3:$B$5001,$A$79)))</f>
        <v/>
      </c>
      <c r="AE93" s="89" t="str">
        <f>IF(AE$3="","",IF(COUNTIFS(Base!$A$3:$A$5001,AE$3,Base!$B$3:$B$5001,$A$79,Base!$Z$3:$Z$5001,"&lt;&gt;")=0,"",SUMIFS(Base!$Z$3:$Z$5001,Base!$A$3:$A$5001,AE$3,Base!$B$3:$B$5001,$A$79)))</f>
        <v/>
      </c>
      <c r="AF93" s="89" t="str">
        <f>IF(AF$3="","",IF(COUNTIFS(Base!$A$3:$A$5001,AF$3,Base!$B$3:$B$5001,$A$79,Base!$Z$3:$Z$5001,"&lt;&gt;")=0,"",SUMIFS(Base!$Z$3:$Z$5001,Base!$A$3:$A$5001,AF$3,Base!$B$3:$B$5001,$A$79)))</f>
        <v/>
      </c>
      <c r="AG93" s="89" t="str">
        <f>IF(AG$3="","",IF(COUNTIFS(Base!$A$3:$A$5001,AG$3,Base!$B$3:$B$5001,$A$79,Base!$Z$3:$Z$5001,"&lt;&gt;")=0,"",SUMIFS(Base!$Z$3:$Z$5001,Base!$A$3:$A$5001,AG$3,Base!$B$3:$B$5001,$A$79)))</f>
        <v/>
      </c>
      <c r="AH93" s="89" t="str">
        <f>IF(AH$3="","",IF(COUNTIFS(Base!$A$3:$A$5001,AH$3,Base!$B$3:$B$5001,$A$79,Base!$Z$3:$Z$5001,"&lt;&gt;")=0,"",SUMIFS(Base!$Z$3:$Z$5001,Base!$A$3:$A$5001,AH$3,Base!$B$3:$B$5001,$A$79)))</f>
        <v/>
      </c>
      <c r="AI93" s="89" t="str">
        <f>IF(AI$3="","",IF(COUNTIFS(Base!$A$3:$A$5001,AI$3,Base!$B$3:$B$5001,$A$79,Base!$Z$3:$Z$5001,"&lt;&gt;")=0,"",SUMIFS(Base!$Z$3:$Z$5001,Base!$A$3:$A$5001,AI$3,Base!$B$3:$B$5001,$A$79)))</f>
        <v/>
      </c>
      <c r="AJ93" s="90" t="str">
        <f>IF(AJ$3="","",IF(COUNTIFS(Base!$A$3:$A$5001,AJ$3,Base!$B$3:$B$5001,$A$79,Base!$Z$3:$Z$5001,"&lt;&gt;")=0,"",SUMIFS(Base!$Z$3:$Z$5001,Base!$A$3:$A$5001,AJ$3,Base!$B$3:$B$5001,$A$79)))</f>
        <v/>
      </c>
      <c r="AK93" s="91" t="str">
        <f>IFERROR(LOOKUP(9.99E+307,F93:AJ93),"")</f>
        <v/>
      </c>
    </row>
    <row r="94" ht="15.75" customHeight="1">
      <c r="A94" s="118"/>
      <c r="B94" s="115"/>
      <c r="C94" s="92" t="inlineStr">
        <is>
          <t xml:space="preserve">Falta</t>
        </is>
      </c>
      <c r="D94" s="93" t="str">
        <f>IFERROR(1/(1/INDEX(calculos!$C$55:$K$83,MATCH("Falta",calculos!$A$55:$A$83,0),MATCH($A$79,calculos!$C$54:$K$54,0))),"")</f>
        <v/>
      </c>
      <c r="E94" s="94"/>
      <c r="F94" s="95" t="str">
        <f>IF(F$3="","",IF(COUNTIFS(Base!$A$3:$A$5001,F$3,Base!$B$3:$B$5001,$A$79,Base!$AA$3:$AA$5001,"&lt;&gt;")=0,"",SUMIFS(Base!$AA$3:$AA$5001,Base!$A$3:$A$5001,F$3,Base!$B$3:$B$5001,$A$79)))</f>
        <v/>
      </c>
      <c r="G94" s="96" t="str">
        <f>IF(G$3="","",IF(COUNTIFS(Base!$A$3:$A$5001,G$3,Base!$B$3:$B$5001,$A$79,Base!$AA$3:$AA$5001,"&lt;&gt;")=0,"",SUMIFS(Base!$AA$3:$AA$5001,Base!$A$3:$A$5001,G$3,Base!$B$3:$B$5001,$A$79)))</f>
        <v/>
      </c>
      <c r="H94" s="96" t="str">
        <f>IF(H$3="","",IF(COUNTIFS(Base!$A$3:$A$5001,H$3,Base!$B$3:$B$5001,$A$79,Base!$AA$3:$AA$5001,"&lt;&gt;")=0,"",SUMIFS(Base!$AA$3:$AA$5001,Base!$A$3:$A$5001,H$3,Base!$B$3:$B$5001,$A$79)))</f>
        <v/>
      </c>
      <c r="I94" s="96" t="str">
        <f>IF(I$3="","",IF(COUNTIFS(Base!$A$3:$A$5001,I$3,Base!$B$3:$B$5001,$A$79,Base!$AA$3:$AA$5001,"&lt;&gt;")=0,"",SUMIFS(Base!$AA$3:$AA$5001,Base!$A$3:$A$5001,I$3,Base!$B$3:$B$5001,$A$79)))</f>
        <v/>
      </c>
      <c r="J94" s="96" t="str">
        <f>IF(J$3="","",IF(COUNTIFS(Base!$A$3:$A$5001,J$3,Base!$B$3:$B$5001,$A$79,Base!$AA$3:$AA$5001,"&lt;&gt;")=0,"",SUMIFS(Base!$AA$3:$AA$5001,Base!$A$3:$A$5001,J$3,Base!$B$3:$B$5001,$A$79)))</f>
        <v/>
      </c>
      <c r="K94" s="96" t="str">
        <f>IF(K$3="","",IF(COUNTIFS(Base!$A$3:$A$5001,K$3,Base!$B$3:$B$5001,$A$79,Base!$AA$3:$AA$5001,"&lt;&gt;")=0,"",SUMIFS(Base!$AA$3:$AA$5001,Base!$A$3:$A$5001,K$3,Base!$B$3:$B$5001,$A$79)))</f>
        <v/>
      </c>
      <c r="L94" s="96" t="str">
        <f>IF(L$3="","",IF(COUNTIFS(Base!$A$3:$A$5001,L$3,Base!$B$3:$B$5001,$A$79,Base!$AA$3:$AA$5001,"&lt;&gt;")=0,"",SUMIFS(Base!$AA$3:$AA$5001,Base!$A$3:$A$5001,L$3,Base!$B$3:$B$5001,$A$79)))</f>
        <v/>
      </c>
      <c r="M94" s="96" t="str">
        <f>IF(M$3="","",IF(COUNTIFS(Base!$A$3:$A$5001,M$3,Base!$B$3:$B$5001,$A$79,Base!$AA$3:$AA$5001,"&lt;&gt;")=0,"",SUMIFS(Base!$AA$3:$AA$5001,Base!$A$3:$A$5001,M$3,Base!$B$3:$B$5001,$A$79)))</f>
        <v/>
      </c>
      <c r="N94" s="96" t="str">
        <f>IF(N$3="","",IF(COUNTIFS(Base!$A$3:$A$5001,N$3,Base!$B$3:$B$5001,$A$79,Base!$AA$3:$AA$5001,"&lt;&gt;")=0,"",SUMIFS(Base!$AA$3:$AA$5001,Base!$A$3:$A$5001,N$3,Base!$B$3:$B$5001,$A$79)))</f>
        <v/>
      </c>
      <c r="O94" s="96" t="str">
        <f>IF(O$3="","",IF(COUNTIFS(Base!$A$3:$A$5001,O$3,Base!$B$3:$B$5001,$A$79,Base!$AA$3:$AA$5001,"&lt;&gt;")=0,"",SUMIFS(Base!$AA$3:$AA$5001,Base!$A$3:$A$5001,O$3,Base!$B$3:$B$5001,$A$79)))</f>
        <v/>
      </c>
      <c r="P94" s="96" t="str">
        <f>IF(P$3="","",IF(COUNTIFS(Base!$A$3:$A$5001,P$3,Base!$B$3:$B$5001,$A$79,Base!$AA$3:$AA$5001,"&lt;&gt;")=0,"",SUMIFS(Base!$AA$3:$AA$5001,Base!$A$3:$A$5001,P$3,Base!$B$3:$B$5001,$A$79)))</f>
        <v/>
      </c>
      <c r="Q94" s="96" t="str">
        <f>IF(Q$3="","",IF(COUNTIFS(Base!$A$3:$A$5001,Q$3,Base!$B$3:$B$5001,$A$79,Base!$AA$3:$AA$5001,"&lt;&gt;")=0,"",SUMIFS(Base!$AA$3:$AA$5001,Base!$A$3:$A$5001,Q$3,Base!$B$3:$B$5001,$A$79)))</f>
        <v/>
      </c>
      <c r="R94" s="96" t="str">
        <f>IF(R$3="","",IF(COUNTIFS(Base!$A$3:$A$5001,R$3,Base!$B$3:$B$5001,$A$79,Base!$AA$3:$AA$5001,"&lt;&gt;")=0,"",SUMIFS(Base!$AA$3:$AA$5001,Base!$A$3:$A$5001,R$3,Base!$B$3:$B$5001,$A$79)))</f>
        <v/>
      </c>
      <c r="S94" s="96" t="str">
        <f>IF(S$3="","",IF(COUNTIFS(Base!$A$3:$A$5001,S$3,Base!$B$3:$B$5001,$A$79,Base!$AA$3:$AA$5001,"&lt;&gt;")=0,"",SUMIFS(Base!$AA$3:$AA$5001,Base!$A$3:$A$5001,S$3,Base!$B$3:$B$5001,$A$79)))</f>
        <v/>
      </c>
      <c r="T94" s="96" t="str">
        <f>IF(T$3="","",IF(COUNTIFS(Base!$A$3:$A$5001,T$3,Base!$B$3:$B$5001,$A$79,Base!$AA$3:$AA$5001,"&lt;&gt;")=0,"",SUMIFS(Base!$AA$3:$AA$5001,Base!$A$3:$A$5001,T$3,Base!$B$3:$B$5001,$A$79)))</f>
        <v/>
      </c>
      <c r="U94" s="96" t="str">
        <f>IF(U$3="","",IF(COUNTIFS(Base!$A$3:$A$5001,U$3,Base!$B$3:$B$5001,$A$79,Base!$AA$3:$AA$5001,"&lt;&gt;")=0,"",SUMIFS(Base!$AA$3:$AA$5001,Base!$A$3:$A$5001,U$3,Base!$B$3:$B$5001,$A$79)))</f>
        <v/>
      </c>
      <c r="V94" s="96" t="str">
        <f>IF(V$3="","",IF(COUNTIFS(Base!$A$3:$A$5001,V$3,Base!$B$3:$B$5001,$A$79,Base!$AA$3:$AA$5001,"&lt;&gt;")=0,"",SUMIFS(Base!$AA$3:$AA$5001,Base!$A$3:$A$5001,V$3,Base!$B$3:$B$5001,$A$79)))</f>
        <v/>
      </c>
      <c r="W94" s="96" t="str">
        <f>IF(W$3="","",IF(COUNTIFS(Base!$A$3:$A$5001,W$3,Base!$B$3:$B$5001,$A$79,Base!$AA$3:$AA$5001,"&lt;&gt;")=0,"",SUMIFS(Base!$AA$3:$AA$5001,Base!$A$3:$A$5001,W$3,Base!$B$3:$B$5001,$A$79)))</f>
        <v/>
      </c>
      <c r="X94" s="96" t="str">
        <f>IF(X$3="","",IF(COUNTIFS(Base!$A$3:$A$5001,X$3,Base!$B$3:$B$5001,$A$79,Base!$AA$3:$AA$5001,"&lt;&gt;")=0,"",SUMIFS(Base!$AA$3:$AA$5001,Base!$A$3:$A$5001,X$3,Base!$B$3:$B$5001,$A$79)))</f>
        <v/>
      </c>
      <c r="Y94" s="96" t="str">
        <f>IF(Y$3="","",IF(COUNTIFS(Base!$A$3:$A$5001,Y$3,Base!$B$3:$B$5001,$A$79,Base!$AA$3:$AA$5001,"&lt;&gt;")=0,"",SUMIFS(Base!$AA$3:$AA$5001,Base!$A$3:$A$5001,Y$3,Base!$B$3:$B$5001,$A$79)))</f>
        <v/>
      </c>
      <c r="Z94" s="96" t="str">
        <f>IF(Z$3="","",IF(COUNTIFS(Base!$A$3:$A$5001,Z$3,Base!$B$3:$B$5001,$A$79,Base!$AA$3:$AA$5001,"&lt;&gt;")=0,"",SUMIFS(Base!$AA$3:$AA$5001,Base!$A$3:$A$5001,Z$3,Base!$B$3:$B$5001,$A$79)))</f>
        <v/>
      </c>
      <c r="AA94" s="96" t="str">
        <f>IF(AA$3="","",IF(COUNTIFS(Base!$A$3:$A$5001,AA$3,Base!$B$3:$B$5001,$A$79,Base!$AA$3:$AA$5001,"&lt;&gt;")=0,"",SUMIFS(Base!$AA$3:$AA$5001,Base!$A$3:$A$5001,AA$3,Base!$B$3:$B$5001,$A$79)))</f>
        <v/>
      </c>
      <c r="AB94" s="96" t="str">
        <f>IF(AB$3="","",IF(COUNTIFS(Base!$A$3:$A$5001,AB$3,Base!$B$3:$B$5001,$A$79,Base!$AA$3:$AA$5001,"&lt;&gt;")=0,"",SUMIFS(Base!$AA$3:$AA$5001,Base!$A$3:$A$5001,AB$3,Base!$B$3:$B$5001,$A$79)))</f>
        <v/>
      </c>
      <c r="AC94" s="96" t="str">
        <f>IF(AC$3="","",IF(COUNTIFS(Base!$A$3:$A$5001,AC$3,Base!$B$3:$B$5001,$A$79,Base!$AA$3:$AA$5001,"&lt;&gt;")=0,"",SUMIFS(Base!$AA$3:$AA$5001,Base!$A$3:$A$5001,AC$3,Base!$B$3:$B$5001,$A$79)))</f>
        <v/>
      </c>
      <c r="AD94" s="96" t="str">
        <f>IF(AD$3="","",IF(COUNTIFS(Base!$A$3:$A$5001,AD$3,Base!$B$3:$B$5001,$A$79,Base!$AA$3:$AA$5001,"&lt;&gt;")=0,"",SUMIFS(Base!$AA$3:$AA$5001,Base!$A$3:$A$5001,AD$3,Base!$B$3:$B$5001,$A$79)))</f>
        <v/>
      </c>
      <c r="AE94" s="96" t="str">
        <f>IF(AE$3="","",IF(COUNTIFS(Base!$A$3:$A$5001,AE$3,Base!$B$3:$B$5001,$A$79,Base!$AA$3:$AA$5001,"&lt;&gt;")=0,"",SUMIFS(Base!$AA$3:$AA$5001,Base!$A$3:$A$5001,AE$3,Base!$B$3:$B$5001,$A$79)))</f>
        <v/>
      </c>
      <c r="AF94" s="96" t="str">
        <f>IF(AF$3="","",IF(COUNTIFS(Base!$A$3:$A$5001,AF$3,Base!$B$3:$B$5001,$A$79,Base!$AA$3:$AA$5001,"&lt;&gt;")=0,"",SUMIFS(Base!$AA$3:$AA$5001,Base!$A$3:$A$5001,AF$3,Base!$B$3:$B$5001,$A$79)))</f>
        <v/>
      </c>
      <c r="AG94" s="96" t="str">
        <f>IF(AG$3="","",IF(COUNTIFS(Base!$A$3:$A$5001,AG$3,Base!$B$3:$B$5001,$A$79,Base!$AA$3:$AA$5001,"&lt;&gt;")=0,"",SUMIFS(Base!$AA$3:$AA$5001,Base!$A$3:$A$5001,AG$3,Base!$B$3:$B$5001,$A$79)))</f>
        <v/>
      </c>
      <c r="AH94" s="96" t="str">
        <f>IF(AH$3="","",IF(COUNTIFS(Base!$A$3:$A$5001,AH$3,Base!$B$3:$B$5001,$A$79,Base!$AA$3:$AA$5001,"&lt;&gt;")=0,"",SUMIFS(Base!$AA$3:$AA$5001,Base!$A$3:$A$5001,AH$3,Base!$B$3:$B$5001,$A$79)))</f>
        <v/>
      </c>
      <c r="AI94" s="96" t="str">
        <f>IF(AI$3="","",IF(COUNTIFS(Base!$A$3:$A$5001,AI$3,Base!$B$3:$B$5001,$A$79,Base!$AA$3:$AA$5001,"&lt;&gt;")=0,"",SUMIFS(Base!$AA$3:$AA$5001,Base!$A$3:$A$5001,AI$3,Base!$B$3:$B$5001,$A$79)))</f>
        <v/>
      </c>
      <c r="AJ94" s="97" t="str">
        <f>IF(AJ$3="","",IF(COUNTIFS(Base!$A$3:$A$5001,AJ$3,Base!$B$3:$B$5001,$A$79,Base!$AA$3:$AA$5001,"&lt;&gt;")=0,"",SUMIFS(Base!$AA$3:$AA$5001,Base!$A$3:$A$5001,AJ$3,Base!$B$3:$B$5001,$A$79)))</f>
        <v/>
      </c>
      <c r="AK94" s="98" t="str">
        <f>IF(COUNT(F94:AJ94)=0,"",SUM(F94:AJ94))</f>
        <v/>
      </c>
    </row>
    <row r="95" ht="15.75" customHeight="1">
      <c r="A95" s="118"/>
      <c r="B95" s="115"/>
      <c r="C95" s="92" t="inlineStr">
        <is>
          <t xml:space="preserve">Folga</t>
        </is>
      </c>
      <c r="D95" s="93" t="str">
        <f>IFERROR(1/(1/INDEX(calculos!$C$55:$K$83,MATCH("Folga",calculos!$A$55:$A$83,0),MATCH($A$79,calculos!$C$54:$K$54,0))),"")</f>
        <v/>
      </c>
      <c r="E95" s="94"/>
      <c r="F95" s="95" t="str">
        <f>IF(F$3="","",IF(COUNTIFS(Base!$A$3:$A$5001,F$3,Base!$B$3:$B$5001,$A$79,Base!$AB$3:$AB$5001,"&lt;&gt;")=0,"",SUMIFS(Base!$AB$3:$AB$5001,Base!$A$3:$A$5001,F$3,Base!$B$3:$B$5001,$A$79)))</f>
        <v/>
      </c>
      <c r="G95" s="96" t="str">
        <f>IF(G$3="","",IF(COUNTIFS(Base!$A$3:$A$5001,G$3,Base!$B$3:$B$5001,$A$79,Base!$AB$3:$AB$5001,"&lt;&gt;")=0,"",SUMIFS(Base!$AB$3:$AB$5001,Base!$A$3:$A$5001,G$3,Base!$B$3:$B$5001,$A$79)))</f>
        <v/>
      </c>
      <c r="H95" s="96" t="str">
        <f>IF(H$3="","",IF(COUNTIFS(Base!$A$3:$A$5001,H$3,Base!$B$3:$B$5001,$A$79,Base!$AB$3:$AB$5001,"&lt;&gt;")=0,"",SUMIFS(Base!$AB$3:$AB$5001,Base!$A$3:$A$5001,H$3,Base!$B$3:$B$5001,$A$79)))</f>
        <v/>
      </c>
      <c r="I95" s="96" t="str">
        <f>IF(I$3="","",IF(COUNTIFS(Base!$A$3:$A$5001,I$3,Base!$B$3:$B$5001,$A$79,Base!$AB$3:$AB$5001,"&lt;&gt;")=0,"",SUMIFS(Base!$AB$3:$AB$5001,Base!$A$3:$A$5001,I$3,Base!$B$3:$B$5001,$A$79)))</f>
        <v/>
      </c>
      <c r="J95" s="96" t="str">
        <f>IF(J$3="","",IF(COUNTIFS(Base!$A$3:$A$5001,J$3,Base!$B$3:$B$5001,$A$79,Base!$AB$3:$AB$5001,"&lt;&gt;")=0,"",SUMIFS(Base!$AB$3:$AB$5001,Base!$A$3:$A$5001,J$3,Base!$B$3:$B$5001,$A$79)))</f>
        <v/>
      </c>
      <c r="K95" s="96" t="str">
        <f>IF(K$3="","",IF(COUNTIFS(Base!$A$3:$A$5001,K$3,Base!$B$3:$B$5001,$A$79,Base!$AB$3:$AB$5001,"&lt;&gt;")=0,"",SUMIFS(Base!$AB$3:$AB$5001,Base!$A$3:$A$5001,K$3,Base!$B$3:$B$5001,$A$79)))</f>
        <v/>
      </c>
      <c r="L95" s="96" t="str">
        <f>IF(L$3="","",IF(COUNTIFS(Base!$A$3:$A$5001,L$3,Base!$B$3:$B$5001,$A$79,Base!$AB$3:$AB$5001,"&lt;&gt;")=0,"",SUMIFS(Base!$AB$3:$AB$5001,Base!$A$3:$A$5001,L$3,Base!$B$3:$B$5001,$A$79)))</f>
        <v/>
      </c>
      <c r="M95" s="96" t="str">
        <f>IF(M$3="","",IF(COUNTIFS(Base!$A$3:$A$5001,M$3,Base!$B$3:$B$5001,$A$79,Base!$AB$3:$AB$5001,"&lt;&gt;")=0,"",SUMIFS(Base!$AB$3:$AB$5001,Base!$A$3:$A$5001,M$3,Base!$B$3:$B$5001,$A$79)))</f>
        <v/>
      </c>
      <c r="N95" s="96" t="str">
        <f>IF(N$3="","",IF(COUNTIFS(Base!$A$3:$A$5001,N$3,Base!$B$3:$B$5001,$A$79,Base!$AB$3:$AB$5001,"&lt;&gt;")=0,"",SUMIFS(Base!$AB$3:$AB$5001,Base!$A$3:$A$5001,N$3,Base!$B$3:$B$5001,$A$79)))</f>
        <v/>
      </c>
      <c r="O95" s="96" t="str">
        <f>IF(O$3="","",IF(COUNTIFS(Base!$A$3:$A$5001,O$3,Base!$B$3:$B$5001,$A$79,Base!$AB$3:$AB$5001,"&lt;&gt;")=0,"",SUMIFS(Base!$AB$3:$AB$5001,Base!$A$3:$A$5001,O$3,Base!$B$3:$B$5001,$A$79)))</f>
        <v/>
      </c>
      <c r="P95" s="96" t="str">
        <f>IF(P$3="","",IF(COUNTIFS(Base!$A$3:$A$5001,P$3,Base!$B$3:$B$5001,$A$79,Base!$AB$3:$AB$5001,"&lt;&gt;")=0,"",SUMIFS(Base!$AB$3:$AB$5001,Base!$A$3:$A$5001,P$3,Base!$B$3:$B$5001,$A$79)))</f>
        <v/>
      </c>
      <c r="Q95" s="96" t="str">
        <f>IF(Q$3="","",IF(COUNTIFS(Base!$A$3:$A$5001,Q$3,Base!$B$3:$B$5001,$A$79,Base!$AB$3:$AB$5001,"&lt;&gt;")=0,"",SUMIFS(Base!$AB$3:$AB$5001,Base!$A$3:$A$5001,Q$3,Base!$B$3:$B$5001,$A$79)))</f>
        <v/>
      </c>
      <c r="R95" s="96" t="str">
        <f>IF(R$3="","",IF(COUNTIFS(Base!$A$3:$A$5001,R$3,Base!$B$3:$B$5001,$A$79,Base!$AB$3:$AB$5001,"&lt;&gt;")=0,"",SUMIFS(Base!$AB$3:$AB$5001,Base!$A$3:$A$5001,R$3,Base!$B$3:$B$5001,$A$79)))</f>
        <v/>
      </c>
      <c r="S95" s="96" t="str">
        <f>IF(S$3="","",IF(COUNTIFS(Base!$A$3:$A$5001,S$3,Base!$B$3:$B$5001,$A$79,Base!$AB$3:$AB$5001,"&lt;&gt;")=0,"",SUMIFS(Base!$AB$3:$AB$5001,Base!$A$3:$A$5001,S$3,Base!$B$3:$B$5001,$A$79)))</f>
        <v/>
      </c>
      <c r="T95" s="96" t="str">
        <f>IF(T$3="","",IF(COUNTIFS(Base!$A$3:$A$5001,T$3,Base!$B$3:$B$5001,$A$79,Base!$AB$3:$AB$5001,"&lt;&gt;")=0,"",SUMIFS(Base!$AB$3:$AB$5001,Base!$A$3:$A$5001,T$3,Base!$B$3:$B$5001,$A$79)))</f>
        <v/>
      </c>
      <c r="U95" s="96" t="str">
        <f>IF(U$3="","",IF(COUNTIFS(Base!$A$3:$A$5001,U$3,Base!$B$3:$B$5001,$A$79,Base!$AB$3:$AB$5001,"&lt;&gt;")=0,"",SUMIFS(Base!$AB$3:$AB$5001,Base!$A$3:$A$5001,U$3,Base!$B$3:$B$5001,$A$79)))</f>
        <v/>
      </c>
      <c r="V95" s="96" t="str">
        <f>IF(V$3="","",IF(COUNTIFS(Base!$A$3:$A$5001,V$3,Base!$B$3:$B$5001,$A$79,Base!$AB$3:$AB$5001,"&lt;&gt;")=0,"",SUMIFS(Base!$AB$3:$AB$5001,Base!$A$3:$A$5001,V$3,Base!$B$3:$B$5001,$A$79)))</f>
        <v/>
      </c>
      <c r="W95" s="96" t="str">
        <f>IF(W$3="","",IF(COUNTIFS(Base!$A$3:$A$5001,W$3,Base!$B$3:$B$5001,$A$79,Base!$AB$3:$AB$5001,"&lt;&gt;")=0,"",SUMIFS(Base!$AB$3:$AB$5001,Base!$A$3:$A$5001,W$3,Base!$B$3:$B$5001,$A$79)))</f>
        <v/>
      </c>
      <c r="X95" s="96" t="str">
        <f>IF(X$3="","",IF(COUNTIFS(Base!$A$3:$A$5001,X$3,Base!$B$3:$B$5001,$A$79,Base!$AB$3:$AB$5001,"&lt;&gt;")=0,"",SUMIFS(Base!$AB$3:$AB$5001,Base!$A$3:$A$5001,X$3,Base!$B$3:$B$5001,$A$79)))</f>
        <v/>
      </c>
      <c r="Y95" s="96" t="str">
        <f>IF(Y$3="","",IF(COUNTIFS(Base!$A$3:$A$5001,Y$3,Base!$B$3:$B$5001,$A$79,Base!$AB$3:$AB$5001,"&lt;&gt;")=0,"",SUMIFS(Base!$AB$3:$AB$5001,Base!$A$3:$A$5001,Y$3,Base!$B$3:$B$5001,$A$79)))</f>
        <v/>
      </c>
      <c r="Z95" s="96" t="str">
        <f>IF(Z$3="","",IF(COUNTIFS(Base!$A$3:$A$5001,Z$3,Base!$B$3:$B$5001,$A$79,Base!$AB$3:$AB$5001,"&lt;&gt;")=0,"",SUMIFS(Base!$AB$3:$AB$5001,Base!$A$3:$A$5001,Z$3,Base!$B$3:$B$5001,$A$79)))</f>
        <v/>
      </c>
      <c r="AA95" s="96" t="str">
        <f>IF(AA$3="","",IF(COUNTIFS(Base!$A$3:$A$5001,AA$3,Base!$B$3:$B$5001,$A$79,Base!$AB$3:$AB$5001,"&lt;&gt;")=0,"",SUMIFS(Base!$AB$3:$AB$5001,Base!$A$3:$A$5001,AA$3,Base!$B$3:$B$5001,$A$79)))</f>
        <v/>
      </c>
      <c r="AB95" s="96" t="str">
        <f>IF(AB$3="","",IF(COUNTIFS(Base!$A$3:$A$5001,AB$3,Base!$B$3:$B$5001,$A$79,Base!$AB$3:$AB$5001,"&lt;&gt;")=0,"",SUMIFS(Base!$AB$3:$AB$5001,Base!$A$3:$A$5001,AB$3,Base!$B$3:$B$5001,$A$79)))</f>
        <v/>
      </c>
      <c r="AC95" s="96" t="str">
        <f>IF(AC$3="","",IF(COUNTIFS(Base!$A$3:$A$5001,AC$3,Base!$B$3:$B$5001,$A$79,Base!$AB$3:$AB$5001,"&lt;&gt;")=0,"",SUMIFS(Base!$AB$3:$AB$5001,Base!$A$3:$A$5001,AC$3,Base!$B$3:$B$5001,$A$79)))</f>
        <v/>
      </c>
      <c r="AD95" s="96" t="str">
        <f>IF(AD$3="","",IF(COUNTIFS(Base!$A$3:$A$5001,AD$3,Base!$B$3:$B$5001,$A$79,Base!$AB$3:$AB$5001,"&lt;&gt;")=0,"",SUMIFS(Base!$AB$3:$AB$5001,Base!$A$3:$A$5001,AD$3,Base!$B$3:$B$5001,$A$79)))</f>
        <v/>
      </c>
      <c r="AE95" s="96" t="str">
        <f>IF(AE$3="","",IF(COUNTIFS(Base!$A$3:$A$5001,AE$3,Base!$B$3:$B$5001,$A$79,Base!$AB$3:$AB$5001,"&lt;&gt;")=0,"",SUMIFS(Base!$AB$3:$AB$5001,Base!$A$3:$A$5001,AE$3,Base!$B$3:$B$5001,$A$79)))</f>
        <v/>
      </c>
      <c r="AF95" s="96" t="str">
        <f>IF(AF$3="","",IF(COUNTIFS(Base!$A$3:$A$5001,AF$3,Base!$B$3:$B$5001,$A$79,Base!$AB$3:$AB$5001,"&lt;&gt;")=0,"",SUMIFS(Base!$AB$3:$AB$5001,Base!$A$3:$A$5001,AF$3,Base!$B$3:$B$5001,$A$79)))</f>
        <v/>
      </c>
      <c r="AG95" s="96" t="str">
        <f>IF(AG$3="","",IF(COUNTIFS(Base!$A$3:$A$5001,AG$3,Base!$B$3:$B$5001,$A$79,Base!$AB$3:$AB$5001,"&lt;&gt;")=0,"",SUMIFS(Base!$AB$3:$AB$5001,Base!$A$3:$A$5001,AG$3,Base!$B$3:$B$5001,$A$79)))</f>
        <v/>
      </c>
      <c r="AH95" s="96" t="str">
        <f>IF(AH$3="","",IF(COUNTIFS(Base!$A$3:$A$5001,AH$3,Base!$B$3:$B$5001,$A$79,Base!$AB$3:$AB$5001,"&lt;&gt;")=0,"",SUMIFS(Base!$AB$3:$AB$5001,Base!$A$3:$A$5001,AH$3,Base!$B$3:$B$5001,$A$79)))</f>
        <v/>
      </c>
      <c r="AI95" s="96" t="str">
        <f>IF(AI$3="","",IF(COUNTIFS(Base!$A$3:$A$5001,AI$3,Base!$B$3:$B$5001,$A$79,Base!$AB$3:$AB$5001,"&lt;&gt;")=0,"",SUMIFS(Base!$AB$3:$AB$5001,Base!$A$3:$A$5001,AI$3,Base!$B$3:$B$5001,$A$79)))</f>
        <v/>
      </c>
      <c r="AJ95" s="97" t="str">
        <f>IF(AJ$3="","",IF(COUNTIFS(Base!$A$3:$A$5001,AJ$3,Base!$B$3:$B$5001,$A$79,Base!$AB$3:$AB$5001,"&lt;&gt;")=0,"",SUMIFS(Base!$AB$3:$AB$5001,Base!$A$3:$A$5001,AJ$3,Base!$B$3:$B$5001,$A$79)))</f>
        <v/>
      </c>
      <c r="AK95" s="98" t="str">
        <f>IF(COUNT(F95:AJ95)=0,"",SUM(F95:AJ95))</f>
        <v/>
      </c>
    </row>
    <row r="96" ht="15.75" customHeight="1">
      <c r="A96" s="118"/>
      <c r="B96" s="115"/>
      <c r="C96" s="92" t="inlineStr">
        <is>
          <t xml:space="preserve">Férias</t>
        </is>
      </c>
      <c r="D96" s="93" t="str">
        <f>IFERROR(1/(1/INDEX(calculos!$C$55:$K$83,MATCH("Férias",calculos!$A$55:$A$83,0),MATCH($A$79,calculos!$C$54:$K$54,0))),"")</f>
        <v/>
      </c>
      <c r="E96" s="94"/>
      <c r="F96" s="95" t="str">
        <f>IF(F$3="","",IF(COUNTIFS(Base!$A$3:$A$5001,F$3,Base!$B$3:$B$5001,$A$79,Base!$AC$3:$AC$5001,"&lt;&gt;")=0,"",SUMIFS(Base!$AC$3:$AC$5001,Base!$A$3:$A$5001,F$3,Base!$B$3:$B$5001,$A$79)))</f>
        <v/>
      </c>
      <c r="G96" s="96" t="str">
        <f>IF(G$3="","",IF(COUNTIFS(Base!$A$3:$A$5001,G$3,Base!$B$3:$B$5001,$A$79,Base!$AC$3:$AC$5001,"&lt;&gt;")=0,"",SUMIFS(Base!$AC$3:$AC$5001,Base!$A$3:$A$5001,G$3,Base!$B$3:$B$5001,$A$79)))</f>
        <v/>
      </c>
      <c r="H96" s="96" t="str">
        <f>IF(H$3="","",IF(COUNTIFS(Base!$A$3:$A$5001,H$3,Base!$B$3:$B$5001,$A$79,Base!$AC$3:$AC$5001,"&lt;&gt;")=0,"",SUMIFS(Base!$AC$3:$AC$5001,Base!$A$3:$A$5001,H$3,Base!$B$3:$B$5001,$A$79)))</f>
        <v/>
      </c>
      <c r="I96" s="96" t="str">
        <f>IF(I$3="","",IF(COUNTIFS(Base!$A$3:$A$5001,I$3,Base!$B$3:$B$5001,$A$79,Base!$AC$3:$AC$5001,"&lt;&gt;")=0,"",SUMIFS(Base!$AC$3:$AC$5001,Base!$A$3:$A$5001,I$3,Base!$B$3:$B$5001,$A$79)))</f>
        <v/>
      </c>
      <c r="J96" s="96" t="str">
        <f>IF(J$3="","",IF(COUNTIFS(Base!$A$3:$A$5001,J$3,Base!$B$3:$B$5001,$A$79,Base!$AC$3:$AC$5001,"&lt;&gt;")=0,"",SUMIFS(Base!$AC$3:$AC$5001,Base!$A$3:$A$5001,J$3,Base!$B$3:$B$5001,$A$79)))</f>
        <v/>
      </c>
      <c r="K96" s="96" t="str">
        <f>IF(K$3="","",IF(COUNTIFS(Base!$A$3:$A$5001,K$3,Base!$B$3:$B$5001,$A$79,Base!$AC$3:$AC$5001,"&lt;&gt;")=0,"",SUMIFS(Base!$AC$3:$AC$5001,Base!$A$3:$A$5001,K$3,Base!$B$3:$B$5001,$A$79)))</f>
        <v/>
      </c>
      <c r="L96" s="96" t="str">
        <f>IF(L$3="","",IF(COUNTIFS(Base!$A$3:$A$5001,L$3,Base!$B$3:$B$5001,$A$79,Base!$AC$3:$AC$5001,"&lt;&gt;")=0,"",SUMIFS(Base!$AC$3:$AC$5001,Base!$A$3:$A$5001,L$3,Base!$B$3:$B$5001,$A$79)))</f>
        <v/>
      </c>
      <c r="M96" s="96" t="str">
        <f>IF(M$3="","",IF(COUNTIFS(Base!$A$3:$A$5001,M$3,Base!$B$3:$B$5001,$A$79,Base!$AC$3:$AC$5001,"&lt;&gt;")=0,"",SUMIFS(Base!$AC$3:$AC$5001,Base!$A$3:$A$5001,M$3,Base!$B$3:$B$5001,$A$79)))</f>
        <v/>
      </c>
      <c r="N96" s="96" t="str">
        <f>IF(N$3="","",IF(COUNTIFS(Base!$A$3:$A$5001,N$3,Base!$B$3:$B$5001,$A$79,Base!$AC$3:$AC$5001,"&lt;&gt;")=0,"",SUMIFS(Base!$AC$3:$AC$5001,Base!$A$3:$A$5001,N$3,Base!$B$3:$B$5001,$A$79)))</f>
        <v/>
      </c>
      <c r="O96" s="96" t="str">
        <f>IF(O$3="","",IF(COUNTIFS(Base!$A$3:$A$5001,O$3,Base!$B$3:$B$5001,$A$79,Base!$AC$3:$AC$5001,"&lt;&gt;")=0,"",SUMIFS(Base!$AC$3:$AC$5001,Base!$A$3:$A$5001,O$3,Base!$B$3:$B$5001,$A$79)))</f>
        <v/>
      </c>
      <c r="P96" s="96" t="str">
        <f>IF(P$3="","",IF(COUNTIFS(Base!$A$3:$A$5001,P$3,Base!$B$3:$B$5001,$A$79,Base!$AC$3:$AC$5001,"&lt;&gt;")=0,"",SUMIFS(Base!$AC$3:$AC$5001,Base!$A$3:$A$5001,P$3,Base!$B$3:$B$5001,$A$79)))</f>
        <v/>
      </c>
      <c r="Q96" s="96" t="str">
        <f>IF(Q$3="","",IF(COUNTIFS(Base!$A$3:$A$5001,Q$3,Base!$B$3:$B$5001,$A$79,Base!$AC$3:$AC$5001,"&lt;&gt;")=0,"",SUMIFS(Base!$AC$3:$AC$5001,Base!$A$3:$A$5001,Q$3,Base!$B$3:$B$5001,$A$79)))</f>
        <v/>
      </c>
      <c r="R96" s="96" t="str">
        <f>IF(R$3="","",IF(COUNTIFS(Base!$A$3:$A$5001,R$3,Base!$B$3:$B$5001,$A$79,Base!$AC$3:$AC$5001,"&lt;&gt;")=0,"",SUMIFS(Base!$AC$3:$AC$5001,Base!$A$3:$A$5001,R$3,Base!$B$3:$B$5001,$A$79)))</f>
        <v/>
      </c>
      <c r="S96" s="96" t="str">
        <f>IF(S$3="","",IF(COUNTIFS(Base!$A$3:$A$5001,S$3,Base!$B$3:$B$5001,$A$79,Base!$AC$3:$AC$5001,"&lt;&gt;")=0,"",SUMIFS(Base!$AC$3:$AC$5001,Base!$A$3:$A$5001,S$3,Base!$B$3:$B$5001,$A$79)))</f>
        <v/>
      </c>
      <c r="T96" s="96" t="str">
        <f>IF(T$3="","",IF(COUNTIFS(Base!$A$3:$A$5001,T$3,Base!$B$3:$B$5001,$A$79,Base!$AC$3:$AC$5001,"&lt;&gt;")=0,"",SUMIFS(Base!$AC$3:$AC$5001,Base!$A$3:$A$5001,T$3,Base!$B$3:$B$5001,$A$79)))</f>
        <v/>
      </c>
      <c r="U96" s="96" t="str">
        <f>IF(U$3="","",IF(COUNTIFS(Base!$A$3:$A$5001,U$3,Base!$B$3:$B$5001,$A$79,Base!$AC$3:$AC$5001,"&lt;&gt;")=0,"",SUMIFS(Base!$AC$3:$AC$5001,Base!$A$3:$A$5001,U$3,Base!$B$3:$B$5001,$A$79)))</f>
        <v/>
      </c>
      <c r="V96" s="96" t="str">
        <f>IF(V$3="","",IF(COUNTIFS(Base!$A$3:$A$5001,V$3,Base!$B$3:$B$5001,$A$79,Base!$AC$3:$AC$5001,"&lt;&gt;")=0,"",SUMIFS(Base!$AC$3:$AC$5001,Base!$A$3:$A$5001,V$3,Base!$B$3:$B$5001,$A$79)))</f>
        <v/>
      </c>
      <c r="W96" s="96" t="str">
        <f>IF(W$3="","",IF(COUNTIFS(Base!$A$3:$A$5001,W$3,Base!$B$3:$B$5001,$A$79,Base!$AC$3:$AC$5001,"&lt;&gt;")=0,"",SUMIFS(Base!$AC$3:$AC$5001,Base!$A$3:$A$5001,W$3,Base!$B$3:$B$5001,$A$79)))</f>
        <v/>
      </c>
      <c r="X96" s="96" t="str">
        <f>IF(X$3="","",IF(COUNTIFS(Base!$A$3:$A$5001,X$3,Base!$B$3:$B$5001,$A$79,Base!$AC$3:$AC$5001,"&lt;&gt;")=0,"",SUMIFS(Base!$AC$3:$AC$5001,Base!$A$3:$A$5001,X$3,Base!$B$3:$B$5001,$A$79)))</f>
        <v/>
      </c>
      <c r="Y96" s="96" t="str">
        <f>IF(Y$3="","",IF(COUNTIFS(Base!$A$3:$A$5001,Y$3,Base!$B$3:$B$5001,$A$79,Base!$AC$3:$AC$5001,"&lt;&gt;")=0,"",SUMIFS(Base!$AC$3:$AC$5001,Base!$A$3:$A$5001,Y$3,Base!$B$3:$B$5001,$A$79)))</f>
        <v/>
      </c>
      <c r="Z96" s="96" t="str">
        <f>IF(Z$3="","",IF(COUNTIFS(Base!$A$3:$A$5001,Z$3,Base!$B$3:$B$5001,$A$79,Base!$AC$3:$AC$5001,"&lt;&gt;")=0,"",SUMIFS(Base!$AC$3:$AC$5001,Base!$A$3:$A$5001,Z$3,Base!$B$3:$B$5001,$A$79)))</f>
        <v/>
      </c>
      <c r="AA96" s="96" t="str">
        <f>IF(AA$3="","",IF(COUNTIFS(Base!$A$3:$A$5001,AA$3,Base!$B$3:$B$5001,$A$79,Base!$AC$3:$AC$5001,"&lt;&gt;")=0,"",SUMIFS(Base!$AC$3:$AC$5001,Base!$A$3:$A$5001,AA$3,Base!$B$3:$B$5001,$A$79)))</f>
        <v/>
      </c>
      <c r="AB96" s="96" t="str">
        <f>IF(AB$3="","",IF(COUNTIFS(Base!$A$3:$A$5001,AB$3,Base!$B$3:$B$5001,$A$79,Base!$AC$3:$AC$5001,"&lt;&gt;")=0,"",SUMIFS(Base!$AC$3:$AC$5001,Base!$A$3:$A$5001,AB$3,Base!$B$3:$B$5001,$A$79)))</f>
        <v/>
      </c>
      <c r="AC96" s="96" t="str">
        <f>IF(AC$3="","",IF(COUNTIFS(Base!$A$3:$A$5001,AC$3,Base!$B$3:$B$5001,$A$79,Base!$AC$3:$AC$5001,"&lt;&gt;")=0,"",SUMIFS(Base!$AC$3:$AC$5001,Base!$A$3:$A$5001,AC$3,Base!$B$3:$B$5001,$A$79)))</f>
        <v/>
      </c>
      <c r="AD96" s="96" t="str">
        <f>IF(AD$3="","",IF(COUNTIFS(Base!$A$3:$A$5001,AD$3,Base!$B$3:$B$5001,$A$79,Base!$AC$3:$AC$5001,"&lt;&gt;")=0,"",SUMIFS(Base!$AC$3:$AC$5001,Base!$A$3:$A$5001,AD$3,Base!$B$3:$B$5001,$A$79)))</f>
        <v/>
      </c>
      <c r="AE96" s="96" t="str">
        <f>IF(AE$3="","",IF(COUNTIFS(Base!$A$3:$A$5001,AE$3,Base!$B$3:$B$5001,$A$79,Base!$AC$3:$AC$5001,"&lt;&gt;")=0,"",SUMIFS(Base!$AC$3:$AC$5001,Base!$A$3:$A$5001,AE$3,Base!$B$3:$B$5001,$A$79)))</f>
        <v/>
      </c>
      <c r="AF96" s="96" t="str">
        <f>IF(AF$3="","",IF(COUNTIFS(Base!$A$3:$A$5001,AF$3,Base!$B$3:$B$5001,$A$79,Base!$AC$3:$AC$5001,"&lt;&gt;")=0,"",SUMIFS(Base!$AC$3:$AC$5001,Base!$A$3:$A$5001,AF$3,Base!$B$3:$B$5001,$A$79)))</f>
        <v/>
      </c>
      <c r="AG96" s="96" t="str">
        <f>IF(AG$3="","",IF(COUNTIFS(Base!$A$3:$A$5001,AG$3,Base!$B$3:$B$5001,$A$79,Base!$AC$3:$AC$5001,"&lt;&gt;")=0,"",SUMIFS(Base!$AC$3:$AC$5001,Base!$A$3:$A$5001,AG$3,Base!$B$3:$B$5001,$A$79)))</f>
        <v/>
      </c>
      <c r="AH96" s="96" t="str">
        <f>IF(AH$3="","",IF(COUNTIFS(Base!$A$3:$A$5001,AH$3,Base!$B$3:$B$5001,$A$79,Base!$AC$3:$AC$5001,"&lt;&gt;")=0,"",SUMIFS(Base!$AC$3:$AC$5001,Base!$A$3:$A$5001,AH$3,Base!$B$3:$B$5001,$A$79)))</f>
        <v/>
      </c>
      <c r="AI96" s="96" t="str">
        <f>IF(AI$3="","",IF(COUNTIFS(Base!$A$3:$A$5001,AI$3,Base!$B$3:$B$5001,$A$79,Base!$AC$3:$AC$5001,"&lt;&gt;")=0,"",SUMIFS(Base!$AC$3:$AC$5001,Base!$A$3:$A$5001,AI$3,Base!$B$3:$B$5001,$A$79)))</f>
        <v/>
      </c>
      <c r="AJ96" s="97" t="str">
        <f>IF(AJ$3="","",IF(COUNTIFS(Base!$A$3:$A$5001,AJ$3,Base!$B$3:$B$5001,$A$79,Base!$AC$3:$AC$5001,"&lt;&gt;")=0,"",SUMIFS(Base!$AC$3:$AC$5001,Base!$A$3:$A$5001,AJ$3,Base!$B$3:$B$5001,$A$79)))</f>
        <v/>
      </c>
      <c r="AK96" s="98" t="str">
        <f>IF(COUNT(F96:AJ96)=0,"",SUM(F96:AJ96))</f>
        <v/>
      </c>
    </row>
    <row r="97" ht="15.75" customHeight="1">
      <c r="A97" s="119"/>
      <c r="B97" s="116"/>
      <c r="C97" s="99" t="inlineStr">
        <is>
          <t xml:space="preserve">Desligamentos</t>
        </is>
      </c>
      <c r="D97" s="100" t="str">
        <f>IFERROR(1/(1/INDEX(calculos!$C$55:$K$83,MATCH("Desligamentos",calculos!$A$55:$A$83,0),MATCH($A$79,calculos!$C$54:$K$54,0))),"")</f>
        <v/>
      </c>
      <c r="E97" s="101"/>
      <c r="F97" s="102" t="str">
        <f>IF(F$3="","",IF(COUNTIFS(Base!$A$3:$A$5001,F$3,Base!$B$3:$B$5001,$A$79,Base!$AD$3:$AD$5001,"&lt;&gt;")=0,"",SUMIFS(Base!$AD$3:$AD$5001,Base!$A$3:$A$5001,F$3,Base!$B$3:$B$5001,$A$79)))</f>
        <v/>
      </c>
      <c r="G97" s="103" t="str">
        <f>IF(G$3="","",IF(COUNTIFS(Base!$A$3:$A$5001,G$3,Base!$B$3:$B$5001,$A$79,Base!$AD$3:$AD$5001,"&lt;&gt;")=0,"",SUMIFS(Base!$AD$3:$AD$5001,Base!$A$3:$A$5001,G$3,Base!$B$3:$B$5001,$A$79)))</f>
        <v/>
      </c>
      <c r="H97" s="103" t="str">
        <f>IF(H$3="","",IF(COUNTIFS(Base!$A$3:$A$5001,H$3,Base!$B$3:$B$5001,$A$79,Base!$AD$3:$AD$5001,"&lt;&gt;")=0,"",SUMIFS(Base!$AD$3:$AD$5001,Base!$A$3:$A$5001,H$3,Base!$B$3:$B$5001,$A$79)))</f>
        <v/>
      </c>
      <c r="I97" s="103" t="str">
        <f>IF(I$3="","",IF(COUNTIFS(Base!$A$3:$A$5001,I$3,Base!$B$3:$B$5001,$A$79,Base!$AD$3:$AD$5001,"&lt;&gt;")=0,"",SUMIFS(Base!$AD$3:$AD$5001,Base!$A$3:$A$5001,I$3,Base!$B$3:$B$5001,$A$79)))</f>
        <v/>
      </c>
      <c r="J97" s="103" t="str">
        <f>IF(J$3="","",IF(COUNTIFS(Base!$A$3:$A$5001,J$3,Base!$B$3:$B$5001,$A$79,Base!$AD$3:$AD$5001,"&lt;&gt;")=0,"",SUMIFS(Base!$AD$3:$AD$5001,Base!$A$3:$A$5001,J$3,Base!$B$3:$B$5001,$A$79)))</f>
        <v/>
      </c>
      <c r="K97" s="103" t="str">
        <f>IF(K$3="","",IF(COUNTIFS(Base!$A$3:$A$5001,K$3,Base!$B$3:$B$5001,$A$79,Base!$AD$3:$AD$5001,"&lt;&gt;")=0,"",SUMIFS(Base!$AD$3:$AD$5001,Base!$A$3:$A$5001,K$3,Base!$B$3:$B$5001,$A$79)))</f>
        <v/>
      </c>
      <c r="L97" s="103" t="str">
        <f>IF(L$3="","",IF(COUNTIFS(Base!$A$3:$A$5001,L$3,Base!$B$3:$B$5001,$A$79,Base!$AD$3:$AD$5001,"&lt;&gt;")=0,"",SUMIFS(Base!$AD$3:$AD$5001,Base!$A$3:$A$5001,L$3,Base!$B$3:$B$5001,$A$79)))</f>
        <v/>
      </c>
      <c r="M97" s="103" t="str">
        <f>IF(M$3="","",IF(COUNTIFS(Base!$A$3:$A$5001,M$3,Base!$B$3:$B$5001,$A$79,Base!$AD$3:$AD$5001,"&lt;&gt;")=0,"",SUMIFS(Base!$AD$3:$AD$5001,Base!$A$3:$A$5001,M$3,Base!$B$3:$B$5001,$A$79)))</f>
        <v/>
      </c>
      <c r="N97" s="103" t="str">
        <f>IF(N$3="","",IF(COUNTIFS(Base!$A$3:$A$5001,N$3,Base!$B$3:$B$5001,$A$79,Base!$AD$3:$AD$5001,"&lt;&gt;")=0,"",SUMIFS(Base!$AD$3:$AD$5001,Base!$A$3:$A$5001,N$3,Base!$B$3:$B$5001,$A$79)))</f>
        <v/>
      </c>
      <c r="O97" s="103" t="str">
        <f>IF(O$3="","",IF(COUNTIFS(Base!$A$3:$A$5001,O$3,Base!$B$3:$B$5001,$A$79,Base!$AD$3:$AD$5001,"&lt;&gt;")=0,"",SUMIFS(Base!$AD$3:$AD$5001,Base!$A$3:$A$5001,O$3,Base!$B$3:$B$5001,$A$79)))</f>
        <v/>
      </c>
      <c r="P97" s="103" t="str">
        <f>IF(P$3="","",IF(COUNTIFS(Base!$A$3:$A$5001,P$3,Base!$B$3:$B$5001,$A$79,Base!$AD$3:$AD$5001,"&lt;&gt;")=0,"",SUMIFS(Base!$AD$3:$AD$5001,Base!$A$3:$A$5001,P$3,Base!$B$3:$B$5001,$A$79)))</f>
        <v/>
      </c>
      <c r="Q97" s="103" t="str">
        <f>IF(Q$3="","",IF(COUNTIFS(Base!$A$3:$A$5001,Q$3,Base!$B$3:$B$5001,$A$79,Base!$AD$3:$AD$5001,"&lt;&gt;")=0,"",SUMIFS(Base!$AD$3:$AD$5001,Base!$A$3:$A$5001,Q$3,Base!$B$3:$B$5001,$A$79)))</f>
        <v/>
      </c>
      <c r="R97" s="103" t="str">
        <f>IF(R$3="","",IF(COUNTIFS(Base!$A$3:$A$5001,R$3,Base!$B$3:$B$5001,$A$79,Base!$AD$3:$AD$5001,"&lt;&gt;")=0,"",SUMIFS(Base!$AD$3:$AD$5001,Base!$A$3:$A$5001,R$3,Base!$B$3:$B$5001,$A$79)))</f>
        <v/>
      </c>
      <c r="S97" s="103" t="str">
        <f>IF(S$3="","",IF(COUNTIFS(Base!$A$3:$A$5001,S$3,Base!$B$3:$B$5001,$A$79,Base!$AD$3:$AD$5001,"&lt;&gt;")=0,"",SUMIFS(Base!$AD$3:$AD$5001,Base!$A$3:$A$5001,S$3,Base!$B$3:$B$5001,$A$79)))</f>
        <v/>
      </c>
      <c r="T97" s="103" t="str">
        <f>IF(T$3="","",IF(COUNTIFS(Base!$A$3:$A$5001,T$3,Base!$B$3:$B$5001,$A$79,Base!$AD$3:$AD$5001,"&lt;&gt;")=0,"",SUMIFS(Base!$AD$3:$AD$5001,Base!$A$3:$A$5001,T$3,Base!$B$3:$B$5001,$A$79)))</f>
        <v/>
      </c>
      <c r="U97" s="103" t="str">
        <f>IF(U$3="","",IF(COUNTIFS(Base!$A$3:$A$5001,U$3,Base!$B$3:$B$5001,$A$79,Base!$AD$3:$AD$5001,"&lt;&gt;")=0,"",SUMIFS(Base!$AD$3:$AD$5001,Base!$A$3:$A$5001,U$3,Base!$B$3:$B$5001,$A$79)))</f>
        <v/>
      </c>
      <c r="V97" s="103" t="str">
        <f>IF(V$3="","",IF(COUNTIFS(Base!$A$3:$A$5001,V$3,Base!$B$3:$B$5001,$A$79,Base!$AD$3:$AD$5001,"&lt;&gt;")=0,"",SUMIFS(Base!$AD$3:$AD$5001,Base!$A$3:$A$5001,V$3,Base!$B$3:$B$5001,$A$79)))</f>
        <v/>
      </c>
      <c r="W97" s="103" t="str">
        <f>IF(W$3="","",IF(COUNTIFS(Base!$A$3:$A$5001,W$3,Base!$B$3:$B$5001,$A$79,Base!$AD$3:$AD$5001,"&lt;&gt;")=0,"",SUMIFS(Base!$AD$3:$AD$5001,Base!$A$3:$A$5001,W$3,Base!$B$3:$B$5001,$A$79)))</f>
        <v/>
      </c>
      <c r="X97" s="103" t="str">
        <f>IF(X$3="","",IF(COUNTIFS(Base!$A$3:$A$5001,X$3,Base!$B$3:$B$5001,$A$79,Base!$AD$3:$AD$5001,"&lt;&gt;")=0,"",SUMIFS(Base!$AD$3:$AD$5001,Base!$A$3:$A$5001,X$3,Base!$B$3:$B$5001,$A$79)))</f>
        <v/>
      </c>
      <c r="Y97" s="103" t="str">
        <f>IF(Y$3="","",IF(COUNTIFS(Base!$A$3:$A$5001,Y$3,Base!$B$3:$B$5001,$A$79,Base!$AD$3:$AD$5001,"&lt;&gt;")=0,"",SUMIFS(Base!$AD$3:$AD$5001,Base!$A$3:$A$5001,Y$3,Base!$B$3:$B$5001,$A$79)))</f>
        <v/>
      </c>
      <c r="Z97" s="103" t="str">
        <f>IF(Z$3="","",IF(COUNTIFS(Base!$A$3:$A$5001,Z$3,Base!$B$3:$B$5001,$A$79,Base!$AD$3:$AD$5001,"&lt;&gt;")=0,"",SUMIFS(Base!$AD$3:$AD$5001,Base!$A$3:$A$5001,Z$3,Base!$B$3:$B$5001,$A$79)))</f>
        <v/>
      </c>
      <c r="AA97" s="103" t="str">
        <f>IF(AA$3="","",IF(COUNTIFS(Base!$A$3:$A$5001,AA$3,Base!$B$3:$B$5001,$A$79,Base!$AD$3:$AD$5001,"&lt;&gt;")=0,"",SUMIFS(Base!$AD$3:$AD$5001,Base!$A$3:$A$5001,AA$3,Base!$B$3:$B$5001,$A$79)))</f>
        <v/>
      </c>
      <c r="AB97" s="103" t="str">
        <f>IF(AB$3="","",IF(COUNTIFS(Base!$A$3:$A$5001,AB$3,Base!$B$3:$B$5001,$A$79,Base!$AD$3:$AD$5001,"&lt;&gt;")=0,"",SUMIFS(Base!$AD$3:$AD$5001,Base!$A$3:$A$5001,AB$3,Base!$B$3:$B$5001,$A$79)))</f>
        <v/>
      </c>
      <c r="AC97" s="103" t="str">
        <f>IF(AC$3="","",IF(COUNTIFS(Base!$A$3:$A$5001,AC$3,Base!$B$3:$B$5001,$A$79,Base!$AD$3:$AD$5001,"&lt;&gt;")=0,"",SUMIFS(Base!$AD$3:$AD$5001,Base!$A$3:$A$5001,AC$3,Base!$B$3:$B$5001,$A$79)))</f>
        <v/>
      </c>
      <c r="AD97" s="103" t="str">
        <f>IF(AD$3="","",IF(COUNTIFS(Base!$A$3:$A$5001,AD$3,Base!$B$3:$B$5001,$A$79,Base!$AD$3:$AD$5001,"&lt;&gt;")=0,"",SUMIFS(Base!$AD$3:$AD$5001,Base!$A$3:$A$5001,AD$3,Base!$B$3:$B$5001,$A$79)))</f>
        <v/>
      </c>
      <c r="AE97" s="103" t="str">
        <f>IF(AE$3="","",IF(COUNTIFS(Base!$A$3:$A$5001,AE$3,Base!$B$3:$B$5001,$A$79,Base!$AD$3:$AD$5001,"&lt;&gt;")=0,"",SUMIFS(Base!$AD$3:$AD$5001,Base!$A$3:$A$5001,AE$3,Base!$B$3:$B$5001,$A$79)))</f>
        <v/>
      </c>
      <c r="AF97" s="103" t="str">
        <f>IF(AF$3="","",IF(COUNTIFS(Base!$A$3:$A$5001,AF$3,Base!$B$3:$B$5001,$A$79,Base!$AD$3:$AD$5001,"&lt;&gt;")=0,"",SUMIFS(Base!$AD$3:$AD$5001,Base!$A$3:$A$5001,AF$3,Base!$B$3:$B$5001,$A$79)))</f>
        <v/>
      </c>
      <c r="AG97" s="103" t="str">
        <f>IF(AG$3="","",IF(COUNTIFS(Base!$A$3:$A$5001,AG$3,Base!$B$3:$B$5001,$A$79,Base!$AD$3:$AD$5001,"&lt;&gt;")=0,"",SUMIFS(Base!$AD$3:$AD$5001,Base!$A$3:$A$5001,AG$3,Base!$B$3:$B$5001,$A$79)))</f>
        <v/>
      </c>
      <c r="AH97" s="103" t="str">
        <f>IF(AH$3="","",IF(COUNTIFS(Base!$A$3:$A$5001,AH$3,Base!$B$3:$B$5001,$A$79,Base!$AD$3:$AD$5001,"&lt;&gt;")=0,"",SUMIFS(Base!$AD$3:$AD$5001,Base!$A$3:$A$5001,AH$3,Base!$B$3:$B$5001,$A$79)))</f>
        <v/>
      </c>
      <c r="AI97" s="103" t="str">
        <f>IF(AI$3="","",IF(COUNTIFS(Base!$A$3:$A$5001,AI$3,Base!$B$3:$B$5001,$A$79,Base!$AD$3:$AD$5001,"&lt;&gt;")=0,"",SUMIFS(Base!$AD$3:$AD$5001,Base!$A$3:$A$5001,AI$3,Base!$B$3:$B$5001,$A$79)))</f>
        <v/>
      </c>
      <c r="AJ97" s="104" t="str">
        <f>IF(AJ$3="","",IF(COUNTIFS(Base!$A$3:$A$5001,AJ$3,Base!$B$3:$B$5001,$A$79,Base!$AD$3:$AD$5001,"&lt;&gt;")=0,"",SUMIFS(Base!$AD$3:$AD$5001,Base!$A$3:$A$5001,AJ$3,Base!$B$3:$B$5001,$A$79)))</f>
        <v/>
      </c>
      <c r="AK97" s="100" t="str">
        <f>IF(COUNT(F97:AJ97)=0,"",SUM(F97:AJ97))</f>
        <v/>
      </c>
    </row>
    <row r="99" ht="15.75" customHeight="1">
      <c r="A99" s="117" t="inlineStr">
        <is>
          <t xml:space="preserve">VESTAS</t>
        </is>
      </c>
      <c r="B99" s="105" t="inlineStr">
        <is>
          <t xml:space="preserve">IN</t>
        </is>
      </c>
      <c r="C99" s="21" t="inlineStr">
        <is>
          <t xml:space="preserve">Veículos Recebidos</t>
        </is>
      </c>
      <c r="D99" s="22" t="str">
        <f>IFERROR(1/(1/INDEX(calculos!$C$55:$K$83,MATCH("IN Veículos Recebidos",calculos!$A$55:$A$83,0),MATCH($A$99,calculos!$C$54:$K$54,0))),"")</f>
        <v/>
      </c>
      <c r="E99" s="23"/>
      <c r="F99" s="24" t="str">
        <f>IF(F$3="","",IF(COUNTIFS(Base!$A$3:$A$5001,F$3,Base!$B$3:$B$5001,$A$99,Base!$C$3:$C$5001,"&lt;&gt;")=0,"",SUMIFS(Base!$C$3:$C$5001,Base!$A$3:$A$5001,F$3,Base!$B$3:$B$5001,$A$99)))</f>
        <v/>
      </c>
      <c r="G99" s="25" t="str">
        <f>IF(G$3="","",IF(COUNTIFS(Base!$A$3:$A$5001,G$3,Base!$B$3:$B$5001,$A$99,Base!$C$3:$C$5001,"&lt;&gt;")=0,"",SUMIFS(Base!$C$3:$C$5001,Base!$A$3:$A$5001,G$3,Base!$B$3:$B$5001,$A$99)))</f>
        <v/>
      </c>
      <c r="H99" s="25" t="str">
        <f>IF(H$3="","",IF(COUNTIFS(Base!$A$3:$A$5001,H$3,Base!$B$3:$B$5001,$A$99,Base!$C$3:$C$5001,"&lt;&gt;")=0,"",SUMIFS(Base!$C$3:$C$5001,Base!$A$3:$A$5001,H$3,Base!$B$3:$B$5001,$A$99)))</f>
        <v/>
      </c>
      <c r="I99" s="25" t="str">
        <f>IF(I$3="","",IF(COUNTIFS(Base!$A$3:$A$5001,I$3,Base!$B$3:$B$5001,$A$99,Base!$C$3:$C$5001,"&lt;&gt;")=0,"",SUMIFS(Base!$C$3:$C$5001,Base!$A$3:$A$5001,I$3,Base!$B$3:$B$5001,$A$99)))</f>
        <v/>
      </c>
      <c r="J99" s="25" t="str">
        <f>IF(J$3="","",IF(COUNTIFS(Base!$A$3:$A$5001,J$3,Base!$B$3:$B$5001,$A$99,Base!$C$3:$C$5001,"&lt;&gt;")=0,"",SUMIFS(Base!$C$3:$C$5001,Base!$A$3:$A$5001,J$3,Base!$B$3:$B$5001,$A$99)))</f>
        <v/>
      </c>
      <c r="K99" s="25" t="str">
        <f>IF(K$3="","",IF(COUNTIFS(Base!$A$3:$A$5001,K$3,Base!$B$3:$B$5001,$A$99,Base!$C$3:$C$5001,"&lt;&gt;")=0,"",SUMIFS(Base!$C$3:$C$5001,Base!$A$3:$A$5001,K$3,Base!$B$3:$B$5001,$A$99)))</f>
        <v/>
      </c>
      <c r="L99" s="25" t="str">
        <f>IF(L$3="","",IF(COUNTIFS(Base!$A$3:$A$5001,L$3,Base!$B$3:$B$5001,$A$99,Base!$C$3:$C$5001,"&lt;&gt;")=0,"",SUMIFS(Base!$C$3:$C$5001,Base!$A$3:$A$5001,L$3,Base!$B$3:$B$5001,$A$99)))</f>
        <v/>
      </c>
      <c r="M99" s="25" t="str">
        <f>IF(M$3="","",IF(COUNTIFS(Base!$A$3:$A$5001,M$3,Base!$B$3:$B$5001,$A$99,Base!$C$3:$C$5001,"&lt;&gt;")=0,"",SUMIFS(Base!$C$3:$C$5001,Base!$A$3:$A$5001,M$3,Base!$B$3:$B$5001,$A$99)))</f>
        <v/>
      </c>
      <c r="N99" s="25" t="str">
        <f>IF(N$3="","",IF(COUNTIFS(Base!$A$3:$A$5001,N$3,Base!$B$3:$B$5001,$A$99,Base!$C$3:$C$5001,"&lt;&gt;")=0,"",SUMIFS(Base!$C$3:$C$5001,Base!$A$3:$A$5001,N$3,Base!$B$3:$B$5001,$A$99)))</f>
        <v/>
      </c>
      <c r="O99" s="25" t="str">
        <f>IF(O$3="","",IF(COUNTIFS(Base!$A$3:$A$5001,O$3,Base!$B$3:$B$5001,$A$99,Base!$C$3:$C$5001,"&lt;&gt;")=0,"",SUMIFS(Base!$C$3:$C$5001,Base!$A$3:$A$5001,O$3,Base!$B$3:$B$5001,$A$99)))</f>
        <v/>
      </c>
      <c r="P99" s="25" t="str">
        <f>IF(P$3="","",IF(COUNTIFS(Base!$A$3:$A$5001,P$3,Base!$B$3:$B$5001,$A$99,Base!$C$3:$C$5001,"&lt;&gt;")=0,"",SUMIFS(Base!$C$3:$C$5001,Base!$A$3:$A$5001,P$3,Base!$B$3:$B$5001,$A$99)))</f>
        <v/>
      </c>
      <c r="Q99" s="25" t="str">
        <f>IF(Q$3="","",IF(COUNTIFS(Base!$A$3:$A$5001,Q$3,Base!$B$3:$B$5001,$A$99,Base!$C$3:$C$5001,"&lt;&gt;")=0,"",SUMIFS(Base!$C$3:$C$5001,Base!$A$3:$A$5001,Q$3,Base!$B$3:$B$5001,$A$99)))</f>
        <v/>
      </c>
      <c r="R99" s="25" t="str">
        <f>IF(R$3="","",IF(COUNTIFS(Base!$A$3:$A$5001,R$3,Base!$B$3:$B$5001,$A$99,Base!$C$3:$C$5001,"&lt;&gt;")=0,"",SUMIFS(Base!$C$3:$C$5001,Base!$A$3:$A$5001,R$3,Base!$B$3:$B$5001,$A$99)))</f>
        <v/>
      </c>
      <c r="S99" s="25" t="str">
        <f>IF(S$3="","",IF(COUNTIFS(Base!$A$3:$A$5001,S$3,Base!$B$3:$B$5001,$A$99,Base!$C$3:$C$5001,"&lt;&gt;")=0,"",SUMIFS(Base!$C$3:$C$5001,Base!$A$3:$A$5001,S$3,Base!$B$3:$B$5001,$A$99)))</f>
        <v/>
      </c>
      <c r="T99" s="25" t="str">
        <f>IF(T$3="","",IF(COUNTIFS(Base!$A$3:$A$5001,T$3,Base!$B$3:$B$5001,$A$99,Base!$C$3:$C$5001,"&lt;&gt;")=0,"",SUMIFS(Base!$C$3:$C$5001,Base!$A$3:$A$5001,T$3,Base!$B$3:$B$5001,$A$99)))</f>
        <v/>
      </c>
      <c r="U99" s="25" t="str">
        <f>IF(U$3="","",IF(COUNTIFS(Base!$A$3:$A$5001,U$3,Base!$B$3:$B$5001,$A$99,Base!$C$3:$C$5001,"&lt;&gt;")=0,"",SUMIFS(Base!$C$3:$C$5001,Base!$A$3:$A$5001,U$3,Base!$B$3:$B$5001,$A$99)))</f>
        <v/>
      </c>
      <c r="V99" s="25" t="str">
        <f>IF(V$3="","",IF(COUNTIFS(Base!$A$3:$A$5001,V$3,Base!$B$3:$B$5001,$A$99,Base!$C$3:$C$5001,"&lt;&gt;")=0,"",SUMIFS(Base!$C$3:$C$5001,Base!$A$3:$A$5001,V$3,Base!$B$3:$B$5001,$A$99)))</f>
        <v/>
      </c>
      <c r="W99" s="25" t="str">
        <f>IF(W$3="","",IF(COUNTIFS(Base!$A$3:$A$5001,W$3,Base!$B$3:$B$5001,$A$99,Base!$C$3:$C$5001,"&lt;&gt;")=0,"",SUMIFS(Base!$C$3:$C$5001,Base!$A$3:$A$5001,W$3,Base!$B$3:$B$5001,$A$99)))</f>
        <v/>
      </c>
      <c r="X99" s="25" t="str">
        <f>IF(X$3="","",IF(COUNTIFS(Base!$A$3:$A$5001,X$3,Base!$B$3:$B$5001,$A$99,Base!$C$3:$C$5001,"&lt;&gt;")=0,"",SUMIFS(Base!$C$3:$C$5001,Base!$A$3:$A$5001,X$3,Base!$B$3:$B$5001,$A$99)))</f>
        <v/>
      </c>
      <c r="Y99" s="25" t="str">
        <f>IF(Y$3="","",IF(COUNTIFS(Base!$A$3:$A$5001,Y$3,Base!$B$3:$B$5001,$A$99,Base!$C$3:$C$5001,"&lt;&gt;")=0,"",SUMIFS(Base!$C$3:$C$5001,Base!$A$3:$A$5001,Y$3,Base!$B$3:$B$5001,$A$99)))</f>
        <v/>
      </c>
      <c r="Z99" s="25" t="str">
        <f>IF(Z$3="","",IF(COUNTIFS(Base!$A$3:$A$5001,Z$3,Base!$B$3:$B$5001,$A$99,Base!$C$3:$C$5001,"&lt;&gt;")=0,"",SUMIFS(Base!$C$3:$C$5001,Base!$A$3:$A$5001,Z$3,Base!$B$3:$B$5001,$A$99)))</f>
        <v/>
      </c>
      <c r="AA99" s="25" t="str">
        <f>IF(AA$3="","",IF(COUNTIFS(Base!$A$3:$A$5001,AA$3,Base!$B$3:$B$5001,$A$99,Base!$C$3:$C$5001,"&lt;&gt;")=0,"",SUMIFS(Base!$C$3:$C$5001,Base!$A$3:$A$5001,AA$3,Base!$B$3:$B$5001,$A$99)))</f>
        <v/>
      </c>
      <c r="AB99" s="25" t="str">
        <f>IF(AB$3="","",IF(COUNTIFS(Base!$A$3:$A$5001,AB$3,Base!$B$3:$B$5001,$A$99,Base!$C$3:$C$5001,"&lt;&gt;")=0,"",SUMIFS(Base!$C$3:$C$5001,Base!$A$3:$A$5001,AB$3,Base!$B$3:$B$5001,$A$99)))</f>
        <v/>
      </c>
      <c r="AC99" s="25" t="str">
        <f>IF(AC$3="","",IF(COUNTIFS(Base!$A$3:$A$5001,AC$3,Base!$B$3:$B$5001,$A$99,Base!$C$3:$C$5001,"&lt;&gt;")=0,"",SUMIFS(Base!$C$3:$C$5001,Base!$A$3:$A$5001,AC$3,Base!$B$3:$B$5001,$A$99)))</f>
        <v/>
      </c>
      <c r="AD99" s="25" t="str">
        <f>IF(AD$3="","",IF(COUNTIFS(Base!$A$3:$A$5001,AD$3,Base!$B$3:$B$5001,$A$99,Base!$C$3:$C$5001,"&lt;&gt;")=0,"",SUMIFS(Base!$C$3:$C$5001,Base!$A$3:$A$5001,AD$3,Base!$B$3:$B$5001,$A$99)))</f>
        <v/>
      </c>
      <c r="AE99" s="25" t="str">
        <f>IF(AE$3="","",IF(COUNTIFS(Base!$A$3:$A$5001,AE$3,Base!$B$3:$B$5001,$A$99,Base!$C$3:$C$5001,"&lt;&gt;")=0,"",SUMIFS(Base!$C$3:$C$5001,Base!$A$3:$A$5001,AE$3,Base!$B$3:$B$5001,$A$99)))</f>
        <v/>
      </c>
      <c r="AF99" s="25" t="str">
        <f>IF(AF$3="","",IF(COUNTIFS(Base!$A$3:$A$5001,AF$3,Base!$B$3:$B$5001,$A$99,Base!$C$3:$C$5001,"&lt;&gt;")=0,"",SUMIFS(Base!$C$3:$C$5001,Base!$A$3:$A$5001,AF$3,Base!$B$3:$B$5001,$A$99)))</f>
        <v/>
      </c>
      <c r="AG99" s="25" t="str">
        <f>IF(AG$3="","",IF(COUNTIFS(Base!$A$3:$A$5001,AG$3,Base!$B$3:$B$5001,$A$99,Base!$C$3:$C$5001,"&lt;&gt;")=0,"",SUMIFS(Base!$C$3:$C$5001,Base!$A$3:$A$5001,AG$3,Base!$B$3:$B$5001,$A$99)))</f>
        <v/>
      </c>
      <c r="AH99" s="25" t="str">
        <f>IF(AH$3="","",IF(COUNTIFS(Base!$A$3:$A$5001,AH$3,Base!$B$3:$B$5001,$A$99,Base!$C$3:$C$5001,"&lt;&gt;")=0,"",SUMIFS(Base!$C$3:$C$5001,Base!$A$3:$A$5001,AH$3,Base!$B$3:$B$5001,$A$99)))</f>
        <v/>
      </c>
      <c r="AI99" s="25" t="str">
        <f>IF(AI$3="","",IF(COUNTIFS(Base!$A$3:$A$5001,AI$3,Base!$B$3:$B$5001,$A$99,Base!$C$3:$C$5001,"&lt;&gt;")=0,"",SUMIFS(Base!$C$3:$C$5001,Base!$A$3:$A$5001,AI$3,Base!$B$3:$B$5001,$A$99)))</f>
        <v/>
      </c>
      <c r="AJ99" s="26" t="str">
        <f>IF(AJ$3="","",IF(COUNTIFS(Base!$A$3:$A$5001,AJ$3,Base!$B$3:$B$5001,$A$99,Base!$C$3:$C$5001,"&lt;&gt;")=0,"",SUMIFS(Base!$C$3:$C$5001,Base!$A$3:$A$5001,AJ$3,Base!$B$3:$B$5001,$A$99)))</f>
        <v/>
      </c>
      <c r="AK99" s="27" t="str">
        <f>IF(COUNT(F99:AJ99)=0,"",SUM(F99:AJ99))</f>
        <v/>
      </c>
    </row>
    <row r="100" ht="15.75" customHeight="1">
      <c r="A100" s="118"/>
      <c r="B100" s="107"/>
      <c r="C100" s="35" t="inlineStr">
        <is>
          <t xml:space="preserve">Linhas NF</t>
        </is>
      </c>
      <c r="D100" s="469" t="str">
        <f>IFERROR(1/(1/INDEX(calculos!$C$55:$K$83,MATCH("IN Linhas NF",calculos!$A$55:$A$83,0),MATCH($A$99,calculos!$C$54:$K$54,0))),"")</f>
        <v/>
      </c>
      <c r="E100" s="37"/>
      <c r="F100" s="470" t="str">
        <f>IF(F$3="","",IF(COUNTIFS(Base!$A$3:$A$5001,F$3,Base!$B$3:$B$5001,$A$99,Base!$K$3:$K$5001,"&lt;&gt;")=0,"",SUMIFS(Base!$K$3:$K$5001,Base!$A$3:$A$5001,F$3,Base!$B$3:$B$5001,$A$99)))</f>
        <v/>
      </c>
      <c r="G100" s="471" t="str">
        <f>IF(G$3="","",IF(COUNTIFS(Base!$A$3:$A$5001,G$3,Base!$B$3:$B$5001,$A$99,Base!$K$3:$K$5001,"&lt;&gt;")=0,"",SUMIFS(Base!$K$3:$K$5001,Base!$A$3:$A$5001,G$3,Base!$B$3:$B$5001,$A$99)))</f>
        <v/>
      </c>
      <c r="H100" s="471" t="str">
        <f>IF(H$3="","",IF(COUNTIFS(Base!$A$3:$A$5001,H$3,Base!$B$3:$B$5001,$A$99,Base!$K$3:$K$5001,"&lt;&gt;")=0,"",SUMIFS(Base!$K$3:$K$5001,Base!$A$3:$A$5001,H$3,Base!$B$3:$B$5001,$A$99)))</f>
        <v/>
      </c>
      <c r="I100" s="471" t="str">
        <f>IF(I$3="","",IF(COUNTIFS(Base!$A$3:$A$5001,I$3,Base!$B$3:$B$5001,$A$99,Base!$K$3:$K$5001,"&lt;&gt;")=0,"",SUMIFS(Base!$K$3:$K$5001,Base!$A$3:$A$5001,I$3,Base!$B$3:$B$5001,$A$99)))</f>
        <v/>
      </c>
      <c r="J100" s="471" t="str">
        <f>IF(J$3="","",IF(COUNTIFS(Base!$A$3:$A$5001,J$3,Base!$B$3:$B$5001,$A$99,Base!$K$3:$K$5001,"&lt;&gt;")=0,"",SUMIFS(Base!$K$3:$K$5001,Base!$A$3:$A$5001,J$3,Base!$B$3:$B$5001,$A$99)))</f>
        <v/>
      </c>
      <c r="K100" s="471" t="str">
        <f>IF(K$3="","",IF(COUNTIFS(Base!$A$3:$A$5001,K$3,Base!$B$3:$B$5001,$A$99,Base!$K$3:$K$5001,"&lt;&gt;")=0,"",SUMIFS(Base!$K$3:$K$5001,Base!$A$3:$A$5001,K$3,Base!$B$3:$B$5001,$A$99)))</f>
        <v/>
      </c>
      <c r="L100" s="471" t="str">
        <f>IF(L$3="","",IF(COUNTIFS(Base!$A$3:$A$5001,L$3,Base!$B$3:$B$5001,$A$99,Base!$K$3:$K$5001,"&lt;&gt;")=0,"",SUMIFS(Base!$K$3:$K$5001,Base!$A$3:$A$5001,L$3,Base!$B$3:$B$5001,$A$99)))</f>
        <v/>
      </c>
      <c r="M100" s="471" t="str">
        <f>IF(M$3="","",IF(COUNTIFS(Base!$A$3:$A$5001,M$3,Base!$B$3:$B$5001,$A$99,Base!$K$3:$K$5001,"&lt;&gt;")=0,"",SUMIFS(Base!$K$3:$K$5001,Base!$A$3:$A$5001,M$3,Base!$B$3:$B$5001,$A$99)))</f>
        <v/>
      </c>
      <c r="N100" s="471" t="str">
        <f>IF(N$3="","",IF(COUNTIFS(Base!$A$3:$A$5001,N$3,Base!$B$3:$B$5001,$A$99,Base!$K$3:$K$5001,"&lt;&gt;")=0,"",SUMIFS(Base!$K$3:$K$5001,Base!$A$3:$A$5001,N$3,Base!$B$3:$B$5001,$A$99)))</f>
        <v/>
      </c>
      <c r="O100" s="471" t="str">
        <f>IF(O$3="","",IF(COUNTIFS(Base!$A$3:$A$5001,O$3,Base!$B$3:$B$5001,$A$99,Base!$K$3:$K$5001,"&lt;&gt;")=0,"",SUMIFS(Base!$K$3:$K$5001,Base!$A$3:$A$5001,O$3,Base!$B$3:$B$5001,$A$99)))</f>
        <v/>
      </c>
      <c r="P100" s="471" t="str">
        <f>IF(P$3="","",IF(COUNTIFS(Base!$A$3:$A$5001,P$3,Base!$B$3:$B$5001,$A$99,Base!$K$3:$K$5001,"&lt;&gt;")=0,"",SUMIFS(Base!$K$3:$K$5001,Base!$A$3:$A$5001,P$3,Base!$B$3:$B$5001,$A$99)))</f>
        <v/>
      </c>
      <c r="Q100" s="471" t="str">
        <f>IF(Q$3="","",IF(COUNTIFS(Base!$A$3:$A$5001,Q$3,Base!$B$3:$B$5001,$A$99,Base!$K$3:$K$5001,"&lt;&gt;")=0,"",SUMIFS(Base!$K$3:$K$5001,Base!$A$3:$A$5001,Q$3,Base!$B$3:$B$5001,$A$99)))</f>
        <v/>
      </c>
      <c r="R100" s="471" t="str">
        <f>IF(R$3="","",IF(COUNTIFS(Base!$A$3:$A$5001,R$3,Base!$B$3:$B$5001,$A$99,Base!$K$3:$K$5001,"&lt;&gt;")=0,"",SUMIFS(Base!$K$3:$K$5001,Base!$A$3:$A$5001,R$3,Base!$B$3:$B$5001,$A$99)))</f>
        <v/>
      </c>
      <c r="S100" s="471" t="str">
        <f>IF(S$3="","",IF(COUNTIFS(Base!$A$3:$A$5001,S$3,Base!$B$3:$B$5001,$A$99,Base!$K$3:$K$5001,"&lt;&gt;")=0,"",SUMIFS(Base!$K$3:$K$5001,Base!$A$3:$A$5001,S$3,Base!$B$3:$B$5001,$A$99)))</f>
        <v/>
      </c>
      <c r="T100" s="471" t="str">
        <f>IF(T$3="","",IF(COUNTIFS(Base!$A$3:$A$5001,T$3,Base!$B$3:$B$5001,$A$99,Base!$K$3:$K$5001,"&lt;&gt;")=0,"",SUMIFS(Base!$K$3:$K$5001,Base!$A$3:$A$5001,T$3,Base!$B$3:$B$5001,$A$99)))</f>
        <v/>
      </c>
      <c r="U100" s="471" t="str">
        <f>IF(U$3="","",IF(COUNTIFS(Base!$A$3:$A$5001,U$3,Base!$B$3:$B$5001,$A$99,Base!$K$3:$K$5001,"&lt;&gt;")=0,"",SUMIFS(Base!$K$3:$K$5001,Base!$A$3:$A$5001,U$3,Base!$B$3:$B$5001,$A$99)))</f>
        <v/>
      </c>
      <c r="V100" s="471" t="str">
        <f>IF(V$3="","",IF(COUNTIFS(Base!$A$3:$A$5001,V$3,Base!$B$3:$B$5001,$A$99,Base!$K$3:$K$5001,"&lt;&gt;")=0,"",SUMIFS(Base!$K$3:$K$5001,Base!$A$3:$A$5001,V$3,Base!$B$3:$B$5001,$A$99)))</f>
        <v/>
      </c>
      <c r="W100" s="471" t="str">
        <f>IF(W$3="","",IF(COUNTIFS(Base!$A$3:$A$5001,W$3,Base!$B$3:$B$5001,$A$99,Base!$K$3:$K$5001,"&lt;&gt;")=0,"",SUMIFS(Base!$K$3:$K$5001,Base!$A$3:$A$5001,W$3,Base!$B$3:$B$5001,$A$99)))</f>
        <v/>
      </c>
      <c r="X100" s="471" t="str">
        <f>IF(X$3="","",IF(COUNTIFS(Base!$A$3:$A$5001,X$3,Base!$B$3:$B$5001,$A$99,Base!$K$3:$K$5001,"&lt;&gt;")=0,"",SUMIFS(Base!$K$3:$K$5001,Base!$A$3:$A$5001,X$3,Base!$B$3:$B$5001,$A$99)))</f>
        <v/>
      </c>
      <c r="Y100" s="471" t="str">
        <f>IF(Y$3="","",IF(COUNTIFS(Base!$A$3:$A$5001,Y$3,Base!$B$3:$B$5001,$A$99,Base!$K$3:$K$5001,"&lt;&gt;")=0,"",SUMIFS(Base!$K$3:$K$5001,Base!$A$3:$A$5001,Y$3,Base!$B$3:$B$5001,$A$99)))</f>
        <v/>
      </c>
      <c r="Z100" s="471" t="str">
        <f>IF(Z$3="","",IF(COUNTIFS(Base!$A$3:$A$5001,Z$3,Base!$B$3:$B$5001,$A$99,Base!$K$3:$K$5001,"&lt;&gt;")=0,"",SUMIFS(Base!$K$3:$K$5001,Base!$A$3:$A$5001,Z$3,Base!$B$3:$B$5001,$A$99)))</f>
        <v/>
      </c>
      <c r="AA100" s="471" t="str">
        <f>IF(AA$3="","",IF(COUNTIFS(Base!$A$3:$A$5001,AA$3,Base!$B$3:$B$5001,$A$99,Base!$K$3:$K$5001,"&lt;&gt;")=0,"",SUMIFS(Base!$K$3:$K$5001,Base!$A$3:$A$5001,AA$3,Base!$B$3:$B$5001,$A$99)))</f>
        <v/>
      </c>
      <c r="AB100" s="471" t="str">
        <f>IF(AB$3="","",IF(COUNTIFS(Base!$A$3:$A$5001,AB$3,Base!$B$3:$B$5001,$A$99,Base!$K$3:$K$5001,"&lt;&gt;")=0,"",SUMIFS(Base!$K$3:$K$5001,Base!$A$3:$A$5001,AB$3,Base!$B$3:$B$5001,$A$99)))</f>
        <v/>
      </c>
      <c r="AC100" s="471" t="str">
        <f>IF(AC$3="","",IF(COUNTIFS(Base!$A$3:$A$5001,AC$3,Base!$B$3:$B$5001,$A$99,Base!$K$3:$K$5001,"&lt;&gt;")=0,"",SUMIFS(Base!$K$3:$K$5001,Base!$A$3:$A$5001,AC$3,Base!$B$3:$B$5001,$A$99)))</f>
        <v/>
      </c>
      <c r="AD100" s="471" t="str">
        <f>IF(AD$3="","",IF(COUNTIFS(Base!$A$3:$A$5001,AD$3,Base!$B$3:$B$5001,$A$99,Base!$K$3:$K$5001,"&lt;&gt;")=0,"",SUMIFS(Base!$K$3:$K$5001,Base!$A$3:$A$5001,AD$3,Base!$B$3:$B$5001,$A$99)))</f>
        <v/>
      </c>
      <c r="AE100" s="471" t="str">
        <f>IF(AE$3="","",IF(COUNTIFS(Base!$A$3:$A$5001,AE$3,Base!$B$3:$B$5001,$A$99,Base!$K$3:$K$5001,"&lt;&gt;")=0,"",SUMIFS(Base!$K$3:$K$5001,Base!$A$3:$A$5001,AE$3,Base!$B$3:$B$5001,$A$99)))</f>
        <v/>
      </c>
      <c r="AF100" s="471" t="str">
        <f>IF(AF$3="","",IF(COUNTIFS(Base!$A$3:$A$5001,AF$3,Base!$B$3:$B$5001,$A$99,Base!$K$3:$K$5001,"&lt;&gt;")=0,"",SUMIFS(Base!$K$3:$K$5001,Base!$A$3:$A$5001,AF$3,Base!$B$3:$B$5001,$A$99)))</f>
        <v/>
      </c>
      <c r="AG100" s="471" t="str">
        <f>IF(AG$3="","",IF(COUNTIFS(Base!$A$3:$A$5001,AG$3,Base!$B$3:$B$5001,$A$99,Base!$K$3:$K$5001,"&lt;&gt;")=0,"",SUMIFS(Base!$K$3:$K$5001,Base!$A$3:$A$5001,AG$3,Base!$B$3:$B$5001,$A$99)))</f>
        <v/>
      </c>
      <c r="AH100" s="471" t="str">
        <f>IF(AH$3="","",IF(COUNTIFS(Base!$A$3:$A$5001,AH$3,Base!$B$3:$B$5001,$A$99,Base!$K$3:$K$5001,"&lt;&gt;")=0,"",SUMIFS(Base!$K$3:$K$5001,Base!$A$3:$A$5001,AH$3,Base!$B$3:$B$5001,$A$99)))</f>
        <v/>
      </c>
      <c r="AI100" s="471" t="str">
        <f>IF(AI$3="","",IF(COUNTIFS(Base!$A$3:$A$5001,AI$3,Base!$B$3:$B$5001,$A$99,Base!$K$3:$K$5001,"&lt;&gt;")=0,"",SUMIFS(Base!$K$3:$K$5001,Base!$A$3:$A$5001,AI$3,Base!$B$3:$B$5001,$A$99)))</f>
        <v/>
      </c>
      <c r="AJ100" s="472" t="str">
        <f>IF(AJ$3="","",IF(COUNTIFS(Base!$A$3:$A$5001,AJ$3,Base!$B$3:$B$5001,$A$99,Base!$K$3:$K$5001,"&lt;&gt;")=0,"",SUMIFS(Base!$K$3:$K$5001,Base!$A$3:$A$5001,AJ$3,Base!$B$3:$B$5001,$A$99)))</f>
        <v/>
      </c>
      <c r="AK100" s="469" t="str">
        <f>IF(COUNT(F100:AJ100)=0,"",SUM(F100:AJ100))</f>
        <v/>
      </c>
    </row>
    <row r="101" ht="15.75" customHeight="1">
      <c r="A101" s="118"/>
      <c r="B101" s="108" t="inlineStr">
        <is>
          <t xml:space="preserve">OUT</t>
        </is>
      </c>
      <c r="C101" s="41" t="inlineStr">
        <is>
          <t xml:space="preserve">Veículos Expedidos</t>
        </is>
      </c>
      <c r="D101" s="42" t="str">
        <f>IFERROR(1/(1/INDEX(calculos!$C$55:$K$83,MATCH("OUT Veículos Expedidos",calculos!$A$55:$A$83,0),MATCH($A$99,calculos!$C$54:$K$54,0))),"")</f>
        <v/>
      </c>
      <c r="E101" s="43"/>
      <c r="F101" s="44" t="str">
        <f>IF(F$3="","",IF(COUNTIFS(Base!$A$3:$A$5001,F$3,Base!$B$3:$B$5001,$A$99,Base!$L$3:$L$5001,"&lt;&gt;")=0,"",SUMIFS(Base!$L$3:$L$5001,Base!$A$3:$A$5001,F$3,Base!$B$3:$B$5001,$A$99)))</f>
        <v/>
      </c>
      <c r="G101" s="45" t="str">
        <f>IF(G$3="","",IF(COUNTIFS(Base!$A$3:$A$5001,G$3,Base!$B$3:$B$5001,$A$99,Base!$L$3:$L$5001,"&lt;&gt;")=0,"",SUMIFS(Base!$L$3:$L$5001,Base!$A$3:$A$5001,G$3,Base!$B$3:$B$5001,$A$99)))</f>
        <v/>
      </c>
      <c r="H101" s="45" t="str">
        <f>IF(H$3="","",IF(COUNTIFS(Base!$A$3:$A$5001,H$3,Base!$B$3:$B$5001,$A$99,Base!$L$3:$L$5001,"&lt;&gt;")=0,"",SUMIFS(Base!$L$3:$L$5001,Base!$A$3:$A$5001,H$3,Base!$B$3:$B$5001,$A$99)))</f>
        <v/>
      </c>
      <c r="I101" s="45" t="str">
        <f>IF(I$3="","",IF(COUNTIFS(Base!$A$3:$A$5001,I$3,Base!$B$3:$B$5001,$A$99,Base!$L$3:$L$5001,"&lt;&gt;")=0,"",SUMIFS(Base!$L$3:$L$5001,Base!$A$3:$A$5001,I$3,Base!$B$3:$B$5001,$A$99)))</f>
        <v/>
      </c>
      <c r="J101" s="45" t="str">
        <f>IF(J$3="","",IF(COUNTIFS(Base!$A$3:$A$5001,J$3,Base!$B$3:$B$5001,$A$99,Base!$L$3:$L$5001,"&lt;&gt;")=0,"",SUMIFS(Base!$L$3:$L$5001,Base!$A$3:$A$5001,J$3,Base!$B$3:$B$5001,$A$99)))</f>
        <v/>
      </c>
      <c r="K101" s="45" t="str">
        <f>IF(K$3="","",IF(COUNTIFS(Base!$A$3:$A$5001,K$3,Base!$B$3:$B$5001,$A$99,Base!$L$3:$L$5001,"&lt;&gt;")=0,"",SUMIFS(Base!$L$3:$L$5001,Base!$A$3:$A$5001,K$3,Base!$B$3:$B$5001,$A$99)))</f>
        <v/>
      </c>
      <c r="L101" s="45" t="str">
        <f>IF(L$3="","",IF(COUNTIFS(Base!$A$3:$A$5001,L$3,Base!$B$3:$B$5001,$A$99,Base!$L$3:$L$5001,"&lt;&gt;")=0,"",SUMIFS(Base!$L$3:$L$5001,Base!$A$3:$A$5001,L$3,Base!$B$3:$B$5001,$A$99)))</f>
        <v/>
      </c>
      <c r="M101" s="45" t="str">
        <f>IF(M$3="","",IF(COUNTIFS(Base!$A$3:$A$5001,M$3,Base!$B$3:$B$5001,$A$99,Base!$L$3:$L$5001,"&lt;&gt;")=0,"",SUMIFS(Base!$L$3:$L$5001,Base!$A$3:$A$5001,M$3,Base!$B$3:$B$5001,$A$99)))</f>
        <v/>
      </c>
      <c r="N101" s="45" t="str">
        <f>IF(N$3="","",IF(COUNTIFS(Base!$A$3:$A$5001,N$3,Base!$B$3:$B$5001,$A$99,Base!$L$3:$L$5001,"&lt;&gt;")=0,"",SUMIFS(Base!$L$3:$L$5001,Base!$A$3:$A$5001,N$3,Base!$B$3:$B$5001,$A$99)))</f>
        <v/>
      </c>
      <c r="O101" s="45" t="str">
        <f>IF(O$3="","",IF(COUNTIFS(Base!$A$3:$A$5001,O$3,Base!$B$3:$B$5001,$A$99,Base!$L$3:$L$5001,"&lt;&gt;")=0,"",SUMIFS(Base!$L$3:$L$5001,Base!$A$3:$A$5001,O$3,Base!$B$3:$B$5001,$A$99)))</f>
        <v/>
      </c>
      <c r="P101" s="45" t="str">
        <f>IF(P$3="","",IF(COUNTIFS(Base!$A$3:$A$5001,P$3,Base!$B$3:$B$5001,$A$99,Base!$L$3:$L$5001,"&lt;&gt;")=0,"",SUMIFS(Base!$L$3:$L$5001,Base!$A$3:$A$5001,P$3,Base!$B$3:$B$5001,$A$99)))</f>
        <v/>
      </c>
      <c r="Q101" s="45" t="str">
        <f>IF(Q$3="","",IF(COUNTIFS(Base!$A$3:$A$5001,Q$3,Base!$B$3:$B$5001,$A$99,Base!$L$3:$L$5001,"&lt;&gt;")=0,"",SUMIFS(Base!$L$3:$L$5001,Base!$A$3:$A$5001,Q$3,Base!$B$3:$B$5001,$A$99)))</f>
        <v/>
      </c>
      <c r="R101" s="45" t="str">
        <f>IF(R$3="","",IF(COUNTIFS(Base!$A$3:$A$5001,R$3,Base!$B$3:$B$5001,$A$99,Base!$L$3:$L$5001,"&lt;&gt;")=0,"",SUMIFS(Base!$L$3:$L$5001,Base!$A$3:$A$5001,R$3,Base!$B$3:$B$5001,$A$99)))</f>
        <v/>
      </c>
      <c r="S101" s="45" t="str">
        <f>IF(S$3="","",IF(COUNTIFS(Base!$A$3:$A$5001,S$3,Base!$B$3:$B$5001,$A$99,Base!$L$3:$L$5001,"&lt;&gt;")=0,"",SUMIFS(Base!$L$3:$L$5001,Base!$A$3:$A$5001,S$3,Base!$B$3:$B$5001,$A$99)))</f>
        <v/>
      </c>
      <c r="T101" s="45" t="str">
        <f>IF(T$3="","",IF(COUNTIFS(Base!$A$3:$A$5001,T$3,Base!$B$3:$B$5001,$A$99,Base!$L$3:$L$5001,"&lt;&gt;")=0,"",SUMIFS(Base!$L$3:$L$5001,Base!$A$3:$A$5001,T$3,Base!$B$3:$B$5001,$A$99)))</f>
        <v/>
      </c>
      <c r="U101" s="45" t="str">
        <f>IF(U$3="","",IF(COUNTIFS(Base!$A$3:$A$5001,U$3,Base!$B$3:$B$5001,$A$99,Base!$L$3:$L$5001,"&lt;&gt;")=0,"",SUMIFS(Base!$L$3:$L$5001,Base!$A$3:$A$5001,U$3,Base!$B$3:$B$5001,$A$99)))</f>
        <v/>
      </c>
      <c r="V101" s="45" t="str">
        <f>IF(V$3="","",IF(COUNTIFS(Base!$A$3:$A$5001,V$3,Base!$B$3:$B$5001,$A$99,Base!$L$3:$L$5001,"&lt;&gt;")=0,"",SUMIFS(Base!$L$3:$L$5001,Base!$A$3:$A$5001,V$3,Base!$B$3:$B$5001,$A$99)))</f>
        <v/>
      </c>
      <c r="W101" s="45" t="str">
        <f>IF(W$3="","",IF(COUNTIFS(Base!$A$3:$A$5001,W$3,Base!$B$3:$B$5001,$A$99,Base!$L$3:$L$5001,"&lt;&gt;")=0,"",SUMIFS(Base!$L$3:$L$5001,Base!$A$3:$A$5001,W$3,Base!$B$3:$B$5001,$A$99)))</f>
        <v/>
      </c>
      <c r="X101" s="45" t="str">
        <f>IF(X$3="","",IF(COUNTIFS(Base!$A$3:$A$5001,X$3,Base!$B$3:$B$5001,$A$99,Base!$L$3:$L$5001,"&lt;&gt;")=0,"",SUMIFS(Base!$L$3:$L$5001,Base!$A$3:$A$5001,X$3,Base!$B$3:$B$5001,$A$99)))</f>
        <v/>
      </c>
      <c r="Y101" s="45" t="str">
        <f>IF(Y$3="","",IF(COUNTIFS(Base!$A$3:$A$5001,Y$3,Base!$B$3:$B$5001,$A$99,Base!$L$3:$L$5001,"&lt;&gt;")=0,"",SUMIFS(Base!$L$3:$L$5001,Base!$A$3:$A$5001,Y$3,Base!$B$3:$B$5001,$A$99)))</f>
        <v/>
      </c>
      <c r="Z101" s="45" t="str">
        <f>IF(Z$3="","",IF(COUNTIFS(Base!$A$3:$A$5001,Z$3,Base!$B$3:$B$5001,$A$99,Base!$L$3:$L$5001,"&lt;&gt;")=0,"",SUMIFS(Base!$L$3:$L$5001,Base!$A$3:$A$5001,Z$3,Base!$B$3:$B$5001,$A$99)))</f>
        <v/>
      </c>
      <c r="AA101" s="45" t="str">
        <f>IF(AA$3="","",IF(COUNTIFS(Base!$A$3:$A$5001,AA$3,Base!$B$3:$B$5001,$A$99,Base!$L$3:$L$5001,"&lt;&gt;")=0,"",SUMIFS(Base!$L$3:$L$5001,Base!$A$3:$A$5001,AA$3,Base!$B$3:$B$5001,$A$99)))</f>
        <v/>
      </c>
      <c r="AB101" s="45" t="str">
        <f>IF(AB$3="","",IF(COUNTIFS(Base!$A$3:$A$5001,AB$3,Base!$B$3:$B$5001,$A$99,Base!$L$3:$L$5001,"&lt;&gt;")=0,"",SUMIFS(Base!$L$3:$L$5001,Base!$A$3:$A$5001,AB$3,Base!$B$3:$B$5001,$A$99)))</f>
        <v/>
      </c>
      <c r="AC101" s="45" t="str">
        <f>IF(AC$3="","",IF(COUNTIFS(Base!$A$3:$A$5001,AC$3,Base!$B$3:$B$5001,$A$99,Base!$L$3:$L$5001,"&lt;&gt;")=0,"",SUMIFS(Base!$L$3:$L$5001,Base!$A$3:$A$5001,AC$3,Base!$B$3:$B$5001,$A$99)))</f>
        <v/>
      </c>
      <c r="AD101" s="45" t="str">
        <f>IF(AD$3="","",IF(COUNTIFS(Base!$A$3:$A$5001,AD$3,Base!$B$3:$B$5001,$A$99,Base!$L$3:$L$5001,"&lt;&gt;")=0,"",SUMIFS(Base!$L$3:$L$5001,Base!$A$3:$A$5001,AD$3,Base!$B$3:$B$5001,$A$99)))</f>
        <v/>
      </c>
      <c r="AE101" s="45" t="str">
        <f>IF(AE$3="","",IF(COUNTIFS(Base!$A$3:$A$5001,AE$3,Base!$B$3:$B$5001,$A$99,Base!$L$3:$L$5001,"&lt;&gt;")=0,"",SUMIFS(Base!$L$3:$L$5001,Base!$A$3:$A$5001,AE$3,Base!$B$3:$B$5001,$A$99)))</f>
        <v/>
      </c>
      <c r="AF101" s="45" t="str">
        <f>IF(AF$3="","",IF(COUNTIFS(Base!$A$3:$A$5001,AF$3,Base!$B$3:$B$5001,$A$99,Base!$L$3:$L$5001,"&lt;&gt;")=0,"",SUMIFS(Base!$L$3:$L$5001,Base!$A$3:$A$5001,AF$3,Base!$B$3:$B$5001,$A$99)))</f>
        <v/>
      </c>
      <c r="AG101" s="45" t="str">
        <f>IF(AG$3="","",IF(COUNTIFS(Base!$A$3:$A$5001,AG$3,Base!$B$3:$B$5001,$A$99,Base!$L$3:$L$5001,"&lt;&gt;")=0,"",SUMIFS(Base!$L$3:$L$5001,Base!$A$3:$A$5001,AG$3,Base!$B$3:$B$5001,$A$99)))</f>
        <v/>
      </c>
      <c r="AH101" s="45" t="str">
        <f>IF(AH$3="","",IF(COUNTIFS(Base!$A$3:$A$5001,AH$3,Base!$B$3:$B$5001,$A$99,Base!$L$3:$L$5001,"&lt;&gt;")=0,"",SUMIFS(Base!$L$3:$L$5001,Base!$A$3:$A$5001,AH$3,Base!$B$3:$B$5001,$A$99)))</f>
        <v/>
      </c>
      <c r="AI101" s="45" t="str">
        <f>IF(AI$3="","",IF(COUNTIFS(Base!$A$3:$A$5001,AI$3,Base!$B$3:$B$5001,$A$99,Base!$L$3:$L$5001,"&lt;&gt;")=0,"",SUMIFS(Base!$L$3:$L$5001,Base!$A$3:$A$5001,AI$3,Base!$B$3:$B$5001,$A$99)))</f>
        <v/>
      </c>
      <c r="AJ101" s="46" t="str">
        <f>IF(AJ$3="","",IF(COUNTIFS(Base!$A$3:$A$5001,AJ$3,Base!$B$3:$B$5001,$A$99,Base!$L$3:$L$5001,"&lt;&gt;")=0,"",SUMIFS(Base!$L$3:$L$5001,Base!$A$3:$A$5001,AJ$3,Base!$B$3:$B$5001,$A$99)))</f>
        <v/>
      </c>
      <c r="AK101" s="47" t="str">
        <f>IF(COUNT(F101:AJ101)=0,"",SUM(F101:AJ101))</f>
        <v/>
      </c>
    </row>
    <row r="102" ht="15.75" customHeight="1">
      <c r="A102" s="118"/>
      <c r="B102" s="110"/>
      <c r="C102" s="55" t="inlineStr">
        <is>
          <t xml:space="preserve">Linhas NF</t>
        </is>
      </c>
      <c r="D102" s="473" t="str">
        <f>IFERROR(1/(1/INDEX(calculos!$C$55:$K$83,MATCH("OUT Linhas NF",calculos!$A$55:$A$83,0),MATCH($A$99,calculos!$C$54:$K$54,0))),"")</f>
        <v/>
      </c>
      <c r="E102" s="57"/>
      <c r="F102" s="474" t="str">
        <f>IF(F$3="","",IF(COUNTIFS(Base!$A$3:$A$5001,F$3,Base!$B$3:$B$5001,$A$99,Base!$T$3:$T$5001,"&lt;&gt;")=0,"",SUMIFS(Base!$T$3:$T$5001,Base!$A$3:$A$5001,F$3,Base!$B$3:$B$5001,$A$99)))</f>
        <v/>
      </c>
      <c r="G102" s="475" t="str">
        <f>IF(G$3="","",IF(COUNTIFS(Base!$A$3:$A$5001,G$3,Base!$B$3:$B$5001,$A$99,Base!$T$3:$T$5001,"&lt;&gt;")=0,"",SUMIFS(Base!$T$3:$T$5001,Base!$A$3:$A$5001,G$3,Base!$B$3:$B$5001,$A$99)))</f>
        <v/>
      </c>
      <c r="H102" s="475" t="str">
        <f>IF(H$3="","",IF(COUNTIFS(Base!$A$3:$A$5001,H$3,Base!$B$3:$B$5001,$A$99,Base!$T$3:$T$5001,"&lt;&gt;")=0,"",SUMIFS(Base!$T$3:$T$5001,Base!$A$3:$A$5001,H$3,Base!$B$3:$B$5001,$A$99)))</f>
        <v/>
      </c>
      <c r="I102" s="475" t="str">
        <f>IF(I$3="","",IF(COUNTIFS(Base!$A$3:$A$5001,I$3,Base!$B$3:$B$5001,$A$99,Base!$T$3:$T$5001,"&lt;&gt;")=0,"",SUMIFS(Base!$T$3:$T$5001,Base!$A$3:$A$5001,I$3,Base!$B$3:$B$5001,$A$99)))</f>
        <v/>
      </c>
      <c r="J102" s="475" t="str">
        <f>IF(J$3="","",IF(COUNTIFS(Base!$A$3:$A$5001,J$3,Base!$B$3:$B$5001,$A$99,Base!$T$3:$T$5001,"&lt;&gt;")=0,"",SUMIFS(Base!$T$3:$T$5001,Base!$A$3:$A$5001,J$3,Base!$B$3:$B$5001,$A$99)))</f>
        <v/>
      </c>
      <c r="K102" s="475" t="str">
        <f>IF(K$3="","",IF(COUNTIFS(Base!$A$3:$A$5001,K$3,Base!$B$3:$B$5001,$A$99,Base!$T$3:$T$5001,"&lt;&gt;")=0,"",SUMIFS(Base!$T$3:$T$5001,Base!$A$3:$A$5001,K$3,Base!$B$3:$B$5001,$A$99)))</f>
        <v/>
      </c>
      <c r="L102" s="475" t="str">
        <f>IF(L$3="","",IF(COUNTIFS(Base!$A$3:$A$5001,L$3,Base!$B$3:$B$5001,$A$99,Base!$T$3:$T$5001,"&lt;&gt;")=0,"",SUMIFS(Base!$T$3:$T$5001,Base!$A$3:$A$5001,L$3,Base!$B$3:$B$5001,$A$99)))</f>
        <v/>
      </c>
      <c r="M102" s="475" t="str">
        <f>IF(M$3="","",IF(COUNTIFS(Base!$A$3:$A$5001,M$3,Base!$B$3:$B$5001,$A$99,Base!$T$3:$T$5001,"&lt;&gt;")=0,"",SUMIFS(Base!$T$3:$T$5001,Base!$A$3:$A$5001,M$3,Base!$B$3:$B$5001,$A$99)))</f>
        <v/>
      </c>
      <c r="N102" s="475" t="str">
        <f>IF(N$3="","",IF(COUNTIFS(Base!$A$3:$A$5001,N$3,Base!$B$3:$B$5001,$A$99,Base!$T$3:$T$5001,"&lt;&gt;")=0,"",SUMIFS(Base!$T$3:$T$5001,Base!$A$3:$A$5001,N$3,Base!$B$3:$B$5001,$A$99)))</f>
        <v/>
      </c>
      <c r="O102" s="475" t="str">
        <f>IF(O$3="","",IF(COUNTIFS(Base!$A$3:$A$5001,O$3,Base!$B$3:$B$5001,$A$99,Base!$T$3:$T$5001,"&lt;&gt;")=0,"",SUMIFS(Base!$T$3:$T$5001,Base!$A$3:$A$5001,O$3,Base!$B$3:$B$5001,$A$99)))</f>
        <v/>
      </c>
      <c r="P102" s="475" t="str">
        <f>IF(P$3="","",IF(COUNTIFS(Base!$A$3:$A$5001,P$3,Base!$B$3:$B$5001,$A$99,Base!$T$3:$T$5001,"&lt;&gt;")=0,"",SUMIFS(Base!$T$3:$T$5001,Base!$A$3:$A$5001,P$3,Base!$B$3:$B$5001,$A$99)))</f>
        <v/>
      </c>
      <c r="Q102" s="475" t="str">
        <f>IF(Q$3="","",IF(COUNTIFS(Base!$A$3:$A$5001,Q$3,Base!$B$3:$B$5001,$A$99,Base!$T$3:$T$5001,"&lt;&gt;")=0,"",SUMIFS(Base!$T$3:$T$5001,Base!$A$3:$A$5001,Q$3,Base!$B$3:$B$5001,$A$99)))</f>
        <v/>
      </c>
      <c r="R102" s="475" t="str">
        <f>IF(R$3="","",IF(COUNTIFS(Base!$A$3:$A$5001,R$3,Base!$B$3:$B$5001,$A$99,Base!$T$3:$T$5001,"&lt;&gt;")=0,"",SUMIFS(Base!$T$3:$T$5001,Base!$A$3:$A$5001,R$3,Base!$B$3:$B$5001,$A$99)))</f>
        <v/>
      </c>
      <c r="S102" s="475" t="str">
        <f>IF(S$3="","",IF(COUNTIFS(Base!$A$3:$A$5001,S$3,Base!$B$3:$B$5001,$A$99,Base!$T$3:$T$5001,"&lt;&gt;")=0,"",SUMIFS(Base!$T$3:$T$5001,Base!$A$3:$A$5001,S$3,Base!$B$3:$B$5001,$A$99)))</f>
        <v/>
      </c>
      <c r="T102" s="475" t="str">
        <f>IF(T$3="","",IF(COUNTIFS(Base!$A$3:$A$5001,T$3,Base!$B$3:$B$5001,$A$99,Base!$T$3:$T$5001,"&lt;&gt;")=0,"",SUMIFS(Base!$T$3:$T$5001,Base!$A$3:$A$5001,T$3,Base!$B$3:$B$5001,$A$99)))</f>
        <v/>
      </c>
      <c r="U102" s="475" t="str">
        <f>IF(U$3="","",IF(COUNTIFS(Base!$A$3:$A$5001,U$3,Base!$B$3:$B$5001,$A$99,Base!$T$3:$T$5001,"&lt;&gt;")=0,"",SUMIFS(Base!$T$3:$T$5001,Base!$A$3:$A$5001,U$3,Base!$B$3:$B$5001,$A$99)))</f>
        <v/>
      </c>
      <c r="V102" s="475" t="str">
        <f>IF(V$3="","",IF(COUNTIFS(Base!$A$3:$A$5001,V$3,Base!$B$3:$B$5001,$A$99,Base!$T$3:$T$5001,"&lt;&gt;")=0,"",SUMIFS(Base!$T$3:$T$5001,Base!$A$3:$A$5001,V$3,Base!$B$3:$B$5001,$A$99)))</f>
        <v/>
      </c>
      <c r="W102" s="475" t="str">
        <f>IF(W$3="","",IF(COUNTIFS(Base!$A$3:$A$5001,W$3,Base!$B$3:$B$5001,$A$99,Base!$T$3:$T$5001,"&lt;&gt;")=0,"",SUMIFS(Base!$T$3:$T$5001,Base!$A$3:$A$5001,W$3,Base!$B$3:$B$5001,$A$99)))</f>
        <v/>
      </c>
      <c r="X102" s="475" t="str">
        <f>IF(X$3="","",IF(COUNTIFS(Base!$A$3:$A$5001,X$3,Base!$B$3:$B$5001,$A$99,Base!$T$3:$T$5001,"&lt;&gt;")=0,"",SUMIFS(Base!$T$3:$T$5001,Base!$A$3:$A$5001,X$3,Base!$B$3:$B$5001,$A$99)))</f>
        <v/>
      </c>
      <c r="Y102" s="475" t="str">
        <f>IF(Y$3="","",IF(COUNTIFS(Base!$A$3:$A$5001,Y$3,Base!$B$3:$B$5001,$A$99,Base!$T$3:$T$5001,"&lt;&gt;")=0,"",SUMIFS(Base!$T$3:$T$5001,Base!$A$3:$A$5001,Y$3,Base!$B$3:$B$5001,$A$99)))</f>
        <v/>
      </c>
      <c r="Z102" s="475" t="str">
        <f>IF(Z$3="","",IF(COUNTIFS(Base!$A$3:$A$5001,Z$3,Base!$B$3:$B$5001,$A$99,Base!$T$3:$T$5001,"&lt;&gt;")=0,"",SUMIFS(Base!$T$3:$T$5001,Base!$A$3:$A$5001,Z$3,Base!$B$3:$B$5001,$A$99)))</f>
        <v/>
      </c>
      <c r="AA102" s="475" t="str">
        <f>IF(AA$3="","",IF(COUNTIFS(Base!$A$3:$A$5001,AA$3,Base!$B$3:$B$5001,$A$99,Base!$T$3:$T$5001,"&lt;&gt;")=0,"",SUMIFS(Base!$T$3:$T$5001,Base!$A$3:$A$5001,AA$3,Base!$B$3:$B$5001,$A$99)))</f>
        <v/>
      </c>
      <c r="AB102" s="475" t="str">
        <f>IF(AB$3="","",IF(COUNTIFS(Base!$A$3:$A$5001,AB$3,Base!$B$3:$B$5001,$A$99,Base!$T$3:$T$5001,"&lt;&gt;")=0,"",SUMIFS(Base!$T$3:$T$5001,Base!$A$3:$A$5001,AB$3,Base!$B$3:$B$5001,$A$99)))</f>
        <v/>
      </c>
      <c r="AC102" s="475" t="str">
        <f>IF(AC$3="","",IF(COUNTIFS(Base!$A$3:$A$5001,AC$3,Base!$B$3:$B$5001,$A$99,Base!$T$3:$T$5001,"&lt;&gt;")=0,"",SUMIFS(Base!$T$3:$T$5001,Base!$A$3:$A$5001,AC$3,Base!$B$3:$B$5001,$A$99)))</f>
        <v/>
      </c>
      <c r="AD102" s="475" t="str">
        <f>IF(AD$3="","",IF(COUNTIFS(Base!$A$3:$A$5001,AD$3,Base!$B$3:$B$5001,$A$99,Base!$T$3:$T$5001,"&lt;&gt;")=0,"",SUMIFS(Base!$T$3:$T$5001,Base!$A$3:$A$5001,AD$3,Base!$B$3:$B$5001,$A$99)))</f>
        <v/>
      </c>
      <c r="AE102" s="475" t="str">
        <f>IF(AE$3="","",IF(COUNTIFS(Base!$A$3:$A$5001,AE$3,Base!$B$3:$B$5001,$A$99,Base!$T$3:$T$5001,"&lt;&gt;")=0,"",SUMIFS(Base!$T$3:$T$5001,Base!$A$3:$A$5001,AE$3,Base!$B$3:$B$5001,$A$99)))</f>
        <v/>
      </c>
      <c r="AF102" s="475" t="str">
        <f>IF(AF$3="","",IF(COUNTIFS(Base!$A$3:$A$5001,AF$3,Base!$B$3:$B$5001,$A$99,Base!$T$3:$T$5001,"&lt;&gt;")=0,"",SUMIFS(Base!$T$3:$T$5001,Base!$A$3:$A$5001,AF$3,Base!$B$3:$B$5001,$A$99)))</f>
        <v/>
      </c>
      <c r="AG102" s="475" t="str">
        <f>IF(AG$3="","",IF(COUNTIFS(Base!$A$3:$A$5001,AG$3,Base!$B$3:$B$5001,$A$99,Base!$T$3:$T$5001,"&lt;&gt;")=0,"",SUMIFS(Base!$T$3:$T$5001,Base!$A$3:$A$5001,AG$3,Base!$B$3:$B$5001,$A$99)))</f>
        <v/>
      </c>
      <c r="AH102" s="475" t="str">
        <f>IF(AH$3="","",IF(COUNTIFS(Base!$A$3:$A$5001,AH$3,Base!$B$3:$B$5001,$A$99,Base!$T$3:$T$5001,"&lt;&gt;")=0,"",SUMIFS(Base!$T$3:$T$5001,Base!$A$3:$A$5001,AH$3,Base!$B$3:$B$5001,$A$99)))</f>
        <v/>
      </c>
      <c r="AI102" s="475" t="str">
        <f>IF(AI$3="","",IF(COUNTIFS(Base!$A$3:$A$5001,AI$3,Base!$B$3:$B$5001,$A$99,Base!$T$3:$T$5001,"&lt;&gt;")=0,"",SUMIFS(Base!$T$3:$T$5001,Base!$A$3:$A$5001,AI$3,Base!$B$3:$B$5001,$A$99)))</f>
        <v/>
      </c>
      <c r="AJ102" s="476" t="str">
        <f>IF(AJ$3="","",IF(COUNTIFS(Base!$A$3:$A$5001,AJ$3,Base!$B$3:$B$5001,$A$99,Base!$T$3:$T$5001,"&lt;&gt;")=0,"",SUMIFS(Base!$T$3:$T$5001,Base!$A$3:$A$5001,AJ$3,Base!$B$3:$B$5001,$A$99)))</f>
        <v/>
      </c>
      <c r="AK102" s="473" t="str">
        <f>IF(COUNT(F102:AJ102)=0,"",SUM(F102:AJ102))</f>
        <v/>
      </c>
    </row>
    <row r="103" ht="15.75" customHeight="1">
      <c r="A103" s="118"/>
      <c r="B103" s="111" t="inlineStr">
        <is>
          <t xml:space="preserve">NC</t>
        </is>
      </c>
      <c r="C103" s="61" t="inlineStr">
        <is>
          <t xml:space="preserve">Incidentes</t>
        </is>
      </c>
      <c r="D103" s="62" t="str">
        <f>IFERROR(1/(1/INDEX(calculos!$C$55:$K$83,MATCH("NC Incidentes",calculos!$A$55:$A$83,0),MATCH($A$99,calculos!$C$54:$K$54,0))),"")</f>
        <v/>
      </c>
      <c r="E103" s="63"/>
      <c r="F103" s="64" t="str">
        <f>IF(F$3="","",IF(COUNTIFS(Base!$A$3:$A$5001,F$3,Base!$B$3:$B$5001,$A$99,Base!$U$3:$U$5001,"&lt;&gt;")=0,"",SUMIFS(Base!$U$3:$U$5001,Base!$A$3:$A$5001,F$3,Base!$B$3:$B$5001,$A$99)))</f>
        <v/>
      </c>
      <c r="G103" s="65" t="str">
        <f>IF(G$3="","",IF(COUNTIFS(Base!$A$3:$A$5001,G$3,Base!$B$3:$B$5001,$A$99,Base!$U$3:$U$5001,"&lt;&gt;")=0,"",SUMIFS(Base!$U$3:$U$5001,Base!$A$3:$A$5001,G$3,Base!$B$3:$B$5001,$A$99)))</f>
        <v/>
      </c>
      <c r="H103" s="65" t="str">
        <f>IF(H$3="","",IF(COUNTIFS(Base!$A$3:$A$5001,H$3,Base!$B$3:$B$5001,$A$99,Base!$U$3:$U$5001,"&lt;&gt;")=0,"",SUMIFS(Base!$U$3:$U$5001,Base!$A$3:$A$5001,H$3,Base!$B$3:$B$5001,$A$99)))</f>
        <v/>
      </c>
      <c r="I103" s="65" t="str">
        <f>IF(I$3="","",IF(COUNTIFS(Base!$A$3:$A$5001,I$3,Base!$B$3:$B$5001,$A$99,Base!$U$3:$U$5001,"&lt;&gt;")=0,"",SUMIFS(Base!$U$3:$U$5001,Base!$A$3:$A$5001,I$3,Base!$B$3:$B$5001,$A$99)))</f>
        <v/>
      </c>
      <c r="J103" s="65" t="str">
        <f>IF(J$3="","",IF(COUNTIFS(Base!$A$3:$A$5001,J$3,Base!$B$3:$B$5001,$A$99,Base!$U$3:$U$5001,"&lt;&gt;")=0,"",SUMIFS(Base!$U$3:$U$5001,Base!$A$3:$A$5001,J$3,Base!$B$3:$B$5001,$A$99)))</f>
        <v/>
      </c>
      <c r="K103" s="65" t="str">
        <f>IF(K$3="","",IF(COUNTIFS(Base!$A$3:$A$5001,K$3,Base!$B$3:$B$5001,$A$99,Base!$U$3:$U$5001,"&lt;&gt;")=0,"",SUMIFS(Base!$U$3:$U$5001,Base!$A$3:$A$5001,K$3,Base!$B$3:$B$5001,$A$99)))</f>
        <v/>
      </c>
      <c r="L103" s="65" t="str">
        <f>IF(L$3="","",IF(COUNTIFS(Base!$A$3:$A$5001,L$3,Base!$B$3:$B$5001,$A$99,Base!$U$3:$U$5001,"&lt;&gt;")=0,"",SUMIFS(Base!$U$3:$U$5001,Base!$A$3:$A$5001,L$3,Base!$B$3:$B$5001,$A$99)))</f>
        <v/>
      </c>
      <c r="M103" s="65" t="str">
        <f>IF(M$3="","",IF(COUNTIFS(Base!$A$3:$A$5001,M$3,Base!$B$3:$B$5001,$A$99,Base!$U$3:$U$5001,"&lt;&gt;")=0,"",SUMIFS(Base!$U$3:$U$5001,Base!$A$3:$A$5001,M$3,Base!$B$3:$B$5001,$A$99)))</f>
        <v/>
      </c>
      <c r="N103" s="65" t="str">
        <f>IF(N$3="","",IF(COUNTIFS(Base!$A$3:$A$5001,N$3,Base!$B$3:$B$5001,$A$99,Base!$U$3:$U$5001,"&lt;&gt;")=0,"",SUMIFS(Base!$U$3:$U$5001,Base!$A$3:$A$5001,N$3,Base!$B$3:$B$5001,$A$99)))</f>
        <v/>
      </c>
      <c r="O103" s="65" t="str">
        <f>IF(O$3="","",IF(COUNTIFS(Base!$A$3:$A$5001,O$3,Base!$B$3:$B$5001,$A$99,Base!$U$3:$U$5001,"&lt;&gt;")=0,"",SUMIFS(Base!$U$3:$U$5001,Base!$A$3:$A$5001,O$3,Base!$B$3:$B$5001,$A$99)))</f>
        <v/>
      </c>
      <c r="P103" s="65" t="str">
        <f>IF(P$3="","",IF(COUNTIFS(Base!$A$3:$A$5001,P$3,Base!$B$3:$B$5001,$A$99,Base!$U$3:$U$5001,"&lt;&gt;")=0,"",SUMIFS(Base!$U$3:$U$5001,Base!$A$3:$A$5001,P$3,Base!$B$3:$B$5001,$A$99)))</f>
        <v/>
      </c>
      <c r="Q103" s="65" t="str">
        <f>IF(Q$3="","",IF(COUNTIFS(Base!$A$3:$A$5001,Q$3,Base!$B$3:$B$5001,$A$99,Base!$U$3:$U$5001,"&lt;&gt;")=0,"",SUMIFS(Base!$U$3:$U$5001,Base!$A$3:$A$5001,Q$3,Base!$B$3:$B$5001,$A$99)))</f>
        <v/>
      </c>
      <c r="R103" s="65" t="str">
        <f>IF(R$3="","",IF(COUNTIFS(Base!$A$3:$A$5001,R$3,Base!$B$3:$B$5001,$A$99,Base!$U$3:$U$5001,"&lt;&gt;")=0,"",SUMIFS(Base!$U$3:$U$5001,Base!$A$3:$A$5001,R$3,Base!$B$3:$B$5001,$A$99)))</f>
        <v/>
      </c>
      <c r="S103" s="65" t="str">
        <f>IF(S$3="","",IF(COUNTIFS(Base!$A$3:$A$5001,S$3,Base!$B$3:$B$5001,$A$99,Base!$U$3:$U$5001,"&lt;&gt;")=0,"",SUMIFS(Base!$U$3:$U$5001,Base!$A$3:$A$5001,S$3,Base!$B$3:$B$5001,$A$99)))</f>
        <v/>
      </c>
      <c r="T103" s="65" t="str">
        <f>IF(T$3="","",IF(COUNTIFS(Base!$A$3:$A$5001,T$3,Base!$B$3:$B$5001,$A$99,Base!$U$3:$U$5001,"&lt;&gt;")=0,"",SUMIFS(Base!$U$3:$U$5001,Base!$A$3:$A$5001,T$3,Base!$B$3:$B$5001,$A$99)))</f>
        <v/>
      </c>
      <c r="U103" s="65" t="str">
        <f>IF(U$3="","",IF(COUNTIFS(Base!$A$3:$A$5001,U$3,Base!$B$3:$B$5001,$A$99,Base!$U$3:$U$5001,"&lt;&gt;")=0,"",SUMIFS(Base!$U$3:$U$5001,Base!$A$3:$A$5001,U$3,Base!$B$3:$B$5001,$A$99)))</f>
        <v/>
      </c>
      <c r="V103" s="65" t="str">
        <f>IF(V$3="","",IF(COUNTIFS(Base!$A$3:$A$5001,V$3,Base!$B$3:$B$5001,$A$99,Base!$U$3:$U$5001,"&lt;&gt;")=0,"",SUMIFS(Base!$U$3:$U$5001,Base!$A$3:$A$5001,V$3,Base!$B$3:$B$5001,$A$99)))</f>
        <v/>
      </c>
      <c r="W103" s="65" t="str">
        <f>IF(W$3="","",IF(COUNTIFS(Base!$A$3:$A$5001,W$3,Base!$B$3:$B$5001,$A$99,Base!$U$3:$U$5001,"&lt;&gt;")=0,"",SUMIFS(Base!$U$3:$U$5001,Base!$A$3:$A$5001,W$3,Base!$B$3:$B$5001,$A$99)))</f>
        <v/>
      </c>
      <c r="X103" s="65" t="str">
        <f>IF(X$3="","",IF(COUNTIFS(Base!$A$3:$A$5001,X$3,Base!$B$3:$B$5001,$A$99,Base!$U$3:$U$5001,"&lt;&gt;")=0,"",SUMIFS(Base!$U$3:$U$5001,Base!$A$3:$A$5001,X$3,Base!$B$3:$B$5001,$A$99)))</f>
        <v/>
      </c>
      <c r="Y103" s="65" t="str">
        <f>IF(Y$3="","",IF(COUNTIFS(Base!$A$3:$A$5001,Y$3,Base!$B$3:$B$5001,$A$99,Base!$U$3:$U$5001,"&lt;&gt;")=0,"",SUMIFS(Base!$U$3:$U$5001,Base!$A$3:$A$5001,Y$3,Base!$B$3:$B$5001,$A$99)))</f>
        <v/>
      </c>
      <c r="Z103" s="65" t="str">
        <f>IF(Z$3="","",IF(COUNTIFS(Base!$A$3:$A$5001,Z$3,Base!$B$3:$B$5001,$A$99,Base!$U$3:$U$5001,"&lt;&gt;")=0,"",SUMIFS(Base!$U$3:$U$5001,Base!$A$3:$A$5001,Z$3,Base!$B$3:$B$5001,$A$99)))</f>
        <v/>
      </c>
      <c r="AA103" s="65" t="str">
        <f>IF(AA$3="","",IF(COUNTIFS(Base!$A$3:$A$5001,AA$3,Base!$B$3:$B$5001,$A$99,Base!$U$3:$U$5001,"&lt;&gt;")=0,"",SUMIFS(Base!$U$3:$U$5001,Base!$A$3:$A$5001,AA$3,Base!$B$3:$B$5001,$A$99)))</f>
        <v/>
      </c>
      <c r="AB103" s="65" t="str">
        <f>IF(AB$3="","",IF(COUNTIFS(Base!$A$3:$A$5001,AB$3,Base!$B$3:$B$5001,$A$99,Base!$U$3:$U$5001,"&lt;&gt;")=0,"",SUMIFS(Base!$U$3:$U$5001,Base!$A$3:$A$5001,AB$3,Base!$B$3:$B$5001,$A$99)))</f>
        <v/>
      </c>
      <c r="AC103" s="65" t="str">
        <f>IF(AC$3="","",IF(COUNTIFS(Base!$A$3:$A$5001,AC$3,Base!$B$3:$B$5001,$A$99,Base!$U$3:$U$5001,"&lt;&gt;")=0,"",SUMIFS(Base!$U$3:$U$5001,Base!$A$3:$A$5001,AC$3,Base!$B$3:$B$5001,$A$99)))</f>
        <v/>
      </c>
      <c r="AD103" s="65" t="str">
        <f>IF(AD$3="","",IF(COUNTIFS(Base!$A$3:$A$5001,AD$3,Base!$B$3:$B$5001,$A$99,Base!$U$3:$U$5001,"&lt;&gt;")=0,"",SUMIFS(Base!$U$3:$U$5001,Base!$A$3:$A$5001,AD$3,Base!$B$3:$B$5001,$A$99)))</f>
        <v/>
      </c>
      <c r="AE103" s="65" t="str">
        <f>IF(AE$3="","",IF(COUNTIFS(Base!$A$3:$A$5001,AE$3,Base!$B$3:$B$5001,$A$99,Base!$U$3:$U$5001,"&lt;&gt;")=0,"",SUMIFS(Base!$U$3:$U$5001,Base!$A$3:$A$5001,AE$3,Base!$B$3:$B$5001,$A$99)))</f>
        <v/>
      </c>
      <c r="AF103" s="65" t="str">
        <f>IF(AF$3="","",IF(COUNTIFS(Base!$A$3:$A$5001,AF$3,Base!$B$3:$B$5001,$A$99,Base!$U$3:$U$5001,"&lt;&gt;")=0,"",SUMIFS(Base!$U$3:$U$5001,Base!$A$3:$A$5001,AF$3,Base!$B$3:$B$5001,$A$99)))</f>
        <v/>
      </c>
      <c r="AG103" s="65" t="str">
        <f>IF(AG$3="","",IF(COUNTIFS(Base!$A$3:$A$5001,AG$3,Base!$B$3:$B$5001,$A$99,Base!$U$3:$U$5001,"&lt;&gt;")=0,"",SUMIFS(Base!$U$3:$U$5001,Base!$A$3:$A$5001,AG$3,Base!$B$3:$B$5001,$A$99)))</f>
        <v/>
      </c>
      <c r="AH103" s="65" t="str">
        <f>IF(AH$3="","",IF(COUNTIFS(Base!$A$3:$A$5001,AH$3,Base!$B$3:$B$5001,$A$99,Base!$U$3:$U$5001,"&lt;&gt;")=0,"",SUMIFS(Base!$U$3:$U$5001,Base!$A$3:$A$5001,AH$3,Base!$B$3:$B$5001,$A$99)))</f>
        <v/>
      </c>
      <c r="AI103" s="65" t="str">
        <f>IF(AI$3="","",IF(COUNTIFS(Base!$A$3:$A$5001,AI$3,Base!$B$3:$B$5001,$A$99,Base!$U$3:$U$5001,"&lt;&gt;")=0,"",SUMIFS(Base!$U$3:$U$5001,Base!$A$3:$A$5001,AI$3,Base!$B$3:$B$5001,$A$99)))</f>
        <v/>
      </c>
      <c r="AJ103" s="66" t="str">
        <f>IF(AJ$3="","",IF(COUNTIFS(Base!$A$3:$A$5001,AJ$3,Base!$B$3:$B$5001,$A$99,Base!$U$3:$U$5001,"&lt;&gt;")=0,"",SUMIFS(Base!$U$3:$U$5001,Base!$A$3:$A$5001,AJ$3,Base!$B$3:$B$5001,$A$99)))</f>
        <v/>
      </c>
      <c r="AK103" s="67" t="str">
        <f>IF(COUNT(F103:AJ103)=0,"",SUM(F103:AJ103))</f>
        <v/>
      </c>
    </row>
    <row r="104" ht="15.75" customHeight="1">
      <c r="A104" s="118"/>
      <c r="B104" s="112"/>
      <c r="C104" s="68" t="inlineStr">
        <is>
          <t xml:space="preserve">No show</t>
        </is>
      </c>
      <c r="D104" s="69" t="str">
        <f>IFERROR(1/(1/INDEX(calculos!$C$55:$K$83,MATCH("NC No show",calculos!$A$55:$A$83,0),MATCH($A$99,calculos!$C$54:$K$54,0))),"")</f>
        <v/>
      </c>
      <c r="E104" s="70"/>
      <c r="F104" s="71" t="str">
        <f>IF(F$3="","",IF(COUNTIFS(Base!$A$3:$A$5001,F$3,Base!$B$3:$B$5001,$A$99,Base!$V$3:$V$5001,"&lt;&gt;")=0,"",SUMIFS(Base!$V$3:$V$5001,Base!$A$3:$A$5001,F$3,Base!$B$3:$B$5001,$A$99)))</f>
        <v/>
      </c>
      <c r="G104" s="72" t="str">
        <f>IF(G$3="","",IF(COUNTIFS(Base!$A$3:$A$5001,G$3,Base!$B$3:$B$5001,$A$99,Base!$V$3:$V$5001,"&lt;&gt;")=0,"",SUMIFS(Base!$V$3:$V$5001,Base!$A$3:$A$5001,G$3,Base!$B$3:$B$5001,$A$99)))</f>
        <v/>
      </c>
      <c r="H104" s="72" t="str">
        <f>IF(H$3="","",IF(COUNTIFS(Base!$A$3:$A$5001,H$3,Base!$B$3:$B$5001,$A$99,Base!$V$3:$V$5001,"&lt;&gt;")=0,"",SUMIFS(Base!$V$3:$V$5001,Base!$A$3:$A$5001,H$3,Base!$B$3:$B$5001,$A$99)))</f>
        <v/>
      </c>
      <c r="I104" s="72" t="str">
        <f>IF(I$3="","",IF(COUNTIFS(Base!$A$3:$A$5001,I$3,Base!$B$3:$B$5001,$A$99,Base!$V$3:$V$5001,"&lt;&gt;")=0,"",SUMIFS(Base!$V$3:$V$5001,Base!$A$3:$A$5001,I$3,Base!$B$3:$B$5001,$A$99)))</f>
        <v/>
      </c>
      <c r="J104" s="72" t="str">
        <f>IF(J$3="","",IF(COUNTIFS(Base!$A$3:$A$5001,J$3,Base!$B$3:$B$5001,$A$99,Base!$V$3:$V$5001,"&lt;&gt;")=0,"",SUMIFS(Base!$V$3:$V$5001,Base!$A$3:$A$5001,J$3,Base!$B$3:$B$5001,$A$99)))</f>
        <v/>
      </c>
      <c r="K104" s="72" t="str">
        <f>IF(K$3="","",IF(COUNTIFS(Base!$A$3:$A$5001,K$3,Base!$B$3:$B$5001,$A$99,Base!$V$3:$V$5001,"&lt;&gt;")=0,"",SUMIFS(Base!$V$3:$V$5001,Base!$A$3:$A$5001,K$3,Base!$B$3:$B$5001,$A$99)))</f>
        <v/>
      </c>
      <c r="L104" s="72" t="str">
        <f>IF(L$3="","",IF(COUNTIFS(Base!$A$3:$A$5001,L$3,Base!$B$3:$B$5001,$A$99,Base!$V$3:$V$5001,"&lt;&gt;")=0,"",SUMIFS(Base!$V$3:$V$5001,Base!$A$3:$A$5001,L$3,Base!$B$3:$B$5001,$A$99)))</f>
        <v/>
      </c>
      <c r="M104" s="72" t="str">
        <f>IF(M$3="","",IF(COUNTIFS(Base!$A$3:$A$5001,M$3,Base!$B$3:$B$5001,$A$99,Base!$V$3:$V$5001,"&lt;&gt;")=0,"",SUMIFS(Base!$V$3:$V$5001,Base!$A$3:$A$5001,M$3,Base!$B$3:$B$5001,$A$99)))</f>
        <v/>
      </c>
      <c r="N104" s="72" t="str">
        <f>IF(N$3="","",IF(COUNTIFS(Base!$A$3:$A$5001,N$3,Base!$B$3:$B$5001,$A$99,Base!$V$3:$V$5001,"&lt;&gt;")=0,"",SUMIFS(Base!$V$3:$V$5001,Base!$A$3:$A$5001,N$3,Base!$B$3:$B$5001,$A$99)))</f>
        <v/>
      </c>
      <c r="O104" s="72" t="str">
        <f>IF(O$3="","",IF(COUNTIFS(Base!$A$3:$A$5001,O$3,Base!$B$3:$B$5001,$A$99,Base!$V$3:$V$5001,"&lt;&gt;")=0,"",SUMIFS(Base!$V$3:$V$5001,Base!$A$3:$A$5001,O$3,Base!$B$3:$B$5001,$A$99)))</f>
        <v/>
      </c>
      <c r="P104" s="72" t="str">
        <f>IF(P$3="","",IF(COUNTIFS(Base!$A$3:$A$5001,P$3,Base!$B$3:$B$5001,$A$99,Base!$V$3:$V$5001,"&lt;&gt;")=0,"",SUMIFS(Base!$V$3:$V$5001,Base!$A$3:$A$5001,P$3,Base!$B$3:$B$5001,$A$99)))</f>
        <v/>
      </c>
      <c r="Q104" s="72" t="str">
        <f>IF(Q$3="","",IF(COUNTIFS(Base!$A$3:$A$5001,Q$3,Base!$B$3:$B$5001,$A$99,Base!$V$3:$V$5001,"&lt;&gt;")=0,"",SUMIFS(Base!$V$3:$V$5001,Base!$A$3:$A$5001,Q$3,Base!$B$3:$B$5001,$A$99)))</f>
        <v/>
      </c>
      <c r="R104" s="72" t="str">
        <f>IF(R$3="","",IF(COUNTIFS(Base!$A$3:$A$5001,R$3,Base!$B$3:$B$5001,$A$99,Base!$V$3:$V$5001,"&lt;&gt;")=0,"",SUMIFS(Base!$V$3:$V$5001,Base!$A$3:$A$5001,R$3,Base!$B$3:$B$5001,$A$99)))</f>
        <v/>
      </c>
      <c r="S104" s="72" t="str">
        <f>IF(S$3="","",IF(COUNTIFS(Base!$A$3:$A$5001,S$3,Base!$B$3:$B$5001,$A$99,Base!$V$3:$V$5001,"&lt;&gt;")=0,"",SUMIFS(Base!$V$3:$V$5001,Base!$A$3:$A$5001,S$3,Base!$B$3:$B$5001,$A$99)))</f>
        <v/>
      </c>
      <c r="T104" s="72" t="str">
        <f>IF(T$3="","",IF(COUNTIFS(Base!$A$3:$A$5001,T$3,Base!$B$3:$B$5001,$A$99,Base!$V$3:$V$5001,"&lt;&gt;")=0,"",SUMIFS(Base!$V$3:$V$5001,Base!$A$3:$A$5001,T$3,Base!$B$3:$B$5001,$A$99)))</f>
        <v/>
      </c>
      <c r="U104" s="72" t="str">
        <f>IF(U$3="","",IF(COUNTIFS(Base!$A$3:$A$5001,U$3,Base!$B$3:$B$5001,$A$99,Base!$V$3:$V$5001,"&lt;&gt;")=0,"",SUMIFS(Base!$V$3:$V$5001,Base!$A$3:$A$5001,U$3,Base!$B$3:$B$5001,$A$99)))</f>
        <v/>
      </c>
      <c r="V104" s="72" t="str">
        <f>IF(V$3="","",IF(COUNTIFS(Base!$A$3:$A$5001,V$3,Base!$B$3:$B$5001,$A$99,Base!$V$3:$V$5001,"&lt;&gt;")=0,"",SUMIFS(Base!$V$3:$V$5001,Base!$A$3:$A$5001,V$3,Base!$B$3:$B$5001,$A$99)))</f>
        <v/>
      </c>
      <c r="W104" s="72" t="str">
        <f>IF(W$3="","",IF(COUNTIFS(Base!$A$3:$A$5001,W$3,Base!$B$3:$B$5001,$A$99,Base!$V$3:$V$5001,"&lt;&gt;")=0,"",SUMIFS(Base!$V$3:$V$5001,Base!$A$3:$A$5001,W$3,Base!$B$3:$B$5001,$A$99)))</f>
        <v/>
      </c>
      <c r="X104" s="72" t="str">
        <f>IF(X$3="","",IF(COUNTIFS(Base!$A$3:$A$5001,X$3,Base!$B$3:$B$5001,$A$99,Base!$V$3:$V$5001,"&lt;&gt;")=0,"",SUMIFS(Base!$V$3:$V$5001,Base!$A$3:$A$5001,X$3,Base!$B$3:$B$5001,$A$99)))</f>
        <v/>
      </c>
      <c r="Y104" s="72" t="str">
        <f>IF(Y$3="","",IF(COUNTIFS(Base!$A$3:$A$5001,Y$3,Base!$B$3:$B$5001,$A$99,Base!$V$3:$V$5001,"&lt;&gt;")=0,"",SUMIFS(Base!$V$3:$V$5001,Base!$A$3:$A$5001,Y$3,Base!$B$3:$B$5001,$A$99)))</f>
        <v/>
      </c>
      <c r="Z104" s="72" t="str">
        <f>IF(Z$3="","",IF(COUNTIFS(Base!$A$3:$A$5001,Z$3,Base!$B$3:$B$5001,$A$99,Base!$V$3:$V$5001,"&lt;&gt;")=0,"",SUMIFS(Base!$V$3:$V$5001,Base!$A$3:$A$5001,Z$3,Base!$B$3:$B$5001,$A$99)))</f>
        <v/>
      </c>
      <c r="AA104" s="72" t="str">
        <f>IF(AA$3="","",IF(COUNTIFS(Base!$A$3:$A$5001,AA$3,Base!$B$3:$B$5001,$A$99,Base!$V$3:$V$5001,"&lt;&gt;")=0,"",SUMIFS(Base!$V$3:$V$5001,Base!$A$3:$A$5001,AA$3,Base!$B$3:$B$5001,$A$99)))</f>
        <v/>
      </c>
      <c r="AB104" s="72" t="str">
        <f>IF(AB$3="","",IF(COUNTIFS(Base!$A$3:$A$5001,AB$3,Base!$B$3:$B$5001,$A$99,Base!$V$3:$V$5001,"&lt;&gt;")=0,"",SUMIFS(Base!$V$3:$V$5001,Base!$A$3:$A$5001,AB$3,Base!$B$3:$B$5001,$A$99)))</f>
        <v/>
      </c>
      <c r="AC104" s="72" t="str">
        <f>IF(AC$3="","",IF(COUNTIFS(Base!$A$3:$A$5001,AC$3,Base!$B$3:$B$5001,$A$99,Base!$V$3:$V$5001,"&lt;&gt;")=0,"",SUMIFS(Base!$V$3:$V$5001,Base!$A$3:$A$5001,AC$3,Base!$B$3:$B$5001,$A$99)))</f>
        <v/>
      </c>
      <c r="AD104" s="72" t="str">
        <f>IF(AD$3="","",IF(COUNTIFS(Base!$A$3:$A$5001,AD$3,Base!$B$3:$B$5001,$A$99,Base!$V$3:$V$5001,"&lt;&gt;")=0,"",SUMIFS(Base!$V$3:$V$5001,Base!$A$3:$A$5001,AD$3,Base!$B$3:$B$5001,$A$99)))</f>
        <v/>
      </c>
      <c r="AE104" s="72" t="str">
        <f>IF(AE$3="","",IF(COUNTIFS(Base!$A$3:$A$5001,AE$3,Base!$B$3:$B$5001,$A$99,Base!$V$3:$V$5001,"&lt;&gt;")=0,"",SUMIFS(Base!$V$3:$V$5001,Base!$A$3:$A$5001,AE$3,Base!$B$3:$B$5001,$A$99)))</f>
        <v/>
      </c>
      <c r="AF104" s="72" t="str">
        <f>IF(AF$3="","",IF(COUNTIFS(Base!$A$3:$A$5001,AF$3,Base!$B$3:$B$5001,$A$99,Base!$V$3:$V$5001,"&lt;&gt;")=0,"",SUMIFS(Base!$V$3:$V$5001,Base!$A$3:$A$5001,AF$3,Base!$B$3:$B$5001,$A$99)))</f>
        <v/>
      </c>
      <c r="AG104" s="72" t="str">
        <f>IF(AG$3="","",IF(COUNTIFS(Base!$A$3:$A$5001,AG$3,Base!$B$3:$B$5001,$A$99,Base!$V$3:$V$5001,"&lt;&gt;")=0,"",SUMIFS(Base!$V$3:$V$5001,Base!$A$3:$A$5001,AG$3,Base!$B$3:$B$5001,$A$99)))</f>
        <v/>
      </c>
      <c r="AH104" s="72" t="str">
        <f>IF(AH$3="","",IF(COUNTIFS(Base!$A$3:$A$5001,AH$3,Base!$B$3:$B$5001,$A$99,Base!$V$3:$V$5001,"&lt;&gt;")=0,"",SUMIFS(Base!$V$3:$V$5001,Base!$A$3:$A$5001,AH$3,Base!$B$3:$B$5001,$A$99)))</f>
        <v/>
      </c>
      <c r="AI104" s="72" t="str">
        <f>IF(AI$3="","",IF(COUNTIFS(Base!$A$3:$A$5001,AI$3,Base!$B$3:$B$5001,$A$99,Base!$V$3:$V$5001,"&lt;&gt;")=0,"",SUMIFS(Base!$V$3:$V$5001,Base!$A$3:$A$5001,AI$3,Base!$B$3:$B$5001,$A$99)))</f>
        <v/>
      </c>
      <c r="AJ104" s="73" t="str">
        <f>IF(AJ$3="","",IF(COUNTIFS(Base!$A$3:$A$5001,AJ$3,Base!$B$3:$B$5001,$A$99,Base!$V$3:$V$5001,"&lt;&gt;")=0,"",SUMIFS(Base!$V$3:$V$5001,Base!$A$3:$A$5001,AJ$3,Base!$B$3:$B$5001,$A$99)))</f>
        <v/>
      </c>
      <c r="AK104" s="74" t="str">
        <f>IF(COUNT(F104:AJ104)=0,"",SUM(F104:AJ104))</f>
        <v/>
      </c>
    </row>
    <row r="105" ht="15.75" customHeight="1">
      <c r="A105" s="118"/>
      <c r="B105" s="113"/>
      <c r="C105" s="75" t="inlineStr">
        <is>
          <t xml:space="preserve">Backlog</t>
        </is>
      </c>
      <c r="D105" s="76" t="str">
        <f>IFERROR(1/(1/INDEX(calculos!$C$55:$K$83,MATCH("NC Backlog",calculos!$A$55:$A$83,0),MATCH($A$99,calculos!$C$54:$K$54,0))),"")</f>
        <v/>
      </c>
      <c r="E105" s="77"/>
      <c r="F105" s="78" t="str">
        <f>IF(F$3="","",IF(COUNTIFS(Base!$A$3:$A$5001,F$3,Base!$B$3:$B$5001,$A$99,Base!$W$3:$W$5001,"&lt;&gt;")=0,"",SUMIFS(Base!$W$3:$W$5001,Base!$A$3:$A$5001,F$3,Base!$B$3:$B$5001,$A$99)))</f>
        <v/>
      </c>
      <c r="G105" s="79" t="str">
        <f>IF(G$3="","",IF(COUNTIFS(Base!$A$3:$A$5001,G$3,Base!$B$3:$B$5001,$A$99,Base!$W$3:$W$5001,"&lt;&gt;")=0,"",SUMIFS(Base!$W$3:$W$5001,Base!$A$3:$A$5001,G$3,Base!$B$3:$B$5001,$A$99)))</f>
        <v/>
      </c>
      <c r="H105" s="79" t="str">
        <f>IF(H$3="","",IF(COUNTIFS(Base!$A$3:$A$5001,H$3,Base!$B$3:$B$5001,$A$99,Base!$W$3:$W$5001,"&lt;&gt;")=0,"",SUMIFS(Base!$W$3:$W$5001,Base!$A$3:$A$5001,H$3,Base!$B$3:$B$5001,$A$99)))</f>
        <v/>
      </c>
      <c r="I105" s="79" t="str">
        <f>IF(I$3="","",IF(COUNTIFS(Base!$A$3:$A$5001,I$3,Base!$B$3:$B$5001,$A$99,Base!$W$3:$W$5001,"&lt;&gt;")=0,"",SUMIFS(Base!$W$3:$W$5001,Base!$A$3:$A$5001,I$3,Base!$B$3:$B$5001,$A$99)))</f>
        <v/>
      </c>
      <c r="J105" s="79" t="str">
        <f>IF(J$3="","",IF(COUNTIFS(Base!$A$3:$A$5001,J$3,Base!$B$3:$B$5001,$A$99,Base!$W$3:$W$5001,"&lt;&gt;")=0,"",SUMIFS(Base!$W$3:$W$5001,Base!$A$3:$A$5001,J$3,Base!$B$3:$B$5001,$A$99)))</f>
        <v/>
      </c>
      <c r="K105" s="79" t="str">
        <f>IF(K$3="","",IF(COUNTIFS(Base!$A$3:$A$5001,K$3,Base!$B$3:$B$5001,$A$99,Base!$W$3:$W$5001,"&lt;&gt;")=0,"",SUMIFS(Base!$W$3:$W$5001,Base!$A$3:$A$5001,K$3,Base!$B$3:$B$5001,$A$99)))</f>
        <v/>
      </c>
      <c r="L105" s="79" t="str">
        <f>IF(L$3="","",IF(COUNTIFS(Base!$A$3:$A$5001,L$3,Base!$B$3:$B$5001,$A$99,Base!$W$3:$W$5001,"&lt;&gt;")=0,"",SUMIFS(Base!$W$3:$W$5001,Base!$A$3:$A$5001,L$3,Base!$B$3:$B$5001,$A$99)))</f>
        <v/>
      </c>
      <c r="M105" s="79" t="str">
        <f>IF(M$3="","",IF(COUNTIFS(Base!$A$3:$A$5001,M$3,Base!$B$3:$B$5001,$A$99,Base!$W$3:$W$5001,"&lt;&gt;")=0,"",SUMIFS(Base!$W$3:$W$5001,Base!$A$3:$A$5001,M$3,Base!$B$3:$B$5001,$A$99)))</f>
        <v/>
      </c>
      <c r="N105" s="79" t="str">
        <f>IF(N$3="","",IF(COUNTIFS(Base!$A$3:$A$5001,N$3,Base!$B$3:$B$5001,$A$99,Base!$W$3:$W$5001,"&lt;&gt;")=0,"",SUMIFS(Base!$W$3:$W$5001,Base!$A$3:$A$5001,N$3,Base!$B$3:$B$5001,$A$99)))</f>
        <v/>
      </c>
      <c r="O105" s="79" t="str">
        <f>IF(O$3="","",IF(COUNTIFS(Base!$A$3:$A$5001,O$3,Base!$B$3:$B$5001,$A$99,Base!$W$3:$W$5001,"&lt;&gt;")=0,"",SUMIFS(Base!$W$3:$W$5001,Base!$A$3:$A$5001,O$3,Base!$B$3:$B$5001,$A$99)))</f>
        <v/>
      </c>
      <c r="P105" s="79" t="str">
        <f>IF(P$3="","",IF(COUNTIFS(Base!$A$3:$A$5001,P$3,Base!$B$3:$B$5001,$A$99,Base!$W$3:$W$5001,"&lt;&gt;")=0,"",SUMIFS(Base!$W$3:$W$5001,Base!$A$3:$A$5001,P$3,Base!$B$3:$B$5001,$A$99)))</f>
        <v/>
      </c>
      <c r="Q105" s="79" t="str">
        <f>IF(Q$3="","",IF(COUNTIFS(Base!$A$3:$A$5001,Q$3,Base!$B$3:$B$5001,$A$99,Base!$W$3:$W$5001,"&lt;&gt;")=0,"",SUMIFS(Base!$W$3:$W$5001,Base!$A$3:$A$5001,Q$3,Base!$B$3:$B$5001,$A$99)))</f>
        <v/>
      </c>
      <c r="R105" s="79" t="str">
        <f>IF(R$3="","",IF(COUNTIFS(Base!$A$3:$A$5001,R$3,Base!$B$3:$B$5001,$A$99,Base!$W$3:$W$5001,"&lt;&gt;")=0,"",SUMIFS(Base!$W$3:$W$5001,Base!$A$3:$A$5001,R$3,Base!$B$3:$B$5001,$A$99)))</f>
        <v/>
      </c>
      <c r="S105" s="79" t="str">
        <f>IF(S$3="","",IF(COUNTIFS(Base!$A$3:$A$5001,S$3,Base!$B$3:$B$5001,$A$99,Base!$W$3:$W$5001,"&lt;&gt;")=0,"",SUMIFS(Base!$W$3:$W$5001,Base!$A$3:$A$5001,S$3,Base!$B$3:$B$5001,$A$99)))</f>
        <v/>
      </c>
      <c r="T105" s="79" t="str">
        <f>IF(T$3="","",IF(COUNTIFS(Base!$A$3:$A$5001,T$3,Base!$B$3:$B$5001,$A$99,Base!$W$3:$W$5001,"&lt;&gt;")=0,"",SUMIFS(Base!$W$3:$W$5001,Base!$A$3:$A$5001,T$3,Base!$B$3:$B$5001,$A$99)))</f>
        <v/>
      </c>
      <c r="U105" s="79" t="str">
        <f>IF(U$3="","",IF(COUNTIFS(Base!$A$3:$A$5001,U$3,Base!$B$3:$B$5001,$A$99,Base!$W$3:$W$5001,"&lt;&gt;")=0,"",SUMIFS(Base!$W$3:$W$5001,Base!$A$3:$A$5001,U$3,Base!$B$3:$B$5001,$A$99)))</f>
        <v/>
      </c>
      <c r="V105" s="79" t="str">
        <f>IF(V$3="","",IF(COUNTIFS(Base!$A$3:$A$5001,V$3,Base!$B$3:$B$5001,$A$99,Base!$W$3:$W$5001,"&lt;&gt;")=0,"",SUMIFS(Base!$W$3:$W$5001,Base!$A$3:$A$5001,V$3,Base!$B$3:$B$5001,$A$99)))</f>
        <v/>
      </c>
      <c r="W105" s="79" t="str">
        <f>IF(W$3="","",IF(COUNTIFS(Base!$A$3:$A$5001,W$3,Base!$B$3:$B$5001,$A$99,Base!$W$3:$W$5001,"&lt;&gt;")=0,"",SUMIFS(Base!$W$3:$W$5001,Base!$A$3:$A$5001,W$3,Base!$B$3:$B$5001,$A$99)))</f>
        <v/>
      </c>
      <c r="X105" s="79" t="str">
        <f>IF(X$3="","",IF(COUNTIFS(Base!$A$3:$A$5001,X$3,Base!$B$3:$B$5001,$A$99,Base!$W$3:$W$5001,"&lt;&gt;")=0,"",SUMIFS(Base!$W$3:$W$5001,Base!$A$3:$A$5001,X$3,Base!$B$3:$B$5001,$A$99)))</f>
        <v/>
      </c>
      <c r="Y105" s="79" t="str">
        <f>IF(Y$3="","",IF(COUNTIFS(Base!$A$3:$A$5001,Y$3,Base!$B$3:$B$5001,$A$99,Base!$W$3:$W$5001,"&lt;&gt;")=0,"",SUMIFS(Base!$W$3:$W$5001,Base!$A$3:$A$5001,Y$3,Base!$B$3:$B$5001,$A$99)))</f>
        <v/>
      </c>
      <c r="Z105" s="79" t="str">
        <f>IF(Z$3="","",IF(COUNTIFS(Base!$A$3:$A$5001,Z$3,Base!$B$3:$B$5001,$A$99,Base!$W$3:$W$5001,"&lt;&gt;")=0,"",SUMIFS(Base!$W$3:$W$5001,Base!$A$3:$A$5001,Z$3,Base!$B$3:$B$5001,$A$99)))</f>
        <v/>
      </c>
      <c r="AA105" s="79" t="str">
        <f>IF(AA$3="","",IF(COUNTIFS(Base!$A$3:$A$5001,AA$3,Base!$B$3:$B$5001,$A$99,Base!$W$3:$W$5001,"&lt;&gt;")=0,"",SUMIFS(Base!$W$3:$W$5001,Base!$A$3:$A$5001,AA$3,Base!$B$3:$B$5001,$A$99)))</f>
        <v/>
      </c>
      <c r="AB105" s="79" t="str">
        <f>IF(AB$3="","",IF(COUNTIFS(Base!$A$3:$A$5001,AB$3,Base!$B$3:$B$5001,$A$99,Base!$W$3:$W$5001,"&lt;&gt;")=0,"",SUMIFS(Base!$W$3:$W$5001,Base!$A$3:$A$5001,AB$3,Base!$B$3:$B$5001,$A$99)))</f>
        <v/>
      </c>
      <c r="AC105" s="79" t="str">
        <f>IF(AC$3="","",IF(COUNTIFS(Base!$A$3:$A$5001,AC$3,Base!$B$3:$B$5001,$A$99,Base!$W$3:$W$5001,"&lt;&gt;")=0,"",SUMIFS(Base!$W$3:$W$5001,Base!$A$3:$A$5001,AC$3,Base!$B$3:$B$5001,$A$99)))</f>
        <v/>
      </c>
      <c r="AD105" s="79" t="str">
        <f>IF(AD$3="","",IF(COUNTIFS(Base!$A$3:$A$5001,AD$3,Base!$B$3:$B$5001,$A$99,Base!$W$3:$W$5001,"&lt;&gt;")=0,"",SUMIFS(Base!$W$3:$W$5001,Base!$A$3:$A$5001,AD$3,Base!$B$3:$B$5001,$A$99)))</f>
        <v/>
      </c>
      <c r="AE105" s="79" t="str">
        <f>IF(AE$3="","",IF(COUNTIFS(Base!$A$3:$A$5001,AE$3,Base!$B$3:$B$5001,$A$99,Base!$W$3:$W$5001,"&lt;&gt;")=0,"",SUMIFS(Base!$W$3:$W$5001,Base!$A$3:$A$5001,AE$3,Base!$B$3:$B$5001,$A$99)))</f>
        <v/>
      </c>
      <c r="AF105" s="79" t="str">
        <f>IF(AF$3="","",IF(COUNTIFS(Base!$A$3:$A$5001,AF$3,Base!$B$3:$B$5001,$A$99,Base!$W$3:$W$5001,"&lt;&gt;")=0,"",SUMIFS(Base!$W$3:$W$5001,Base!$A$3:$A$5001,AF$3,Base!$B$3:$B$5001,$A$99)))</f>
        <v/>
      </c>
      <c r="AG105" s="79" t="str">
        <f>IF(AG$3="","",IF(COUNTIFS(Base!$A$3:$A$5001,AG$3,Base!$B$3:$B$5001,$A$99,Base!$W$3:$W$5001,"&lt;&gt;")=0,"",SUMIFS(Base!$W$3:$W$5001,Base!$A$3:$A$5001,AG$3,Base!$B$3:$B$5001,$A$99)))</f>
        <v/>
      </c>
      <c r="AH105" s="79" t="str">
        <f>IF(AH$3="","",IF(COUNTIFS(Base!$A$3:$A$5001,AH$3,Base!$B$3:$B$5001,$A$99,Base!$W$3:$W$5001,"&lt;&gt;")=0,"",SUMIFS(Base!$W$3:$W$5001,Base!$A$3:$A$5001,AH$3,Base!$B$3:$B$5001,$A$99)))</f>
        <v/>
      </c>
      <c r="AI105" s="79" t="str">
        <f>IF(AI$3="","",IF(COUNTIFS(Base!$A$3:$A$5001,AI$3,Base!$B$3:$B$5001,$A$99,Base!$W$3:$W$5001,"&lt;&gt;")=0,"",SUMIFS(Base!$W$3:$W$5001,Base!$A$3:$A$5001,AI$3,Base!$B$3:$B$5001,$A$99)))</f>
        <v/>
      </c>
      <c r="AJ105" s="80" t="str">
        <f>IF(AJ$3="","",IF(COUNTIFS(Base!$A$3:$A$5001,AJ$3,Base!$B$3:$B$5001,$A$99,Base!$W$3:$W$5001,"&lt;&gt;")=0,"",SUMIFS(Base!$W$3:$W$5001,Base!$A$3:$A$5001,AJ$3,Base!$B$3:$B$5001,$A$99)))</f>
        <v/>
      </c>
      <c r="AK105" s="76" t="str">
        <f>IFERROR(LOOKUP(9.99E+307,F105:AJ105),"")</f>
        <v/>
      </c>
    </row>
    <row r="106" ht="15.75" customHeight="1">
      <c r="A106" s="118"/>
      <c r="B106" s="105" t="inlineStr">
        <is>
          <t xml:space="preserve">OCUPAÇÃO (P.P)</t>
        </is>
      </c>
      <c r="C106" s="21" t="inlineStr">
        <is>
          <t xml:space="preserve">Posições Disponíveis</t>
        </is>
      </c>
      <c r="D106" s="22" t="str">
        <f>IFERROR(1/(1/INDEX(calculos!$C$55:$K$83,MATCH("Posições Disponíveis",calculos!$A$55:$A$83,0),MATCH($A$99,calculos!$C$54:$K$54,0))),"")</f>
        <v/>
      </c>
      <c r="E106" s="23"/>
      <c r="F106" s="24" t="str">
        <f>IF(F$3="","",IF(COUNTIFS(Base!$A$3:$A$5001,F$3,Base!$B$3:$B$5001,$A$99,Base!$X$3:$X$5001,"&lt;&gt;")=0,"",SUMIFS(Base!$X$3:$X$5001,Base!$A$3:$A$5001,F$3,Base!$B$3:$B$5001,$A$99)))</f>
        <v/>
      </c>
      <c r="G106" s="25" t="str">
        <f>IF(G$3="","",IF(COUNTIFS(Base!$A$3:$A$5001,G$3,Base!$B$3:$B$5001,$A$99,Base!$X$3:$X$5001,"&lt;&gt;")=0,"",SUMIFS(Base!$X$3:$X$5001,Base!$A$3:$A$5001,G$3,Base!$B$3:$B$5001,$A$99)))</f>
        <v/>
      </c>
      <c r="H106" s="25" t="str">
        <f>IF(H$3="","",IF(COUNTIFS(Base!$A$3:$A$5001,H$3,Base!$B$3:$B$5001,$A$99,Base!$X$3:$X$5001,"&lt;&gt;")=0,"",SUMIFS(Base!$X$3:$X$5001,Base!$A$3:$A$5001,H$3,Base!$B$3:$B$5001,$A$99)))</f>
        <v/>
      </c>
      <c r="I106" s="25" t="str">
        <f>IF(I$3="","",IF(COUNTIFS(Base!$A$3:$A$5001,I$3,Base!$B$3:$B$5001,$A$99,Base!$X$3:$X$5001,"&lt;&gt;")=0,"",SUMIFS(Base!$X$3:$X$5001,Base!$A$3:$A$5001,I$3,Base!$B$3:$B$5001,$A$99)))</f>
        <v/>
      </c>
      <c r="J106" s="25" t="str">
        <f>IF(J$3="","",IF(COUNTIFS(Base!$A$3:$A$5001,J$3,Base!$B$3:$B$5001,$A$99,Base!$X$3:$X$5001,"&lt;&gt;")=0,"",SUMIFS(Base!$X$3:$X$5001,Base!$A$3:$A$5001,J$3,Base!$B$3:$B$5001,$A$99)))</f>
        <v/>
      </c>
      <c r="K106" s="25" t="str">
        <f>IF(K$3="","",IF(COUNTIFS(Base!$A$3:$A$5001,K$3,Base!$B$3:$B$5001,$A$99,Base!$X$3:$X$5001,"&lt;&gt;")=0,"",SUMIFS(Base!$X$3:$X$5001,Base!$A$3:$A$5001,K$3,Base!$B$3:$B$5001,$A$99)))</f>
        <v/>
      </c>
      <c r="L106" s="25" t="str">
        <f>IF(L$3="","",IF(COUNTIFS(Base!$A$3:$A$5001,L$3,Base!$B$3:$B$5001,$A$99,Base!$X$3:$X$5001,"&lt;&gt;")=0,"",SUMIFS(Base!$X$3:$X$5001,Base!$A$3:$A$5001,L$3,Base!$B$3:$B$5001,$A$99)))</f>
        <v/>
      </c>
      <c r="M106" s="25" t="str">
        <f>IF(M$3="","",IF(COUNTIFS(Base!$A$3:$A$5001,M$3,Base!$B$3:$B$5001,$A$99,Base!$X$3:$X$5001,"&lt;&gt;")=0,"",SUMIFS(Base!$X$3:$X$5001,Base!$A$3:$A$5001,M$3,Base!$B$3:$B$5001,$A$99)))</f>
        <v/>
      </c>
      <c r="N106" s="25" t="str">
        <f>IF(N$3="","",IF(COUNTIFS(Base!$A$3:$A$5001,N$3,Base!$B$3:$B$5001,$A$99,Base!$X$3:$X$5001,"&lt;&gt;")=0,"",SUMIFS(Base!$X$3:$X$5001,Base!$A$3:$A$5001,N$3,Base!$B$3:$B$5001,$A$99)))</f>
        <v/>
      </c>
      <c r="O106" s="25" t="str">
        <f>IF(O$3="","",IF(COUNTIFS(Base!$A$3:$A$5001,O$3,Base!$B$3:$B$5001,$A$99,Base!$X$3:$X$5001,"&lt;&gt;")=0,"",SUMIFS(Base!$X$3:$X$5001,Base!$A$3:$A$5001,O$3,Base!$B$3:$B$5001,$A$99)))</f>
        <v/>
      </c>
      <c r="P106" s="25" t="str">
        <f>IF(P$3="","",IF(COUNTIFS(Base!$A$3:$A$5001,P$3,Base!$B$3:$B$5001,$A$99,Base!$X$3:$X$5001,"&lt;&gt;")=0,"",SUMIFS(Base!$X$3:$X$5001,Base!$A$3:$A$5001,P$3,Base!$B$3:$B$5001,$A$99)))</f>
        <v/>
      </c>
      <c r="Q106" s="25" t="str">
        <f>IF(Q$3="","",IF(COUNTIFS(Base!$A$3:$A$5001,Q$3,Base!$B$3:$B$5001,$A$99,Base!$X$3:$X$5001,"&lt;&gt;")=0,"",SUMIFS(Base!$X$3:$X$5001,Base!$A$3:$A$5001,Q$3,Base!$B$3:$B$5001,$A$99)))</f>
        <v/>
      </c>
      <c r="R106" s="25" t="str">
        <f>IF(R$3="","",IF(COUNTIFS(Base!$A$3:$A$5001,R$3,Base!$B$3:$B$5001,$A$99,Base!$X$3:$X$5001,"&lt;&gt;")=0,"",SUMIFS(Base!$X$3:$X$5001,Base!$A$3:$A$5001,R$3,Base!$B$3:$B$5001,$A$99)))</f>
        <v/>
      </c>
      <c r="S106" s="25" t="str">
        <f>IF(S$3="","",IF(COUNTIFS(Base!$A$3:$A$5001,S$3,Base!$B$3:$B$5001,$A$99,Base!$X$3:$X$5001,"&lt;&gt;")=0,"",SUMIFS(Base!$X$3:$X$5001,Base!$A$3:$A$5001,S$3,Base!$B$3:$B$5001,$A$99)))</f>
        <v/>
      </c>
      <c r="T106" s="25" t="str">
        <f>IF(T$3="","",IF(COUNTIFS(Base!$A$3:$A$5001,T$3,Base!$B$3:$B$5001,$A$99,Base!$X$3:$X$5001,"&lt;&gt;")=0,"",SUMIFS(Base!$X$3:$X$5001,Base!$A$3:$A$5001,T$3,Base!$B$3:$B$5001,$A$99)))</f>
        <v/>
      </c>
      <c r="U106" s="25" t="str">
        <f>IF(U$3="","",IF(COUNTIFS(Base!$A$3:$A$5001,U$3,Base!$B$3:$B$5001,$A$99,Base!$X$3:$X$5001,"&lt;&gt;")=0,"",SUMIFS(Base!$X$3:$X$5001,Base!$A$3:$A$5001,U$3,Base!$B$3:$B$5001,$A$99)))</f>
        <v/>
      </c>
      <c r="V106" s="25" t="str">
        <f>IF(V$3="","",IF(COUNTIFS(Base!$A$3:$A$5001,V$3,Base!$B$3:$B$5001,$A$99,Base!$X$3:$X$5001,"&lt;&gt;")=0,"",SUMIFS(Base!$X$3:$X$5001,Base!$A$3:$A$5001,V$3,Base!$B$3:$B$5001,$A$99)))</f>
        <v/>
      </c>
      <c r="W106" s="25" t="str">
        <f>IF(W$3="","",IF(COUNTIFS(Base!$A$3:$A$5001,W$3,Base!$B$3:$B$5001,$A$99,Base!$X$3:$X$5001,"&lt;&gt;")=0,"",SUMIFS(Base!$X$3:$X$5001,Base!$A$3:$A$5001,W$3,Base!$B$3:$B$5001,$A$99)))</f>
        <v/>
      </c>
      <c r="X106" s="25" t="str">
        <f>IF(X$3="","",IF(COUNTIFS(Base!$A$3:$A$5001,X$3,Base!$B$3:$B$5001,$A$99,Base!$X$3:$X$5001,"&lt;&gt;")=0,"",SUMIFS(Base!$X$3:$X$5001,Base!$A$3:$A$5001,X$3,Base!$B$3:$B$5001,$A$99)))</f>
        <v/>
      </c>
      <c r="Y106" s="25" t="str">
        <f>IF(Y$3="","",IF(COUNTIFS(Base!$A$3:$A$5001,Y$3,Base!$B$3:$B$5001,$A$99,Base!$X$3:$X$5001,"&lt;&gt;")=0,"",SUMIFS(Base!$X$3:$X$5001,Base!$A$3:$A$5001,Y$3,Base!$B$3:$B$5001,$A$99)))</f>
        <v/>
      </c>
      <c r="Z106" s="25" t="str">
        <f>IF(Z$3="","",IF(COUNTIFS(Base!$A$3:$A$5001,Z$3,Base!$B$3:$B$5001,$A$99,Base!$X$3:$X$5001,"&lt;&gt;")=0,"",SUMIFS(Base!$X$3:$X$5001,Base!$A$3:$A$5001,Z$3,Base!$B$3:$B$5001,$A$99)))</f>
        <v/>
      </c>
      <c r="AA106" s="25" t="str">
        <f>IF(AA$3="","",IF(COUNTIFS(Base!$A$3:$A$5001,AA$3,Base!$B$3:$B$5001,$A$99,Base!$X$3:$X$5001,"&lt;&gt;")=0,"",SUMIFS(Base!$X$3:$X$5001,Base!$A$3:$A$5001,AA$3,Base!$B$3:$B$5001,$A$99)))</f>
        <v/>
      </c>
      <c r="AB106" s="25" t="str">
        <f>IF(AB$3="","",IF(COUNTIFS(Base!$A$3:$A$5001,AB$3,Base!$B$3:$B$5001,$A$99,Base!$X$3:$X$5001,"&lt;&gt;")=0,"",SUMIFS(Base!$X$3:$X$5001,Base!$A$3:$A$5001,AB$3,Base!$B$3:$B$5001,$A$99)))</f>
        <v/>
      </c>
      <c r="AC106" s="25" t="str">
        <f>IF(AC$3="","",IF(COUNTIFS(Base!$A$3:$A$5001,AC$3,Base!$B$3:$B$5001,$A$99,Base!$X$3:$X$5001,"&lt;&gt;")=0,"",SUMIFS(Base!$X$3:$X$5001,Base!$A$3:$A$5001,AC$3,Base!$B$3:$B$5001,$A$99)))</f>
        <v/>
      </c>
      <c r="AD106" s="25" t="str">
        <f>IF(AD$3="","",IF(COUNTIFS(Base!$A$3:$A$5001,AD$3,Base!$B$3:$B$5001,$A$99,Base!$X$3:$X$5001,"&lt;&gt;")=0,"",SUMIFS(Base!$X$3:$X$5001,Base!$A$3:$A$5001,AD$3,Base!$B$3:$B$5001,$A$99)))</f>
        <v/>
      </c>
      <c r="AE106" s="25" t="str">
        <f>IF(AE$3="","",IF(COUNTIFS(Base!$A$3:$A$5001,AE$3,Base!$B$3:$B$5001,$A$99,Base!$X$3:$X$5001,"&lt;&gt;")=0,"",SUMIFS(Base!$X$3:$X$5001,Base!$A$3:$A$5001,AE$3,Base!$B$3:$B$5001,$A$99)))</f>
        <v/>
      </c>
      <c r="AF106" s="25" t="str">
        <f>IF(AF$3="","",IF(COUNTIFS(Base!$A$3:$A$5001,AF$3,Base!$B$3:$B$5001,$A$99,Base!$X$3:$X$5001,"&lt;&gt;")=0,"",SUMIFS(Base!$X$3:$X$5001,Base!$A$3:$A$5001,AF$3,Base!$B$3:$B$5001,$A$99)))</f>
        <v/>
      </c>
      <c r="AG106" s="25" t="str">
        <f>IF(AG$3="","",IF(COUNTIFS(Base!$A$3:$A$5001,AG$3,Base!$B$3:$B$5001,$A$99,Base!$X$3:$X$5001,"&lt;&gt;")=0,"",SUMIFS(Base!$X$3:$X$5001,Base!$A$3:$A$5001,AG$3,Base!$B$3:$B$5001,$A$99)))</f>
        <v/>
      </c>
      <c r="AH106" s="25" t="str">
        <f>IF(AH$3="","",IF(COUNTIFS(Base!$A$3:$A$5001,AH$3,Base!$B$3:$B$5001,$A$99,Base!$X$3:$X$5001,"&lt;&gt;")=0,"",SUMIFS(Base!$X$3:$X$5001,Base!$A$3:$A$5001,AH$3,Base!$B$3:$B$5001,$A$99)))</f>
        <v/>
      </c>
      <c r="AI106" s="25" t="str">
        <f>IF(AI$3="","",IF(COUNTIFS(Base!$A$3:$A$5001,AI$3,Base!$B$3:$B$5001,$A$99,Base!$X$3:$X$5001,"&lt;&gt;")=0,"",SUMIFS(Base!$X$3:$X$5001,Base!$A$3:$A$5001,AI$3,Base!$B$3:$B$5001,$A$99)))</f>
        <v/>
      </c>
      <c r="AJ106" s="26" t="str">
        <f>IF(AJ$3="","",IF(COUNTIFS(Base!$A$3:$A$5001,AJ$3,Base!$B$3:$B$5001,$A$99,Base!$X$3:$X$5001,"&lt;&gt;")=0,"",SUMIFS(Base!$X$3:$X$5001,Base!$A$3:$A$5001,AJ$3,Base!$B$3:$B$5001,$A$99)))</f>
        <v/>
      </c>
      <c r="AK106" s="27" t="str">
        <f>IFERROR(LOOKUP(9.99E+307,F106:AJ106),"")</f>
        <v/>
      </c>
    </row>
    <row r="107" ht="15.75" customHeight="1">
      <c r="A107" s="118"/>
      <c r="B107" s="106"/>
      <c r="C107" s="28" t="inlineStr">
        <is>
          <t xml:space="preserve">Posições Ocupadas</t>
        </is>
      </c>
      <c r="D107" s="29" t="str">
        <f>IFERROR(1/(1/INDEX(calculos!$C$55:$K$83,MATCH("Posições Ocupadas",calculos!$A$55:$A$83,0),MATCH($A$99,calculos!$C$54:$K$54,0))),"")</f>
        <v/>
      </c>
      <c r="E107" s="30"/>
      <c r="F107" s="31" t="str">
        <f>IF(F$3="","",IF(COUNTIFS(Base!$A$3:$A$5001,F$3,Base!$B$3:$B$5001,$A$99,Base!$Y$3:$Y$5001,"&lt;&gt;")=0,"",SUMIFS(Base!$Y$3:$Y$5001,Base!$A$3:$A$5001,F$3,Base!$B$3:$B$5001,$A$99)))</f>
        <v/>
      </c>
      <c r="G107" s="32" t="str">
        <f>IF(G$3="","",IF(COUNTIFS(Base!$A$3:$A$5001,G$3,Base!$B$3:$B$5001,$A$99,Base!$Y$3:$Y$5001,"&lt;&gt;")=0,"",SUMIFS(Base!$Y$3:$Y$5001,Base!$A$3:$A$5001,G$3,Base!$B$3:$B$5001,$A$99)))</f>
        <v/>
      </c>
      <c r="H107" s="32" t="str">
        <f>IF(H$3="","",IF(COUNTIFS(Base!$A$3:$A$5001,H$3,Base!$B$3:$B$5001,$A$99,Base!$Y$3:$Y$5001,"&lt;&gt;")=0,"",SUMIFS(Base!$Y$3:$Y$5001,Base!$A$3:$A$5001,H$3,Base!$B$3:$B$5001,$A$99)))</f>
        <v/>
      </c>
      <c r="I107" s="32" t="str">
        <f>IF(I$3="","",IF(COUNTIFS(Base!$A$3:$A$5001,I$3,Base!$B$3:$B$5001,$A$99,Base!$Y$3:$Y$5001,"&lt;&gt;")=0,"",SUMIFS(Base!$Y$3:$Y$5001,Base!$A$3:$A$5001,I$3,Base!$B$3:$B$5001,$A$99)))</f>
        <v/>
      </c>
      <c r="J107" s="32" t="str">
        <f>IF(J$3="","",IF(COUNTIFS(Base!$A$3:$A$5001,J$3,Base!$B$3:$B$5001,$A$99,Base!$Y$3:$Y$5001,"&lt;&gt;")=0,"",SUMIFS(Base!$Y$3:$Y$5001,Base!$A$3:$A$5001,J$3,Base!$B$3:$B$5001,$A$99)))</f>
        <v/>
      </c>
      <c r="K107" s="32" t="str">
        <f>IF(K$3="","",IF(COUNTIFS(Base!$A$3:$A$5001,K$3,Base!$B$3:$B$5001,$A$99,Base!$Y$3:$Y$5001,"&lt;&gt;")=0,"",SUMIFS(Base!$Y$3:$Y$5001,Base!$A$3:$A$5001,K$3,Base!$B$3:$B$5001,$A$99)))</f>
        <v/>
      </c>
      <c r="L107" s="32" t="str">
        <f>IF(L$3="","",IF(COUNTIFS(Base!$A$3:$A$5001,L$3,Base!$B$3:$B$5001,$A$99,Base!$Y$3:$Y$5001,"&lt;&gt;")=0,"",SUMIFS(Base!$Y$3:$Y$5001,Base!$A$3:$A$5001,L$3,Base!$B$3:$B$5001,$A$99)))</f>
        <v/>
      </c>
      <c r="M107" s="32" t="str">
        <f>IF(M$3="","",IF(COUNTIFS(Base!$A$3:$A$5001,M$3,Base!$B$3:$B$5001,$A$99,Base!$Y$3:$Y$5001,"&lt;&gt;")=0,"",SUMIFS(Base!$Y$3:$Y$5001,Base!$A$3:$A$5001,M$3,Base!$B$3:$B$5001,$A$99)))</f>
        <v/>
      </c>
      <c r="N107" s="32" t="str">
        <f>IF(N$3="","",IF(COUNTIFS(Base!$A$3:$A$5001,N$3,Base!$B$3:$B$5001,$A$99,Base!$Y$3:$Y$5001,"&lt;&gt;")=0,"",SUMIFS(Base!$Y$3:$Y$5001,Base!$A$3:$A$5001,N$3,Base!$B$3:$B$5001,$A$99)))</f>
        <v/>
      </c>
      <c r="O107" s="32" t="str">
        <f>IF(O$3="","",IF(COUNTIFS(Base!$A$3:$A$5001,O$3,Base!$B$3:$B$5001,$A$99,Base!$Y$3:$Y$5001,"&lt;&gt;")=0,"",SUMIFS(Base!$Y$3:$Y$5001,Base!$A$3:$A$5001,O$3,Base!$B$3:$B$5001,$A$99)))</f>
        <v/>
      </c>
      <c r="P107" s="32" t="str">
        <f>IF(P$3="","",IF(COUNTIFS(Base!$A$3:$A$5001,P$3,Base!$B$3:$B$5001,$A$99,Base!$Y$3:$Y$5001,"&lt;&gt;")=0,"",SUMIFS(Base!$Y$3:$Y$5001,Base!$A$3:$A$5001,P$3,Base!$B$3:$B$5001,$A$99)))</f>
        <v/>
      </c>
      <c r="Q107" s="32" t="str">
        <f>IF(Q$3="","",IF(COUNTIFS(Base!$A$3:$A$5001,Q$3,Base!$B$3:$B$5001,$A$99,Base!$Y$3:$Y$5001,"&lt;&gt;")=0,"",SUMIFS(Base!$Y$3:$Y$5001,Base!$A$3:$A$5001,Q$3,Base!$B$3:$B$5001,$A$99)))</f>
        <v/>
      </c>
      <c r="R107" s="32" t="str">
        <f>IF(R$3="","",IF(COUNTIFS(Base!$A$3:$A$5001,R$3,Base!$B$3:$B$5001,$A$99,Base!$Y$3:$Y$5001,"&lt;&gt;")=0,"",SUMIFS(Base!$Y$3:$Y$5001,Base!$A$3:$A$5001,R$3,Base!$B$3:$B$5001,$A$99)))</f>
        <v/>
      </c>
      <c r="S107" s="32" t="str">
        <f>IF(S$3="","",IF(COUNTIFS(Base!$A$3:$A$5001,S$3,Base!$B$3:$B$5001,$A$99,Base!$Y$3:$Y$5001,"&lt;&gt;")=0,"",SUMIFS(Base!$Y$3:$Y$5001,Base!$A$3:$A$5001,S$3,Base!$B$3:$B$5001,$A$99)))</f>
        <v/>
      </c>
      <c r="T107" s="32" t="str">
        <f>IF(T$3="","",IF(COUNTIFS(Base!$A$3:$A$5001,T$3,Base!$B$3:$B$5001,$A$99,Base!$Y$3:$Y$5001,"&lt;&gt;")=0,"",SUMIFS(Base!$Y$3:$Y$5001,Base!$A$3:$A$5001,T$3,Base!$B$3:$B$5001,$A$99)))</f>
        <v/>
      </c>
      <c r="U107" s="32" t="str">
        <f>IF(U$3="","",IF(COUNTIFS(Base!$A$3:$A$5001,U$3,Base!$B$3:$B$5001,$A$99,Base!$Y$3:$Y$5001,"&lt;&gt;")=0,"",SUMIFS(Base!$Y$3:$Y$5001,Base!$A$3:$A$5001,U$3,Base!$B$3:$B$5001,$A$99)))</f>
        <v/>
      </c>
      <c r="V107" s="32" t="str">
        <f>IF(V$3="","",IF(COUNTIFS(Base!$A$3:$A$5001,V$3,Base!$B$3:$B$5001,$A$99,Base!$Y$3:$Y$5001,"&lt;&gt;")=0,"",SUMIFS(Base!$Y$3:$Y$5001,Base!$A$3:$A$5001,V$3,Base!$B$3:$B$5001,$A$99)))</f>
        <v/>
      </c>
      <c r="W107" s="32" t="str">
        <f>IF(W$3="","",IF(COUNTIFS(Base!$A$3:$A$5001,W$3,Base!$B$3:$B$5001,$A$99,Base!$Y$3:$Y$5001,"&lt;&gt;")=0,"",SUMIFS(Base!$Y$3:$Y$5001,Base!$A$3:$A$5001,W$3,Base!$B$3:$B$5001,$A$99)))</f>
        <v/>
      </c>
      <c r="X107" s="32" t="str">
        <f>IF(X$3="","",IF(COUNTIFS(Base!$A$3:$A$5001,X$3,Base!$B$3:$B$5001,$A$99,Base!$Y$3:$Y$5001,"&lt;&gt;")=0,"",SUMIFS(Base!$Y$3:$Y$5001,Base!$A$3:$A$5001,X$3,Base!$B$3:$B$5001,$A$99)))</f>
        <v/>
      </c>
      <c r="Y107" s="32" t="str">
        <f>IF(Y$3="","",IF(COUNTIFS(Base!$A$3:$A$5001,Y$3,Base!$B$3:$B$5001,$A$99,Base!$Y$3:$Y$5001,"&lt;&gt;")=0,"",SUMIFS(Base!$Y$3:$Y$5001,Base!$A$3:$A$5001,Y$3,Base!$B$3:$B$5001,$A$99)))</f>
        <v/>
      </c>
      <c r="Z107" s="32" t="str">
        <f>IF(Z$3="","",IF(COUNTIFS(Base!$A$3:$A$5001,Z$3,Base!$B$3:$B$5001,$A$99,Base!$Y$3:$Y$5001,"&lt;&gt;")=0,"",SUMIFS(Base!$Y$3:$Y$5001,Base!$A$3:$A$5001,Z$3,Base!$B$3:$B$5001,$A$99)))</f>
        <v/>
      </c>
      <c r="AA107" s="32" t="str">
        <f>IF(AA$3="","",IF(COUNTIFS(Base!$A$3:$A$5001,AA$3,Base!$B$3:$B$5001,$A$99,Base!$Y$3:$Y$5001,"&lt;&gt;")=0,"",SUMIFS(Base!$Y$3:$Y$5001,Base!$A$3:$A$5001,AA$3,Base!$B$3:$B$5001,$A$99)))</f>
        <v/>
      </c>
      <c r="AB107" s="32" t="str">
        <f>IF(AB$3="","",IF(COUNTIFS(Base!$A$3:$A$5001,AB$3,Base!$B$3:$B$5001,$A$99,Base!$Y$3:$Y$5001,"&lt;&gt;")=0,"",SUMIFS(Base!$Y$3:$Y$5001,Base!$A$3:$A$5001,AB$3,Base!$B$3:$B$5001,$A$99)))</f>
        <v/>
      </c>
      <c r="AC107" s="32" t="str">
        <f>IF(AC$3="","",IF(COUNTIFS(Base!$A$3:$A$5001,AC$3,Base!$B$3:$B$5001,$A$99,Base!$Y$3:$Y$5001,"&lt;&gt;")=0,"",SUMIFS(Base!$Y$3:$Y$5001,Base!$A$3:$A$5001,AC$3,Base!$B$3:$B$5001,$A$99)))</f>
        <v/>
      </c>
      <c r="AD107" s="32" t="str">
        <f>IF(AD$3="","",IF(COUNTIFS(Base!$A$3:$A$5001,AD$3,Base!$B$3:$B$5001,$A$99,Base!$Y$3:$Y$5001,"&lt;&gt;")=0,"",SUMIFS(Base!$Y$3:$Y$5001,Base!$A$3:$A$5001,AD$3,Base!$B$3:$B$5001,$A$99)))</f>
        <v/>
      </c>
      <c r="AE107" s="32" t="str">
        <f>IF(AE$3="","",IF(COUNTIFS(Base!$A$3:$A$5001,AE$3,Base!$B$3:$B$5001,$A$99,Base!$Y$3:$Y$5001,"&lt;&gt;")=0,"",SUMIFS(Base!$Y$3:$Y$5001,Base!$A$3:$A$5001,AE$3,Base!$B$3:$B$5001,$A$99)))</f>
        <v/>
      </c>
      <c r="AF107" s="32" t="str">
        <f>IF(AF$3="","",IF(COUNTIFS(Base!$A$3:$A$5001,AF$3,Base!$B$3:$B$5001,$A$99,Base!$Y$3:$Y$5001,"&lt;&gt;")=0,"",SUMIFS(Base!$Y$3:$Y$5001,Base!$A$3:$A$5001,AF$3,Base!$B$3:$B$5001,$A$99)))</f>
        <v/>
      </c>
      <c r="AG107" s="32" t="str">
        <f>IF(AG$3="","",IF(COUNTIFS(Base!$A$3:$A$5001,AG$3,Base!$B$3:$B$5001,$A$99,Base!$Y$3:$Y$5001,"&lt;&gt;")=0,"",SUMIFS(Base!$Y$3:$Y$5001,Base!$A$3:$A$5001,AG$3,Base!$B$3:$B$5001,$A$99)))</f>
        <v/>
      </c>
      <c r="AH107" s="32" t="str">
        <f>IF(AH$3="","",IF(COUNTIFS(Base!$A$3:$A$5001,AH$3,Base!$B$3:$B$5001,$A$99,Base!$Y$3:$Y$5001,"&lt;&gt;")=0,"",SUMIFS(Base!$Y$3:$Y$5001,Base!$A$3:$A$5001,AH$3,Base!$B$3:$B$5001,$A$99)))</f>
        <v/>
      </c>
      <c r="AI107" s="32" t="str">
        <f>IF(AI$3="","",IF(COUNTIFS(Base!$A$3:$A$5001,AI$3,Base!$B$3:$B$5001,$A$99,Base!$Y$3:$Y$5001,"&lt;&gt;")=0,"",SUMIFS(Base!$Y$3:$Y$5001,Base!$A$3:$A$5001,AI$3,Base!$B$3:$B$5001,$A$99)))</f>
        <v/>
      </c>
      <c r="AJ107" s="33" t="str">
        <f>IF(AJ$3="","",IF(COUNTIFS(Base!$A$3:$A$5001,AJ$3,Base!$B$3:$B$5001,$A$99,Base!$Y$3:$Y$5001,"&lt;&gt;")=0,"",SUMIFS(Base!$Y$3:$Y$5001,Base!$A$3:$A$5001,AJ$3,Base!$B$3:$B$5001,$A$99)))</f>
        <v/>
      </c>
      <c r="AK107" s="34" t="str">
        <f>IFERROR(LOOKUP(9.99E+307,F107:AJ107),"")</f>
        <v/>
      </c>
    </row>
    <row r="108" ht="15.75" customHeight="1">
      <c r="A108" s="118"/>
      <c r="B108" s="107"/>
      <c r="C108" s="35" t="inlineStr">
        <is>
          <t xml:space="preserve">Taxa de Ocupação</t>
        </is>
      </c>
      <c r="D108" s="81" t="str">
        <f>IFERROR(1/(1/INDEX(calculos!$C$55:$K$83,MATCH("Taxa de Ocupação",calculos!$A$55:$A$83,0),MATCH($A$99,calculos!$C$54:$K$54,0))),"")</f>
        <v/>
      </c>
      <c r="E108" s="37"/>
      <c r="F108" s="82" t="str">
        <f>IF(AND(ISNUMBER(F106),ISNUMBER(F107)),IF(F106&gt;0,F107/F106,""),"")</f>
        <v/>
      </c>
      <c r="G108" s="83" t="str">
        <f>IF(AND(ISNUMBER(G106),ISNUMBER(G107)),IF(G106&gt;0,G107/G106,""),"")</f>
        <v/>
      </c>
      <c r="H108" s="83" t="str">
        <f>IF(AND(ISNUMBER(H106),ISNUMBER(H107)),IF(H106&gt;0,H107/H106,""),"")</f>
        <v/>
      </c>
      <c r="I108" s="83" t="str">
        <f>IF(AND(ISNUMBER(I106),ISNUMBER(I107)),IF(I106&gt;0,I107/I106,""),"")</f>
        <v/>
      </c>
      <c r="J108" s="83" t="str">
        <f>IF(AND(ISNUMBER(J106),ISNUMBER(J107)),IF(J106&gt;0,J107/J106,""),"")</f>
        <v/>
      </c>
      <c r="K108" s="83" t="str">
        <f>IF(AND(ISNUMBER(K106),ISNUMBER(K107)),IF(K106&gt;0,K107/K106,""),"")</f>
        <v/>
      </c>
      <c r="L108" s="83" t="str">
        <f>IF(AND(ISNUMBER(L106),ISNUMBER(L107)),IF(L106&gt;0,L107/L106,""),"")</f>
        <v/>
      </c>
      <c r="M108" s="83" t="str">
        <f>IF(AND(ISNUMBER(M106),ISNUMBER(M107)),IF(M106&gt;0,M107/M106,""),"")</f>
        <v/>
      </c>
      <c r="N108" s="83" t="str">
        <f>IF(AND(ISNUMBER(N106),ISNUMBER(N107)),IF(N106&gt;0,N107/N106,""),"")</f>
        <v/>
      </c>
      <c r="O108" s="83" t="str">
        <f>IF(AND(ISNUMBER(O106),ISNUMBER(O107)),IF(O106&gt;0,O107/O106,""),"")</f>
        <v/>
      </c>
      <c r="P108" s="83" t="str">
        <f>IF(AND(ISNUMBER(P106),ISNUMBER(P107)),IF(P106&gt;0,P107/P106,""),"")</f>
        <v/>
      </c>
      <c r="Q108" s="83" t="str">
        <f>IF(AND(ISNUMBER(Q106),ISNUMBER(Q107)),IF(Q106&gt;0,Q107/Q106,""),"")</f>
        <v/>
      </c>
      <c r="R108" s="83" t="str">
        <f>IF(AND(ISNUMBER(R106),ISNUMBER(R107)),IF(R106&gt;0,R107/R106,""),"")</f>
        <v/>
      </c>
      <c r="S108" s="83" t="str">
        <f>IF(AND(ISNUMBER(S106),ISNUMBER(S107)),IF(S106&gt;0,S107/S106,""),"")</f>
        <v/>
      </c>
      <c r="T108" s="83" t="str">
        <f>IF(AND(ISNUMBER(T106),ISNUMBER(T107)),IF(T106&gt;0,T107/T106,""),"")</f>
        <v/>
      </c>
      <c r="U108" s="83" t="str">
        <f>IF(AND(ISNUMBER(U106),ISNUMBER(U107)),IF(U106&gt;0,U107/U106,""),"")</f>
        <v/>
      </c>
      <c r="V108" s="83" t="str">
        <f>IF(AND(ISNUMBER(V106),ISNUMBER(V107)),IF(V106&gt;0,V107/V106,""),"")</f>
        <v/>
      </c>
      <c r="W108" s="83" t="str">
        <f>IF(AND(ISNUMBER(W106),ISNUMBER(W107)),IF(W106&gt;0,W107/W106,""),"")</f>
        <v/>
      </c>
      <c r="X108" s="83" t="str">
        <f>IF(AND(ISNUMBER(X106),ISNUMBER(X107)),IF(X106&gt;0,X107/X106,""),"")</f>
        <v/>
      </c>
      <c r="Y108" s="83" t="str">
        <f>IF(AND(ISNUMBER(Y106),ISNUMBER(Y107)),IF(Y106&gt;0,Y107/Y106,""),"")</f>
        <v/>
      </c>
      <c r="Z108" s="83" t="str">
        <f>IF(AND(ISNUMBER(Z106),ISNUMBER(Z107)),IF(Z106&gt;0,Z107/Z106,""),"")</f>
        <v/>
      </c>
      <c r="AA108" s="83" t="str">
        <f>IF(AND(ISNUMBER(AA106),ISNUMBER(AA107)),IF(AA106&gt;0,AA107/AA106,""),"")</f>
        <v/>
      </c>
      <c r="AB108" s="83" t="str">
        <f>IF(AND(ISNUMBER(AB106),ISNUMBER(AB107)),IF(AB106&gt;0,AB107/AB106,""),"")</f>
        <v/>
      </c>
      <c r="AC108" s="83" t="str">
        <f>IF(AND(ISNUMBER(AC106),ISNUMBER(AC107)),IF(AC106&gt;0,AC107/AC106,""),"")</f>
        <v/>
      </c>
      <c r="AD108" s="83" t="str">
        <f>IF(AND(ISNUMBER(AD106),ISNUMBER(AD107)),IF(AD106&gt;0,AD107/AD106,""),"")</f>
        <v/>
      </c>
      <c r="AE108" s="83" t="str">
        <f>IF(AND(ISNUMBER(AE106),ISNUMBER(AE107)),IF(AE106&gt;0,AE107/AE106,""),"")</f>
        <v/>
      </c>
      <c r="AF108" s="83" t="str">
        <f>IF(AND(ISNUMBER(AF106),ISNUMBER(AF107)),IF(AF106&gt;0,AF107/AF106,""),"")</f>
        <v/>
      </c>
      <c r="AG108" s="83" t="str">
        <f>IF(AND(ISNUMBER(AG106),ISNUMBER(AG107)),IF(AG106&gt;0,AG107/AG106,""),"")</f>
        <v/>
      </c>
      <c r="AH108" s="83" t="str">
        <f>IF(AND(ISNUMBER(AH106),ISNUMBER(AH107)),IF(AH106&gt;0,AH107/AH106,""),"")</f>
        <v/>
      </c>
      <c r="AI108" s="83" t="str">
        <f>IF(AND(ISNUMBER(AI106),ISNUMBER(AI107)),IF(AI106&gt;0,AI107/AI106,""),"")</f>
        <v/>
      </c>
      <c r="AJ108" s="84" t="str">
        <f>IF(AND(ISNUMBER(AJ106),ISNUMBER(AJ107)),IF(AJ106&gt;0,AJ107/AJ106,""),"")</f>
        <v/>
      </c>
      <c r="AK108" s="81" t="str">
        <f>IF(AND(ISNUMBER(AK106),ISNUMBER(AK107)),IF(AK106&gt;0,AK107/AK106,""),"")</f>
        <v/>
      </c>
    </row>
    <row r="109" ht="15.75" customHeight="1">
      <c r="A109" s="118"/>
      <c r="B109" s="114" t="inlineStr">
        <is>
          <t xml:space="preserve">GENTE</t>
        </is>
      </c>
      <c r="C109" s="85" t="inlineStr">
        <is>
          <t xml:space="preserve">Efetivo</t>
        </is>
      </c>
      <c r="D109" s="86" t="str">
        <f>IFERROR(1/(1/INDEX(calculos!$C$55:$K$83,MATCH("Efetivo",calculos!$A$55:$A$83,0),MATCH($A$99,calculos!$C$54:$K$54,0))),"")</f>
        <v/>
      </c>
      <c r="E109" s="87"/>
      <c r="F109" s="88" t="str">
        <f>IF(F$3="","",IF(COUNTIFS(Base!$A$3:$A$5001,F$3,Base!$B$3:$B$5001,$A$99,Base!$Z$3:$Z$5001,"&lt;&gt;")=0,"",SUMIFS(Base!$Z$3:$Z$5001,Base!$A$3:$A$5001,F$3,Base!$B$3:$B$5001,$A$99)))</f>
        <v/>
      </c>
      <c r="G109" s="89" t="str">
        <f>IF(G$3="","",IF(COUNTIFS(Base!$A$3:$A$5001,G$3,Base!$B$3:$B$5001,$A$99,Base!$Z$3:$Z$5001,"&lt;&gt;")=0,"",SUMIFS(Base!$Z$3:$Z$5001,Base!$A$3:$A$5001,G$3,Base!$B$3:$B$5001,$A$99)))</f>
        <v/>
      </c>
      <c r="H109" s="89" t="str">
        <f>IF(H$3="","",IF(COUNTIFS(Base!$A$3:$A$5001,H$3,Base!$B$3:$B$5001,$A$99,Base!$Z$3:$Z$5001,"&lt;&gt;")=0,"",SUMIFS(Base!$Z$3:$Z$5001,Base!$A$3:$A$5001,H$3,Base!$B$3:$B$5001,$A$99)))</f>
        <v/>
      </c>
      <c r="I109" s="89" t="str">
        <f>IF(I$3="","",IF(COUNTIFS(Base!$A$3:$A$5001,I$3,Base!$B$3:$B$5001,$A$99,Base!$Z$3:$Z$5001,"&lt;&gt;")=0,"",SUMIFS(Base!$Z$3:$Z$5001,Base!$A$3:$A$5001,I$3,Base!$B$3:$B$5001,$A$99)))</f>
        <v/>
      </c>
      <c r="J109" s="89" t="str">
        <f>IF(J$3="","",IF(COUNTIFS(Base!$A$3:$A$5001,J$3,Base!$B$3:$B$5001,$A$99,Base!$Z$3:$Z$5001,"&lt;&gt;")=0,"",SUMIFS(Base!$Z$3:$Z$5001,Base!$A$3:$A$5001,J$3,Base!$B$3:$B$5001,$A$99)))</f>
        <v/>
      </c>
      <c r="K109" s="89" t="str">
        <f>IF(K$3="","",IF(COUNTIFS(Base!$A$3:$A$5001,K$3,Base!$B$3:$B$5001,$A$99,Base!$Z$3:$Z$5001,"&lt;&gt;")=0,"",SUMIFS(Base!$Z$3:$Z$5001,Base!$A$3:$A$5001,K$3,Base!$B$3:$B$5001,$A$99)))</f>
        <v/>
      </c>
      <c r="L109" s="89" t="str">
        <f>IF(L$3="","",IF(COUNTIFS(Base!$A$3:$A$5001,L$3,Base!$B$3:$B$5001,$A$99,Base!$Z$3:$Z$5001,"&lt;&gt;")=0,"",SUMIFS(Base!$Z$3:$Z$5001,Base!$A$3:$A$5001,L$3,Base!$B$3:$B$5001,$A$99)))</f>
        <v/>
      </c>
      <c r="M109" s="89" t="str">
        <f>IF(M$3="","",IF(COUNTIFS(Base!$A$3:$A$5001,M$3,Base!$B$3:$B$5001,$A$99,Base!$Z$3:$Z$5001,"&lt;&gt;")=0,"",SUMIFS(Base!$Z$3:$Z$5001,Base!$A$3:$A$5001,M$3,Base!$B$3:$B$5001,$A$99)))</f>
        <v/>
      </c>
      <c r="N109" s="89" t="str">
        <f>IF(N$3="","",IF(COUNTIFS(Base!$A$3:$A$5001,N$3,Base!$B$3:$B$5001,$A$99,Base!$Z$3:$Z$5001,"&lt;&gt;")=0,"",SUMIFS(Base!$Z$3:$Z$5001,Base!$A$3:$A$5001,N$3,Base!$B$3:$B$5001,$A$99)))</f>
        <v/>
      </c>
      <c r="O109" s="89" t="str">
        <f>IF(O$3="","",IF(COUNTIFS(Base!$A$3:$A$5001,O$3,Base!$B$3:$B$5001,$A$99,Base!$Z$3:$Z$5001,"&lt;&gt;")=0,"",SUMIFS(Base!$Z$3:$Z$5001,Base!$A$3:$A$5001,O$3,Base!$B$3:$B$5001,$A$99)))</f>
        <v/>
      </c>
      <c r="P109" s="89" t="str">
        <f>IF(P$3="","",IF(COUNTIFS(Base!$A$3:$A$5001,P$3,Base!$B$3:$B$5001,$A$99,Base!$Z$3:$Z$5001,"&lt;&gt;")=0,"",SUMIFS(Base!$Z$3:$Z$5001,Base!$A$3:$A$5001,P$3,Base!$B$3:$B$5001,$A$99)))</f>
        <v/>
      </c>
      <c r="Q109" s="89" t="str">
        <f>IF(Q$3="","",IF(COUNTIFS(Base!$A$3:$A$5001,Q$3,Base!$B$3:$B$5001,$A$99,Base!$Z$3:$Z$5001,"&lt;&gt;")=0,"",SUMIFS(Base!$Z$3:$Z$5001,Base!$A$3:$A$5001,Q$3,Base!$B$3:$B$5001,$A$99)))</f>
        <v/>
      </c>
      <c r="R109" s="89" t="str">
        <f>IF(R$3="","",IF(COUNTIFS(Base!$A$3:$A$5001,R$3,Base!$B$3:$B$5001,$A$99,Base!$Z$3:$Z$5001,"&lt;&gt;")=0,"",SUMIFS(Base!$Z$3:$Z$5001,Base!$A$3:$A$5001,R$3,Base!$B$3:$B$5001,$A$99)))</f>
        <v/>
      </c>
      <c r="S109" s="89" t="str">
        <f>IF(S$3="","",IF(COUNTIFS(Base!$A$3:$A$5001,S$3,Base!$B$3:$B$5001,$A$99,Base!$Z$3:$Z$5001,"&lt;&gt;")=0,"",SUMIFS(Base!$Z$3:$Z$5001,Base!$A$3:$A$5001,S$3,Base!$B$3:$B$5001,$A$99)))</f>
        <v/>
      </c>
      <c r="T109" s="89" t="str">
        <f>IF(T$3="","",IF(COUNTIFS(Base!$A$3:$A$5001,T$3,Base!$B$3:$B$5001,$A$99,Base!$Z$3:$Z$5001,"&lt;&gt;")=0,"",SUMIFS(Base!$Z$3:$Z$5001,Base!$A$3:$A$5001,T$3,Base!$B$3:$B$5001,$A$99)))</f>
        <v/>
      </c>
      <c r="U109" s="89" t="str">
        <f>IF(U$3="","",IF(COUNTIFS(Base!$A$3:$A$5001,U$3,Base!$B$3:$B$5001,$A$99,Base!$Z$3:$Z$5001,"&lt;&gt;")=0,"",SUMIFS(Base!$Z$3:$Z$5001,Base!$A$3:$A$5001,U$3,Base!$B$3:$B$5001,$A$99)))</f>
        <v/>
      </c>
      <c r="V109" s="89" t="str">
        <f>IF(V$3="","",IF(COUNTIFS(Base!$A$3:$A$5001,V$3,Base!$B$3:$B$5001,$A$99,Base!$Z$3:$Z$5001,"&lt;&gt;")=0,"",SUMIFS(Base!$Z$3:$Z$5001,Base!$A$3:$A$5001,V$3,Base!$B$3:$B$5001,$A$99)))</f>
        <v/>
      </c>
      <c r="W109" s="89" t="str">
        <f>IF(W$3="","",IF(COUNTIFS(Base!$A$3:$A$5001,W$3,Base!$B$3:$B$5001,$A$99,Base!$Z$3:$Z$5001,"&lt;&gt;")=0,"",SUMIFS(Base!$Z$3:$Z$5001,Base!$A$3:$A$5001,W$3,Base!$B$3:$B$5001,$A$99)))</f>
        <v/>
      </c>
      <c r="X109" s="89" t="str">
        <f>IF(X$3="","",IF(COUNTIFS(Base!$A$3:$A$5001,X$3,Base!$B$3:$B$5001,$A$99,Base!$Z$3:$Z$5001,"&lt;&gt;")=0,"",SUMIFS(Base!$Z$3:$Z$5001,Base!$A$3:$A$5001,X$3,Base!$B$3:$B$5001,$A$99)))</f>
        <v/>
      </c>
      <c r="Y109" s="89" t="str">
        <f>IF(Y$3="","",IF(COUNTIFS(Base!$A$3:$A$5001,Y$3,Base!$B$3:$B$5001,$A$99,Base!$Z$3:$Z$5001,"&lt;&gt;")=0,"",SUMIFS(Base!$Z$3:$Z$5001,Base!$A$3:$A$5001,Y$3,Base!$B$3:$B$5001,$A$99)))</f>
        <v/>
      </c>
      <c r="Z109" s="89" t="str">
        <f>IF(Z$3="","",IF(COUNTIFS(Base!$A$3:$A$5001,Z$3,Base!$B$3:$B$5001,$A$99,Base!$Z$3:$Z$5001,"&lt;&gt;")=0,"",SUMIFS(Base!$Z$3:$Z$5001,Base!$A$3:$A$5001,Z$3,Base!$B$3:$B$5001,$A$99)))</f>
        <v/>
      </c>
      <c r="AA109" s="89" t="str">
        <f>IF(AA$3="","",IF(COUNTIFS(Base!$A$3:$A$5001,AA$3,Base!$B$3:$B$5001,$A$99,Base!$Z$3:$Z$5001,"&lt;&gt;")=0,"",SUMIFS(Base!$Z$3:$Z$5001,Base!$A$3:$A$5001,AA$3,Base!$B$3:$B$5001,$A$99)))</f>
        <v/>
      </c>
      <c r="AB109" s="89" t="str">
        <f>IF(AB$3="","",IF(COUNTIFS(Base!$A$3:$A$5001,AB$3,Base!$B$3:$B$5001,$A$99,Base!$Z$3:$Z$5001,"&lt;&gt;")=0,"",SUMIFS(Base!$Z$3:$Z$5001,Base!$A$3:$A$5001,AB$3,Base!$B$3:$B$5001,$A$99)))</f>
        <v/>
      </c>
      <c r="AC109" s="89" t="str">
        <f>IF(AC$3="","",IF(COUNTIFS(Base!$A$3:$A$5001,AC$3,Base!$B$3:$B$5001,$A$99,Base!$Z$3:$Z$5001,"&lt;&gt;")=0,"",SUMIFS(Base!$Z$3:$Z$5001,Base!$A$3:$A$5001,AC$3,Base!$B$3:$B$5001,$A$99)))</f>
        <v/>
      </c>
      <c r="AD109" s="89" t="str">
        <f>IF(AD$3="","",IF(COUNTIFS(Base!$A$3:$A$5001,AD$3,Base!$B$3:$B$5001,$A$99,Base!$Z$3:$Z$5001,"&lt;&gt;")=0,"",SUMIFS(Base!$Z$3:$Z$5001,Base!$A$3:$A$5001,AD$3,Base!$B$3:$B$5001,$A$99)))</f>
        <v/>
      </c>
      <c r="AE109" s="89" t="str">
        <f>IF(AE$3="","",IF(COUNTIFS(Base!$A$3:$A$5001,AE$3,Base!$B$3:$B$5001,$A$99,Base!$Z$3:$Z$5001,"&lt;&gt;")=0,"",SUMIFS(Base!$Z$3:$Z$5001,Base!$A$3:$A$5001,AE$3,Base!$B$3:$B$5001,$A$99)))</f>
        <v/>
      </c>
      <c r="AF109" s="89" t="str">
        <f>IF(AF$3="","",IF(COUNTIFS(Base!$A$3:$A$5001,AF$3,Base!$B$3:$B$5001,$A$99,Base!$Z$3:$Z$5001,"&lt;&gt;")=0,"",SUMIFS(Base!$Z$3:$Z$5001,Base!$A$3:$A$5001,AF$3,Base!$B$3:$B$5001,$A$99)))</f>
        <v/>
      </c>
      <c r="AG109" s="89" t="str">
        <f>IF(AG$3="","",IF(COUNTIFS(Base!$A$3:$A$5001,AG$3,Base!$B$3:$B$5001,$A$99,Base!$Z$3:$Z$5001,"&lt;&gt;")=0,"",SUMIFS(Base!$Z$3:$Z$5001,Base!$A$3:$A$5001,AG$3,Base!$B$3:$B$5001,$A$99)))</f>
        <v/>
      </c>
      <c r="AH109" s="89" t="str">
        <f>IF(AH$3="","",IF(COUNTIFS(Base!$A$3:$A$5001,AH$3,Base!$B$3:$B$5001,$A$99,Base!$Z$3:$Z$5001,"&lt;&gt;")=0,"",SUMIFS(Base!$Z$3:$Z$5001,Base!$A$3:$A$5001,AH$3,Base!$B$3:$B$5001,$A$99)))</f>
        <v/>
      </c>
      <c r="AI109" s="89" t="str">
        <f>IF(AI$3="","",IF(COUNTIFS(Base!$A$3:$A$5001,AI$3,Base!$B$3:$B$5001,$A$99,Base!$Z$3:$Z$5001,"&lt;&gt;")=0,"",SUMIFS(Base!$Z$3:$Z$5001,Base!$A$3:$A$5001,AI$3,Base!$B$3:$B$5001,$A$99)))</f>
        <v/>
      </c>
      <c r="AJ109" s="90" t="str">
        <f>IF(AJ$3="","",IF(COUNTIFS(Base!$A$3:$A$5001,AJ$3,Base!$B$3:$B$5001,$A$99,Base!$Z$3:$Z$5001,"&lt;&gt;")=0,"",SUMIFS(Base!$Z$3:$Z$5001,Base!$A$3:$A$5001,AJ$3,Base!$B$3:$B$5001,$A$99)))</f>
        <v/>
      </c>
      <c r="AK109" s="91" t="str">
        <f>IFERROR(LOOKUP(9.99E+307,F109:AJ109),"")</f>
        <v/>
      </c>
    </row>
    <row r="110" ht="15.75" customHeight="1">
      <c r="A110" s="118"/>
      <c r="B110" s="115"/>
      <c r="C110" s="92" t="inlineStr">
        <is>
          <t xml:space="preserve">Falta</t>
        </is>
      </c>
      <c r="D110" s="93" t="str">
        <f>IFERROR(1/(1/INDEX(calculos!$C$55:$K$83,MATCH("Falta",calculos!$A$55:$A$83,0),MATCH($A$99,calculos!$C$54:$K$54,0))),"")</f>
        <v/>
      </c>
      <c r="E110" s="94"/>
      <c r="F110" s="95" t="str">
        <f>IF(F$3="","",IF(COUNTIFS(Base!$A$3:$A$5001,F$3,Base!$B$3:$B$5001,$A$99,Base!$AA$3:$AA$5001,"&lt;&gt;")=0,"",SUMIFS(Base!$AA$3:$AA$5001,Base!$A$3:$A$5001,F$3,Base!$B$3:$B$5001,$A$99)))</f>
        <v/>
      </c>
      <c r="G110" s="96" t="str">
        <f>IF(G$3="","",IF(COUNTIFS(Base!$A$3:$A$5001,G$3,Base!$B$3:$B$5001,$A$99,Base!$AA$3:$AA$5001,"&lt;&gt;")=0,"",SUMIFS(Base!$AA$3:$AA$5001,Base!$A$3:$A$5001,G$3,Base!$B$3:$B$5001,$A$99)))</f>
        <v/>
      </c>
      <c r="H110" s="96" t="str">
        <f>IF(H$3="","",IF(COUNTIFS(Base!$A$3:$A$5001,H$3,Base!$B$3:$B$5001,$A$99,Base!$AA$3:$AA$5001,"&lt;&gt;")=0,"",SUMIFS(Base!$AA$3:$AA$5001,Base!$A$3:$A$5001,H$3,Base!$B$3:$B$5001,$A$99)))</f>
        <v/>
      </c>
      <c r="I110" s="96" t="str">
        <f>IF(I$3="","",IF(COUNTIFS(Base!$A$3:$A$5001,I$3,Base!$B$3:$B$5001,$A$99,Base!$AA$3:$AA$5001,"&lt;&gt;")=0,"",SUMIFS(Base!$AA$3:$AA$5001,Base!$A$3:$A$5001,I$3,Base!$B$3:$B$5001,$A$99)))</f>
        <v/>
      </c>
      <c r="J110" s="96" t="str">
        <f>IF(J$3="","",IF(COUNTIFS(Base!$A$3:$A$5001,J$3,Base!$B$3:$B$5001,$A$99,Base!$AA$3:$AA$5001,"&lt;&gt;")=0,"",SUMIFS(Base!$AA$3:$AA$5001,Base!$A$3:$A$5001,J$3,Base!$B$3:$B$5001,$A$99)))</f>
        <v/>
      </c>
      <c r="K110" s="96" t="str">
        <f>IF(K$3="","",IF(COUNTIFS(Base!$A$3:$A$5001,K$3,Base!$B$3:$B$5001,$A$99,Base!$AA$3:$AA$5001,"&lt;&gt;")=0,"",SUMIFS(Base!$AA$3:$AA$5001,Base!$A$3:$A$5001,K$3,Base!$B$3:$B$5001,$A$99)))</f>
        <v/>
      </c>
      <c r="L110" s="96" t="str">
        <f>IF(L$3="","",IF(COUNTIFS(Base!$A$3:$A$5001,L$3,Base!$B$3:$B$5001,$A$99,Base!$AA$3:$AA$5001,"&lt;&gt;")=0,"",SUMIFS(Base!$AA$3:$AA$5001,Base!$A$3:$A$5001,L$3,Base!$B$3:$B$5001,$A$99)))</f>
        <v/>
      </c>
      <c r="M110" s="96" t="str">
        <f>IF(M$3="","",IF(COUNTIFS(Base!$A$3:$A$5001,M$3,Base!$B$3:$B$5001,$A$99,Base!$AA$3:$AA$5001,"&lt;&gt;")=0,"",SUMIFS(Base!$AA$3:$AA$5001,Base!$A$3:$A$5001,M$3,Base!$B$3:$B$5001,$A$99)))</f>
        <v/>
      </c>
      <c r="N110" s="96" t="str">
        <f>IF(N$3="","",IF(COUNTIFS(Base!$A$3:$A$5001,N$3,Base!$B$3:$B$5001,$A$99,Base!$AA$3:$AA$5001,"&lt;&gt;")=0,"",SUMIFS(Base!$AA$3:$AA$5001,Base!$A$3:$A$5001,N$3,Base!$B$3:$B$5001,$A$99)))</f>
        <v/>
      </c>
      <c r="O110" s="96" t="str">
        <f>IF(O$3="","",IF(COUNTIFS(Base!$A$3:$A$5001,O$3,Base!$B$3:$B$5001,$A$99,Base!$AA$3:$AA$5001,"&lt;&gt;")=0,"",SUMIFS(Base!$AA$3:$AA$5001,Base!$A$3:$A$5001,O$3,Base!$B$3:$B$5001,$A$99)))</f>
        <v/>
      </c>
      <c r="P110" s="96" t="str">
        <f>IF(P$3="","",IF(COUNTIFS(Base!$A$3:$A$5001,P$3,Base!$B$3:$B$5001,$A$99,Base!$AA$3:$AA$5001,"&lt;&gt;")=0,"",SUMIFS(Base!$AA$3:$AA$5001,Base!$A$3:$A$5001,P$3,Base!$B$3:$B$5001,$A$99)))</f>
        <v/>
      </c>
      <c r="Q110" s="96" t="str">
        <f>IF(Q$3="","",IF(COUNTIFS(Base!$A$3:$A$5001,Q$3,Base!$B$3:$B$5001,$A$99,Base!$AA$3:$AA$5001,"&lt;&gt;")=0,"",SUMIFS(Base!$AA$3:$AA$5001,Base!$A$3:$A$5001,Q$3,Base!$B$3:$B$5001,$A$99)))</f>
        <v/>
      </c>
      <c r="R110" s="96" t="str">
        <f>IF(R$3="","",IF(COUNTIFS(Base!$A$3:$A$5001,R$3,Base!$B$3:$B$5001,$A$99,Base!$AA$3:$AA$5001,"&lt;&gt;")=0,"",SUMIFS(Base!$AA$3:$AA$5001,Base!$A$3:$A$5001,R$3,Base!$B$3:$B$5001,$A$99)))</f>
        <v/>
      </c>
      <c r="S110" s="96" t="str">
        <f>IF(S$3="","",IF(COUNTIFS(Base!$A$3:$A$5001,S$3,Base!$B$3:$B$5001,$A$99,Base!$AA$3:$AA$5001,"&lt;&gt;")=0,"",SUMIFS(Base!$AA$3:$AA$5001,Base!$A$3:$A$5001,S$3,Base!$B$3:$B$5001,$A$99)))</f>
        <v/>
      </c>
      <c r="T110" s="96" t="str">
        <f>IF(T$3="","",IF(COUNTIFS(Base!$A$3:$A$5001,T$3,Base!$B$3:$B$5001,$A$99,Base!$AA$3:$AA$5001,"&lt;&gt;")=0,"",SUMIFS(Base!$AA$3:$AA$5001,Base!$A$3:$A$5001,T$3,Base!$B$3:$B$5001,$A$99)))</f>
        <v/>
      </c>
      <c r="U110" s="96" t="str">
        <f>IF(U$3="","",IF(COUNTIFS(Base!$A$3:$A$5001,U$3,Base!$B$3:$B$5001,$A$99,Base!$AA$3:$AA$5001,"&lt;&gt;")=0,"",SUMIFS(Base!$AA$3:$AA$5001,Base!$A$3:$A$5001,U$3,Base!$B$3:$B$5001,$A$99)))</f>
        <v/>
      </c>
      <c r="V110" s="96" t="str">
        <f>IF(V$3="","",IF(COUNTIFS(Base!$A$3:$A$5001,V$3,Base!$B$3:$B$5001,$A$99,Base!$AA$3:$AA$5001,"&lt;&gt;")=0,"",SUMIFS(Base!$AA$3:$AA$5001,Base!$A$3:$A$5001,V$3,Base!$B$3:$B$5001,$A$99)))</f>
        <v/>
      </c>
      <c r="W110" s="96" t="str">
        <f>IF(W$3="","",IF(COUNTIFS(Base!$A$3:$A$5001,W$3,Base!$B$3:$B$5001,$A$99,Base!$AA$3:$AA$5001,"&lt;&gt;")=0,"",SUMIFS(Base!$AA$3:$AA$5001,Base!$A$3:$A$5001,W$3,Base!$B$3:$B$5001,$A$99)))</f>
        <v/>
      </c>
      <c r="X110" s="96" t="str">
        <f>IF(X$3="","",IF(COUNTIFS(Base!$A$3:$A$5001,X$3,Base!$B$3:$B$5001,$A$99,Base!$AA$3:$AA$5001,"&lt;&gt;")=0,"",SUMIFS(Base!$AA$3:$AA$5001,Base!$A$3:$A$5001,X$3,Base!$B$3:$B$5001,$A$99)))</f>
        <v/>
      </c>
      <c r="Y110" s="96" t="str">
        <f>IF(Y$3="","",IF(COUNTIFS(Base!$A$3:$A$5001,Y$3,Base!$B$3:$B$5001,$A$99,Base!$AA$3:$AA$5001,"&lt;&gt;")=0,"",SUMIFS(Base!$AA$3:$AA$5001,Base!$A$3:$A$5001,Y$3,Base!$B$3:$B$5001,$A$99)))</f>
        <v/>
      </c>
      <c r="Z110" s="96" t="str">
        <f>IF(Z$3="","",IF(COUNTIFS(Base!$A$3:$A$5001,Z$3,Base!$B$3:$B$5001,$A$99,Base!$AA$3:$AA$5001,"&lt;&gt;")=0,"",SUMIFS(Base!$AA$3:$AA$5001,Base!$A$3:$A$5001,Z$3,Base!$B$3:$B$5001,$A$99)))</f>
        <v/>
      </c>
      <c r="AA110" s="96" t="str">
        <f>IF(AA$3="","",IF(COUNTIFS(Base!$A$3:$A$5001,AA$3,Base!$B$3:$B$5001,$A$99,Base!$AA$3:$AA$5001,"&lt;&gt;")=0,"",SUMIFS(Base!$AA$3:$AA$5001,Base!$A$3:$A$5001,AA$3,Base!$B$3:$B$5001,$A$99)))</f>
        <v/>
      </c>
      <c r="AB110" s="96" t="str">
        <f>IF(AB$3="","",IF(COUNTIFS(Base!$A$3:$A$5001,AB$3,Base!$B$3:$B$5001,$A$99,Base!$AA$3:$AA$5001,"&lt;&gt;")=0,"",SUMIFS(Base!$AA$3:$AA$5001,Base!$A$3:$A$5001,AB$3,Base!$B$3:$B$5001,$A$99)))</f>
        <v/>
      </c>
      <c r="AC110" s="96" t="str">
        <f>IF(AC$3="","",IF(COUNTIFS(Base!$A$3:$A$5001,AC$3,Base!$B$3:$B$5001,$A$99,Base!$AA$3:$AA$5001,"&lt;&gt;")=0,"",SUMIFS(Base!$AA$3:$AA$5001,Base!$A$3:$A$5001,AC$3,Base!$B$3:$B$5001,$A$99)))</f>
        <v/>
      </c>
      <c r="AD110" s="96" t="str">
        <f>IF(AD$3="","",IF(COUNTIFS(Base!$A$3:$A$5001,AD$3,Base!$B$3:$B$5001,$A$99,Base!$AA$3:$AA$5001,"&lt;&gt;")=0,"",SUMIFS(Base!$AA$3:$AA$5001,Base!$A$3:$A$5001,AD$3,Base!$B$3:$B$5001,$A$99)))</f>
        <v/>
      </c>
      <c r="AE110" s="96" t="str">
        <f>IF(AE$3="","",IF(COUNTIFS(Base!$A$3:$A$5001,AE$3,Base!$B$3:$B$5001,$A$99,Base!$AA$3:$AA$5001,"&lt;&gt;")=0,"",SUMIFS(Base!$AA$3:$AA$5001,Base!$A$3:$A$5001,AE$3,Base!$B$3:$B$5001,$A$99)))</f>
        <v/>
      </c>
      <c r="AF110" s="96" t="str">
        <f>IF(AF$3="","",IF(COUNTIFS(Base!$A$3:$A$5001,AF$3,Base!$B$3:$B$5001,$A$99,Base!$AA$3:$AA$5001,"&lt;&gt;")=0,"",SUMIFS(Base!$AA$3:$AA$5001,Base!$A$3:$A$5001,AF$3,Base!$B$3:$B$5001,$A$99)))</f>
        <v/>
      </c>
      <c r="AG110" s="96" t="str">
        <f>IF(AG$3="","",IF(COUNTIFS(Base!$A$3:$A$5001,AG$3,Base!$B$3:$B$5001,$A$99,Base!$AA$3:$AA$5001,"&lt;&gt;")=0,"",SUMIFS(Base!$AA$3:$AA$5001,Base!$A$3:$A$5001,AG$3,Base!$B$3:$B$5001,$A$99)))</f>
        <v/>
      </c>
      <c r="AH110" s="96" t="str">
        <f>IF(AH$3="","",IF(COUNTIFS(Base!$A$3:$A$5001,AH$3,Base!$B$3:$B$5001,$A$99,Base!$AA$3:$AA$5001,"&lt;&gt;")=0,"",SUMIFS(Base!$AA$3:$AA$5001,Base!$A$3:$A$5001,AH$3,Base!$B$3:$B$5001,$A$99)))</f>
        <v/>
      </c>
      <c r="AI110" s="96" t="str">
        <f>IF(AI$3="","",IF(COUNTIFS(Base!$A$3:$A$5001,AI$3,Base!$B$3:$B$5001,$A$99,Base!$AA$3:$AA$5001,"&lt;&gt;")=0,"",SUMIFS(Base!$AA$3:$AA$5001,Base!$A$3:$A$5001,AI$3,Base!$B$3:$B$5001,$A$99)))</f>
        <v/>
      </c>
      <c r="AJ110" s="97" t="str">
        <f>IF(AJ$3="","",IF(COUNTIFS(Base!$A$3:$A$5001,AJ$3,Base!$B$3:$B$5001,$A$99,Base!$AA$3:$AA$5001,"&lt;&gt;")=0,"",SUMIFS(Base!$AA$3:$AA$5001,Base!$A$3:$A$5001,AJ$3,Base!$B$3:$B$5001,$A$99)))</f>
        <v/>
      </c>
      <c r="AK110" s="98" t="str">
        <f>IF(COUNT(F110:AJ110)=0,"",SUM(F110:AJ110))</f>
        <v/>
      </c>
    </row>
    <row r="111" ht="15.75" customHeight="1">
      <c r="A111" s="118"/>
      <c r="B111" s="115"/>
      <c r="C111" s="92" t="inlineStr">
        <is>
          <t xml:space="preserve">Folga</t>
        </is>
      </c>
      <c r="D111" s="93" t="str">
        <f>IFERROR(1/(1/INDEX(calculos!$C$55:$K$83,MATCH("Folga",calculos!$A$55:$A$83,0),MATCH($A$99,calculos!$C$54:$K$54,0))),"")</f>
        <v/>
      </c>
      <c r="E111" s="94"/>
      <c r="F111" s="95" t="str">
        <f>IF(F$3="","",IF(COUNTIFS(Base!$A$3:$A$5001,F$3,Base!$B$3:$B$5001,$A$99,Base!$AB$3:$AB$5001,"&lt;&gt;")=0,"",SUMIFS(Base!$AB$3:$AB$5001,Base!$A$3:$A$5001,F$3,Base!$B$3:$B$5001,$A$99)))</f>
        <v/>
      </c>
      <c r="G111" s="96" t="str">
        <f>IF(G$3="","",IF(COUNTIFS(Base!$A$3:$A$5001,G$3,Base!$B$3:$B$5001,$A$99,Base!$AB$3:$AB$5001,"&lt;&gt;")=0,"",SUMIFS(Base!$AB$3:$AB$5001,Base!$A$3:$A$5001,G$3,Base!$B$3:$B$5001,$A$99)))</f>
        <v/>
      </c>
      <c r="H111" s="96" t="str">
        <f>IF(H$3="","",IF(COUNTIFS(Base!$A$3:$A$5001,H$3,Base!$B$3:$B$5001,$A$99,Base!$AB$3:$AB$5001,"&lt;&gt;")=0,"",SUMIFS(Base!$AB$3:$AB$5001,Base!$A$3:$A$5001,H$3,Base!$B$3:$B$5001,$A$99)))</f>
        <v/>
      </c>
      <c r="I111" s="96" t="str">
        <f>IF(I$3="","",IF(COUNTIFS(Base!$A$3:$A$5001,I$3,Base!$B$3:$B$5001,$A$99,Base!$AB$3:$AB$5001,"&lt;&gt;")=0,"",SUMIFS(Base!$AB$3:$AB$5001,Base!$A$3:$A$5001,I$3,Base!$B$3:$B$5001,$A$99)))</f>
        <v/>
      </c>
      <c r="J111" s="96" t="str">
        <f>IF(J$3="","",IF(COUNTIFS(Base!$A$3:$A$5001,J$3,Base!$B$3:$B$5001,$A$99,Base!$AB$3:$AB$5001,"&lt;&gt;")=0,"",SUMIFS(Base!$AB$3:$AB$5001,Base!$A$3:$A$5001,J$3,Base!$B$3:$B$5001,$A$99)))</f>
        <v/>
      </c>
      <c r="K111" s="96" t="str">
        <f>IF(K$3="","",IF(COUNTIFS(Base!$A$3:$A$5001,K$3,Base!$B$3:$B$5001,$A$99,Base!$AB$3:$AB$5001,"&lt;&gt;")=0,"",SUMIFS(Base!$AB$3:$AB$5001,Base!$A$3:$A$5001,K$3,Base!$B$3:$B$5001,$A$99)))</f>
        <v/>
      </c>
      <c r="L111" s="96" t="str">
        <f>IF(L$3="","",IF(COUNTIFS(Base!$A$3:$A$5001,L$3,Base!$B$3:$B$5001,$A$99,Base!$AB$3:$AB$5001,"&lt;&gt;")=0,"",SUMIFS(Base!$AB$3:$AB$5001,Base!$A$3:$A$5001,L$3,Base!$B$3:$B$5001,$A$99)))</f>
        <v/>
      </c>
      <c r="M111" s="96" t="str">
        <f>IF(M$3="","",IF(COUNTIFS(Base!$A$3:$A$5001,M$3,Base!$B$3:$B$5001,$A$99,Base!$AB$3:$AB$5001,"&lt;&gt;")=0,"",SUMIFS(Base!$AB$3:$AB$5001,Base!$A$3:$A$5001,M$3,Base!$B$3:$B$5001,$A$99)))</f>
        <v/>
      </c>
      <c r="N111" s="96" t="str">
        <f>IF(N$3="","",IF(COUNTIFS(Base!$A$3:$A$5001,N$3,Base!$B$3:$B$5001,$A$99,Base!$AB$3:$AB$5001,"&lt;&gt;")=0,"",SUMIFS(Base!$AB$3:$AB$5001,Base!$A$3:$A$5001,N$3,Base!$B$3:$B$5001,$A$99)))</f>
        <v/>
      </c>
      <c r="O111" s="96" t="str">
        <f>IF(O$3="","",IF(COUNTIFS(Base!$A$3:$A$5001,O$3,Base!$B$3:$B$5001,$A$99,Base!$AB$3:$AB$5001,"&lt;&gt;")=0,"",SUMIFS(Base!$AB$3:$AB$5001,Base!$A$3:$A$5001,O$3,Base!$B$3:$B$5001,$A$99)))</f>
        <v/>
      </c>
      <c r="P111" s="96" t="str">
        <f>IF(P$3="","",IF(COUNTIFS(Base!$A$3:$A$5001,P$3,Base!$B$3:$B$5001,$A$99,Base!$AB$3:$AB$5001,"&lt;&gt;")=0,"",SUMIFS(Base!$AB$3:$AB$5001,Base!$A$3:$A$5001,P$3,Base!$B$3:$B$5001,$A$99)))</f>
        <v/>
      </c>
      <c r="Q111" s="96" t="str">
        <f>IF(Q$3="","",IF(COUNTIFS(Base!$A$3:$A$5001,Q$3,Base!$B$3:$B$5001,$A$99,Base!$AB$3:$AB$5001,"&lt;&gt;")=0,"",SUMIFS(Base!$AB$3:$AB$5001,Base!$A$3:$A$5001,Q$3,Base!$B$3:$B$5001,$A$99)))</f>
        <v/>
      </c>
      <c r="R111" s="96" t="str">
        <f>IF(R$3="","",IF(COUNTIFS(Base!$A$3:$A$5001,R$3,Base!$B$3:$B$5001,$A$99,Base!$AB$3:$AB$5001,"&lt;&gt;")=0,"",SUMIFS(Base!$AB$3:$AB$5001,Base!$A$3:$A$5001,R$3,Base!$B$3:$B$5001,$A$99)))</f>
        <v/>
      </c>
      <c r="S111" s="96" t="str">
        <f>IF(S$3="","",IF(COUNTIFS(Base!$A$3:$A$5001,S$3,Base!$B$3:$B$5001,$A$99,Base!$AB$3:$AB$5001,"&lt;&gt;")=0,"",SUMIFS(Base!$AB$3:$AB$5001,Base!$A$3:$A$5001,S$3,Base!$B$3:$B$5001,$A$99)))</f>
        <v/>
      </c>
      <c r="T111" s="96" t="str">
        <f>IF(T$3="","",IF(COUNTIFS(Base!$A$3:$A$5001,T$3,Base!$B$3:$B$5001,$A$99,Base!$AB$3:$AB$5001,"&lt;&gt;")=0,"",SUMIFS(Base!$AB$3:$AB$5001,Base!$A$3:$A$5001,T$3,Base!$B$3:$B$5001,$A$99)))</f>
        <v/>
      </c>
      <c r="U111" s="96" t="str">
        <f>IF(U$3="","",IF(COUNTIFS(Base!$A$3:$A$5001,U$3,Base!$B$3:$B$5001,$A$99,Base!$AB$3:$AB$5001,"&lt;&gt;")=0,"",SUMIFS(Base!$AB$3:$AB$5001,Base!$A$3:$A$5001,U$3,Base!$B$3:$B$5001,$A$99)))</f>
        <v/>
      </c>
      <c r="V111" s="96" t="str">
        <f>IF(V$3="","",IF(COUNTIFS(Base!$A$3:$A$5001,V$3,Base!$B$3:$B$5001,$A$99,Base!$AB$3:$AB$5001,"&lt;&gt;")=0,"",SUMIFS(Base!$AB$3:$AB$5001,Base!$A$3:$A$5001,V$3,Base!$B$3:$B$5001,$A$99)))</f>
        <v/>
      </c>
      <c r="W111" s="96" t="str">
        <f>IF(W$3="","",IF(COUNTIFS(Base!$A$3:$A$5001,W$3,Base!$B$3:$B$5001,$A$99,Base!$AB$3:$AB$5001,"&lt;&gt;")=0,"",SUMIFS(Base!$AB$3:$AB$5001,Base!$A$3:$A$5001,W$3,Base!$B$3:$B$5001,$A$99)))</f>
        <v/>
      </c>
      <c r="X111" s="96" t="str">
        <f>IF(X$3="","",IF(COUNTIFS(Base!$A$3:$A$5001,X$3,Base!$B$3:$B$5001,$A$99,Base!$AB$3:$AB$5001,"&lt;&gt;")=0,"",SUMIFS(Base!$AB$3:$AB$5001,Base!$A$3:$A$5001,X$3,Base!$B$3:$B$5001,$A$99)))</f>
        <v/>
      </c>
      <c r="Y111" s="96" t="str">
        <f>IF(Y$3="","",IF(COUNTIFS(Base!$A$3:$A$5001,Y$3,Base!$B$3:$B$5001,$A$99,Base!$AB$3:$AB$5001,"&lt;&gt;")=0,"",SUMIFS(Base!$AB$3:$AB$5001,Base!$A$3:$A$5001,Y$3,Base!$B$3:$B$5001,$A$99)))</f>
        <v/>
      </c>
      <c r="Z111" s="96" t="str">
        <f>IF(Z$3="","",IF(COUNTIFS(Base!$A$3:$A$5001,Z$3,Base!$B$3:$B$5001,$A$99,Base!$AB$3:$AB$5001,"&lt;&gt;")=0,"",SUMIFS(Base!$AB$3:$AB$5001,Base!$A$3:$A$5001,Z$3,Base!$B$3:$B$5001,$A$99)))</f>
        <v/>
      </c>
      <c r="AA111" s="96" t="str">
        <f>IF(AA$3="","",IF(COUNTIFS(Base!$A$3:$A$5001,AA$3,Base!$B$3:$B$5001,$A$99,Base!$AB$3:$AB$5001,"&lt;&gt;")=0,"",SUMIFS(Base!$AB$3:$AB$5001,Base!$A$3:$A$5001,AA$3,Base!$B$3:$B$5001,$A$99)))</f>
        <v/>
      </c>
      <c r="AB111" s="96" t="str">
        <f>IF(AB$3="","",IF(COUNTIFS(Base!$A$3:$A$5001,AB$3,Base!$B$3:$B$5001,$A$99,Base!$AB$3:$AB$5001,"&lt;&gt;")=0,"",SUMIFS(Base!$AB$3:$AB$5001,Base!$A$3:$A$5001,AB$3,Base!$B$3:$B$5001,$A$99)))</f>
        <v/>
      </c>
      <c r="AC111" s="96" t="str">
        <f>IF(AC$3="","",IF(COUNTIFS(Base!$A$3:$A$5001,AC$3,Base!$B$3:$B$5001,$A$99,Base!$AB$3:$AB$5001,"&lt;&gt;")=0,"",SUMIFS(Base!$AB$3:$AB$5001,Base!$A$3:$A$5001,AC$3,Base!$B$3:$B$5001,$A$99)))</f>
        <v/>
      </c>
      <c r="AD111" s="96" t="str">
        <f>IF(AD$3="","",IF(COUNTIFS(Base!$A$3:$A$5001,AD$3,Base!$B$3:$B$5001,$A$99,Base!$AB$3:$AB$5001,"&lt;&gt;")=0,"",SUMIFS(Base!$AB$3:$AB$5001,Base!$A$3:$A$5001,AD$3,Base!$B$3:$B$5001,$A$99)))</f>
        <v/>
      </c>
      <c r="AE111" s="96" t="str">
        <f>IF(AE$3="","",IF(COUNTIFS(Base!$A$3:$A$5001,AE$3,Base!$B$3:$B$5001,$A$99,Base!$AB$3:$AB$5001,"&lt;&gt;")=0,"",SUMIFS(Base!$AB$3:$AB$5001,Base!$A$3:$A$5001,AE$3,Base!$B$3:$B$5001,$A$99)))</f>
        <v/>
      </c>
      <c r="AF111" s="96" t="str">
        <f>IF(AF$3="","",IF(COUNTIFS(Base!$A$3:$A$5001,AF$3,Base!$B$3:$B$5001,$A$99,Base!$AB$3:$AB$5001,"&lt;&gt;")=0,"",SUMIFS(Base!$AB$3:$AB$5001,Base!$A$3:$A$5001,AF$3,Base!$B$3:$B$5001,$A$99)))</f>
        <v/>
      </c>
      <c r="AG111" s="96" t="str">
        <f>IF(AG$3="","",IF(COUNTIFS(Base!$A$3:$A$5001,AG$3,Base!$B$3:$B$5001,$A$99,Base!$AB$3:$AB$5001,"&lt;&gt;")=0,"",SUMIFS(Base!$AB$3:$AB$5001,Base!$A$3:$A$5001,AG$3,Base!$B$3:$B$5001,$A$99)))</f>
        <v/>
      </c>
      <c r="AH111" s="96" t="str">
        <f>IF(AH$3="","",IF(COUNTIFS(Base!$A$3:$A$5001,AH$3,Base!$B$3:$B$5001,$A$99,Base!$AB$3:$AB$5001,"&lt;&gt;")=0,"",SUMIFS(Base!$AB$3:$AB$5001,Base!$A$3:$A$5001,AH$3,Base!$B$3:$B$5001,$A$99)))</f>
        <v/>
      </c>
      <c r="AI111" s="96" t="str">
        <f>IF(AI$3="","",IF(COUNTIFS(Base!$A$3:$A$5001,AI$3,Base!$B$3:$B$5001,$A$99,Base!$AB$3:$AB$5001,"&lt;&gt;")=0,"",SUMIFS(Base!$AB$3:$AB$5001,Base!$A$3:$A$5001,AI$3,Base!$B$3:$B$5001,$A$99)))</f>
        <v/>
      </c>
      <c r="AJ111" s="97" t="str">
        <f>IF(AJ$3="","",IF(COUNTIFS(Base!$A$3:$A$5001,AJ$3,Base!$B$3:$B$5001,$A$99,Base!$AB$3:$AB$5001,"&lt;&gt;")=0,"",SUMIFS(Base!$AB$3:$AB$5001,Base!$A$3:$A$5001,AJ$3,Base!$B$3:$B$5001,$A$99)))</f>
        <v/>
      </c>
      <c r="AK111" s="98" t="str">
        <f>IF(COUNT(F111:AJ111)=0,"",SUM(F111:AJ111))</f>
        <v/>
      </c>
    </row>
    <row r="112" ht="15.75" customHeight="1">
      <c r="A112" s="118"/>
      <c r="B112" s="115"/>
      <c r="C112" s="92" t="inlineStr">
        <is>
          <t xml:space="preserve">Férias</t>
        </is>
      </c>
      <c r="D112" s="93" t="str">
        <f>IFERROR(1/(1/INDEX(calculos!$C$55:$K$83,MATCH("Férias",calculos!$A$55:$A$83,0),MATCH($A$99,calculos!$C$54:$K$54,0))),"")</f>
        <v/>
      </c>
      <c r="E112" s="94"/>
      <c r="F112" s="95" t="str">
        <f>IF(F$3="","",IF(COUNTIFS(Base!$A$3:$A$5001,F$3,Base!$B$3:$B$5001,$A$99,Base!$AC$3:$AC$5001,"&lt;&gt;")=0,"",SUMIFS(Base!$AC$3:$AC$5001,Base!$A$3:$A$5001,F$3,Base!$B$3:$B$5001,$A$99)))</f>
        <v/>
      </c>
      <c r="G112" s="96" t="str">
        <f>IF(G$3="","",IF(COUNTIFS(Base!$A$3:$A$5001,G$3,Base!$B$3:$B$5001,$A$99,Base!$AC$3:$AC$5001,"&lt;&gt;")=0,"",SUMIFS(Base!$AC$3:$AC$5001,Base!$A$3:$A$5001,G$3,Base!$B$3:$B$5001,$A$99)))</f>
        <v/>
      </c>
      <c r="H112" s="96" t="str">
        <f>IF(H$3="","",IF(COUNTIFS(Base!$A$3:$A$5001,H$3,Base!$B$3:$B$5001,$A$99,Base!$AC$3:$AC$5001,"&lt;&gt;")=0,"",SUMIFS(Base!$AC$3:$AC$5001,Base!$A$3:$A$5001,H$3,Base!$B$3:$B$5001,$A$99)))</f>
        <v/>
      </c>
      <c r="I112" s="96" t="str">
        <f>IF(I$3="","",IF(COUNTIFS(Base!$A$3:$A$5001,I$3,Base!$B$3:$B$5001,$A$99,Base!$AC$3:$AC$5001,"&lt;&gt;")=0,"",SUMIFS(Base!$AC$3:$AC$5001,Base!$A$3:$A$5001,I$3,Base!$B$3:$B$5001,$A$99)))</f>
        <v/>
      </c>
      <c r="J112" s="96" t="str">
        <f>IF(J$3="","",IF(COUNTIFS(Base!$A$3:$A$5001,J$3,Base!$B$3:$B$5001,$A$99,Base!$AC$3:$AC$5001,"&lt;&gt;")=0,"",SUMIFS(Base!$AC$3:$AC$5001,Base!$A$3:$A$5001,J$3,Base!$B$3:$B$5001,$A$99)))</f>
        <v/>
      </c>
      <c r="K112" s="96" t="str">
        <f>IF(K$3="","",IF(COUNTIFS(Base!$A$3:$A$5001,K$3,Base!$B$3:$B$5001,$A$99,Base!$AC$3:$AC$5001,"&lt;&gt;")=0,"",SUMIFS(Base!$AC$3:$AC$5001,Base!$A$3:$A$5001,K$3,Base!$B$3:$B$5001,$A$99)))</f>
        <v/>
      </c>
      <c r="L112" s="96" t="str">
        <f>IF(L$3="","",IF(COUNTIFS(Base!$A$3:$A$5001,L$3,Base!$B$3:$B$5001,$A$99,Base!$AC$3:$AC$5001,"&lt;&gt;")=0,"",SUMIFS(Base!$AC$3:$AC$5001,Base!$A$3:$A$5001,L$3,Base!$B$3:$B$5001,$A$99)))</f>
        <v/>
      </c>
      <c r="M112" s="96" t="str">
        <f>IF(M$3="","",IF(COUNTIFS(Base!$A$3:$A$5001,M$3,Base!$B$3:$B$5001,$A$99,Base!$AC$3:$AC$5001,"&lt;&gt;")=0,"",SUMIFS(Base!$AC$3:$AC$5001,Base!$A$3:$A$5001,M$3,Base!$B$3:$B$5001,$A$99)))</f>
        <v/>
      </c>
      <c r="N112" s="96" t="str">
        <f>IF(N$3="","",IF(COUNTIFS(Base!$A$3:$A$5001,N$3,Base!$B$3:$B$5001,$A$99,Base!$AC$3:$AC$5001,"&lt;&gt;")=0,"",SUMIFS(Base!$AC$3:$AC$5001,Base!$A$3:$A$5001,N$3,Base!$B$3:$B$5001,$A$99)))</f>
        <v/>
      </c>
      <c r="O112" s="96" t="str">
        <f>IF(O$3="","",IF(COUNTIFS(Base!$A$3:$A$5001,O$3,Base!$B$3:$B$5001,$A$99,Base!$AC$3:$AC$5001,"&lt;&gt;")=0,"",SUMIFS(Base!$AC$3:$AC$5001,Base!$A$3:$A$5001,O$3,Base!$B$3:$B$5001,$A$99)))</f>
        <v/>
      </c>
      <c r="P112" s="96" t="str">
        <f>IF(P$3="","",IF(COUNTIFS(Base!$A$3:$A$5001,P$3,Base!$B$3:$B$5001,$A$99,Base!$AC$3:$AC$5001,"&lt;&gt;")=0,"",SUMIFS(Base!$AC$3:$AC$5001,Base!$A$3:$A$5001,P$3,Base!$B$3:$B$5001,$A$99)))</f>
        <v/>
      </c>
      <c r="Q112" s="96" t="str">
        <f>IF(Q$3="","",IF(COUNTIFS(Base!$A$3:$A$5001,Q$3,Base!$B$3:$B$5001,$A$99,Base!$AC$3:$AC$5001,"&lt;&gt;")=0,"",SUMIFS(Base!$AC$3:$AC$5001,Base!$A$3:$A$5001,Q$3,Base!$B$3:$B$5001,$A$99)))</f>
        <v/>
      </c>
      <c r="R112" s="96" t="str">
        <f>IF(R$3="","",IF(COUNTIFS(Base!$A$3:$A$5001,R$3,Base!$B$3:$B$5001,$A$99,Base!$AC$3:$AC$5001,"&lt;&gt;")=0,"",SUMIFS(Base!$AC$3:$AC$5001,Base!$A$3:$A$5001,R$3,Base!$B$3:$B$5001,$A$99)))</f>
        <v/>
      </c>
      <c r="S112" s="96" t="str">
        <f>IF(S$3="","",IF(COUNTIFS(Base!$A$3:$A$5001,S$3,Base!$B$3:$B$5001,$A$99,Base!$AC$3:$AC$5001,"&lt;&gt;")=0,"",SUMIFS(Base!$AC$3:$AC$5001,Base!$A$3:$A$5001,S$3,Base!$B$3:$B$5001,$A$99)))</f>
        <v/>
      </c>
      <c r="T112" s="96" t="str">
        <f>IF(T$3="","",IF(COUNTIFS(Base!$A$3:$A$5001,T$3,Base!$B$3:$B$5001,$A$99,Base!$AC$3:$AC$5001,"&lt;&gt;")=0,"",SUMIFS(Base!$AC$3:$AC$5001,Base!$A$3:$A$5001,T$3,Base!$B$3:$B$5001,$A$99)))</f>
        <v/>
      </c>
      <c r="U112" s="96" t="str">
        <f>IF(U$3="","",IF(COUNTIFS(Base!$A$3:$A$5001,U$3,Base!$B$3:$B$5001,$A$99,Base!$AC$3:$AC$5001,"&lt;&gt;")=0,"",SUMIFS(Base!$AC$3:$AC$5001,Base!$A$3:$A$5001,U$3,Base!$B$3:$B$5001,$A$99)))</f>
        <v/>
      </c>
      <c r="V112" s="96" t="str">
        <f>IF(V$3="","",IF(COUNTIFS(Base!$A$3:$A$5001,V$3,Base!$B$3:$B$5001,$A$99,Base!$AC$3:$AC$5001,"&lt;&gt;")=0,"",SUMIFS(Base!$AC$3:$AC$5001,Base!$A$3:$A$5001,V$3,Base!$B$3:$B$5001,$A$99)))</f>
        <v/>
      </c>
      <c r="W112" s="96" t="str">
        <f>IF(W$3="","",IF(COUNTIFS(Base!$A$3:$A$5001,W$3,Base!$B$3:$B$5001,$A$99,Base!$AC$3:$AC$5001,"&lt;&gt;")=0,"",SUMIFS(Base!$AC$3:$AC$5001,Base!$A$3:$A$5001,W$3,Base!$B$3:$B$5001,$A$99)))</f>
        <v/>
      </c>
      <c r="X112" s="96" t="str">
        <f>IF(X$3="","",IF(COUNTIFS(Base!$A$3:$A$5001,X$3,Base!$B$3:$B$5001,$A$99,Base!$AC$3:$AC$5001,"&lt;&gt;")=0,"",SUMIFS(Base!$AC$3:$AC$5001,Base!$A$3:$A$5001,X$3,Base!$B$3:$B$5001,$A$99)))</f>
        <v/>
      </c>
      <c r="Y112" s="96" t="str">
        <f>IF(Y$3="","",IF(COUNTIFS(Base!$A$3:$A$5001,Y$3,Base!$B$3:$B$5001,$A$99,Base!$AC$3:$AC$5001,"&lt;&gt;")=0,"",SUMIFS(Base!$AC$3:$AC$5001,Base!$A$3:$A$5001,Y$3,Base!$B$3:$B$5001,$A$99)))</f>
        <v/>
      </c>
      <c r="Z112" s="96" t="str">
        <f>IF(Z$3="","",IF(COUNTIFS(Base!$A$3:$A$5001,Z$3,Base!$B$3:$B$5001,$A$99,Base!$AC$3:$AC$5001,"&lt;&gt;")=0,"",SUMIFS(Base!$AC$3:$AC$5001,Base!$A$3:$A$5001,Z$3,Base!$B$3:$B$5001,$A$99)))</f>
        <v/>
      </c>
      <c r="AA112" s="96" t="str">
        <f>IF(AA$3="","",IF(COUNTIFS(Base!$A$3:$A$5001,AA$3,Base!$B$3:$B$5001,$A$99,Base!$AC$3:$AC$5001,"&lt;&gt;")=0,"",SUMIFS(Base!$AC$3:$AC$5001,Base!$A$3:$A$5001,AA$3,Base!$B$3:$B$5001,$A$99)))</f>
        <v/>
      </c>
      <c r="AB112" s="96" t="str">
        <f>IF(AB$3="","",IF(COUNTIFS(Base!$A$3:$A$5001,AB$3,Base!$B$3:$B$5001,$A$99,Base!$AC$3:$AC$5001,"&lt;&gt;")=0,"",SUMIFS(Base!$AC$3:$AC$5001,Base!$A$3:$A$5001,AB$3,Base!$B$3:$B$5001,$A$99)))</f>
        <v/>
      </c>
      <c r="AC112" s="96" t="str">
        <f>IF(AC$3="","",IF(COUNTIFS(Base!$A$3:$A$5001,AC$3,Base!$B$3:$B$5001,$A$99,Base!$AC$3:$AC$5001,"&lt;&gt;")=0,"",SUMIFS(Base!$AC$3:$AC$5001,Base!$A$3:$A$5001,AC$3,Base!$B$3:$B$5001,$A$99)))</f>
        <v/>
      </c>
      <c r="AD112" s="96" t="str">
        <f>IF(AD$3="","",IF(COUNTIFS(Base!$A$3:$A$5001,AD$3,Base!$B$3:$B$5001,$A$99,Base!$AC$3:$AC$5001,"&lt;&gt;")=0,"",SUMIFS(Base!$AC$3:$AC$5001,Base!$A$3:$A$5001,AD$3,Base!$B$3:$B$5001,$A$99)))</f>
        <v/>
      </c>
      <c r="AE112" s="96" t="str">
        <f>IF(AE$3="","",IF(COUNTIFS(Base!$A$3:$A$5001,AE$3,Base!$B$3:$B$5001,$A$99,Base!$AC$3:$AC$5001,"&lt;&gt;")=0,"",SUMIFS(Base!$AC$3:$AC$5001,Base!$A$3:$A$5001,AE$3,Base!$B$3:$B$5001,$A$99)))</f>
        <v/>
      </c>
      <c r="AF112" s="96" t="str">
        <f>IF(AF$3="","",IF(COUNTIFS(Base!$A$3:$A$5001,AF$3,Base!$B$3:$B$5001,$A$99,Base!$AC$3:$AC$5001,"&lt;&gt;")=0,"",SUMIFS(Base!$AC$3:$AC$5001,Base!$A$3:$A$5001,AF$3,Base!$B$3:$B$5001,$A$99)))</f>
        <v/>
      </c>
      <c r="AG112" s="96" t="str">
        <f>IF(AG$3="","",IF(COUNTIFS(Base!$A$3:$A$5001,AG$3,Base!$B$3:$B$5001,$A$99,Base!$AC$3:$AC$5001,"&lt;&gt;")=0,"",SUMIFS(Base!$AC$3:$AC$5001,Base!$A$3:$A$5001,AG$3,Base!$B$3:$B$5001,$A$99)))</f>
        <v/>
      </c>
      <c r="AH112" s="96" t="str">
        <f>IF(AH$3="","",IF(COUNTIFS(Base!$A$3:$A$5001,AH$3,Base!$B$3:$B$5001,$A$99,Base!$AC$3:$AC$5001,"&lt;&gt;")=0,"",SUMIFS(Base!$AC$3:$AC$5001,Base!$A$3:$A$5001,AH$3,Base!$B$3:$B$5001,$A$99)))</f>
        <v/>
      </c>
      <c r="AI112" s="96" t="str">
        <f>IF(AI$3="","",IF(COUNTIFS(Base!$A$3:$A$5001,AI$3,Base!$B$3:$B$5001,$A$99,Base!$AC$3:$AC$5001,"&lt;&gt;")=0,"",SUMIFS(Base!$AC$3:$AC$5001,Base!$A$3:$A$5001,AI$3,Base!$B$3:$B$5001,$A$99)))</f>
        <v/>
      </c>
      <c r="AJ112" s="97" t="str">
        <f>IF(AJ$3="","",IF(COUNTIFS(Base!$A$3:$A$5001,AJ$3,Base!$B$3:$B$5001,$A$99,Base!$AC$3:$AC$5001,"&lt;&gt;")=0,"",SUMIFS(Base!$AC$3:$AC$5001,Base!$A$3:$A$5001,AJ$3,Base!$B$3:$B$5001,$A$99)))</f>
        <v/>
      </c>
      <c r="AK112" s="98" t="str">
        <f>IF(COUNT(F112:AJ112)=0,"",SUM(F112:AJ112))</f>
        <v/>
      </c>
    </row>
    <row r="113" ht="15.75" customHeight="1">
      <c r="A113" s="119"/>
      <c r="B113" s="116"/>
      <c r="C113" s="99" t="inlineStr">
        <is>
          <t xml:space="preserve">Desligamentos</t>
        </is>
      </c>
      <c r="D113" s="100" t="str">
        <f>IFERROR(1/(1/INDEX(calculos!$C$55:$K$83,MATCH("Desligamentos",calculos!$A$55:$A$83,0),MATCH($A$99,calculos!$C$54:$K$54,0))),"")</f>
        <v/>
      </c>
      <c r="E113" s="101"/>
      <c r="F113" s="102" t="str">
        <f>IF(F$3="","",IF(COUNTIFS(Base!$A$3:$A$5001,F$3,Base!$B$3:$B$5001,$A$99,Base!$AD$3:$AD$5001,"&lt;&gt;")=0,"",SUMIFS(Base!$AD$3:$AD$5001,Base!$A$3:$A$5001,F$3,Base!$B$3:$B$5001,$A$99)))</f>
        <v/>
      </c>
      <c r="G113" s="103" t="str">
        <f>IF(G$3="","",IF(COUNTIFS(Base!$A$3:$A$5001,G$3,Base!$B$3:$B$5001,$A$99,Base!$AD$3:$AD$5001,"&lt;&gt;")=0,"",SUMIFS(Base!$AD$3:$AD$5001,Base!$A$3:$A$5001,G$3,Base!$B$3:$B$5001,$A$99)))</f>
        <v/>
      </c>
      <c r="H113" s="103" t="str">
        <f>IF(H$3="","",IF(COUNTIFS(Base!$A$3:$A$5001,H$3,Base!$B$3:$B$5001,$A$99,Base!$AD$3:$AD$5001,"&lt;&gt;")=0,"",SUMIFS(Base!$AD$3:$AD$5001,Base!$A$3:$A$5001,H$3,Base!$B$3:$B$5001,$A$99)))</f>
        <v/>
      </c>
      <c r="I113" s="103" t="str">
        <f>IF(I$3="","",IF(COUNTIFS(Base!$A$3:$A$5001,I$3,Base!$B$3:$B$5001,$A$99,Base!$AD$3:$AD$5001,"&lt;&gt;")=0,"",SUMIFS(Base!$AD$3:$AD$5001,Base!$A$3:$A$5001,I$3,Base!$B$3:$B$5001,$A$99)))</f>
        <v/>
      </c>
      <c r="J113" s="103" t="str">
        <f>IF(J$3="","",IF(COUNTIFS(Base!$A$3:$A$5001,J$3,Base!$B$3:$B$5001,$A$99,Base!$AD$3:$AD$5001,"&lt;&gt;")=0,"",SUMIFS(Base!$AD$3:$AD$5001,Base!$A$3:$A$5001,J$3,Base!$B$3:$B$5001,$A$99)))</f>
        <v/>
      </c>
      <c r="K113" s="103" t="str">
        <f>IF(K$3="","",IF(COUNTIFS(Base!$A$3:$A$5001,K$3,Base!$B$3:$B$5001,$A$99,Base!$AD$3:$AD$5001,"&lt;&gt;")=0,"",SUMIFS(Base!$AD$3:$AD$5001,Base!$A$3:$A$5001,K$3,Base!$B$3:$B$5001,$A$99)))</f>
        <v/>
      </c>
      <c r="L113" s="103" t="str">
        <f>IF(L$3="","",IF(COUNTIFS(Base!$A$3:$A$5001,L$3,Base!$B$3:$B$5001,$A$99,Base!$AD$3:$AD$5001,"&lt;&gt;")=0,"",SUMIFS(Base!$AD$3:$AD$5001,Base!$A$3:$A$5001,L$3,Base!$B$3:$B$5001,$A$99)))</f>
        <v/>
      </c>
      <c r="M113" s="103" t="str">
        <f>IF(M$3="","",IF(COUNTIFS(Base!$A$3:$A$5001,M$3,Base!$B$3:$B$5001,$A$99,Base!$AD$3:$AD$5001,"&lt;&gt;")=0,"",SUMIFS(Base!$AD$3:$AD$5001,Base!$A$3:$A$5001,M$3,Base!$B$3:$B$5001,$A$99)))</f>
        <v/>
      </c>
      <c r="N113" s="103" t="str">
        <f>IF(N$3="","",IF(COUNTIFS(Base!$A$3:$A$5001,N$3,Base!$B$3:$B$5001,$A$99,Base!$AD$3:$AD$5001,"&lt;&gt;")=0,"",SUMIFS(Base!$AD$3:$AD$5001,Base!$A$3:$A$5001,N$3,Base!$B$3:$B$5001,$A$99)))</f>
        <v/>
      </c>
      <c r="O113" s="103" t="str">
        <f>IF(O$3="","",IF(COUNTIFS(Base!$A$3:$A$5001,O$3,Base!$B$3:$B$5001,$A$99,Base!$AD$3:$AD$5001,"&lt;&gt;")=0,"",SUMIFS(Base!$AD$3:$AD$5001,Base!$A$3:$A$5001,O$3,Base!$B$3:$B$5001,$A$99)))</f>
        <v/>
      </c>
      <c r="P113" s="103" t="str">
        <f>IF(P$3="","",IF(COUNTIFS(Base!$A$3:$A$5001,P$3,Base!$B$3:$B$5001,$A$99,Base!$AD$3:$AD$5001,"&lt;&gt;")=0,"",SUMIFS(Base!$AD$3:$AD$5001,Base!$A$3:$A$5001,P$3,Base!$B$3:$B$5001,$A$99)))</f>
        <v/>
      </c>
      <c r="Q113" s="103" t="str">
        <f>IF(Q$3="","",IF(COUNTIFS(Base!$A$3:$A$5001,Q$3,Base!$B$3:$B$5001,$A$99,Base!$AD$3:$AD$5001,"&lt;&gt;")=0,"",SUMIFS(Base!$AD$3:$AD$5001,Base!$A$3:$A$5001,Q$3,Base!$B$3:$B$5001,$A$99)))</f>
        <v/>
      </c>
      <c r="R113" s="103" t="str">
        <f>IF(R$3="","",IF(COUNTIFS(Base!$A$3:$A$5001,R$3,Base!$B$3:$B$5001,$A$99,Base!$AD$3:$AD$5001,"&lt;&gt;")=0,"",SUMIFS(Base!$AD$3:$AD$5001,Base!$A$3:$A$5001,R$3,Base!$B$3:$B$5001,$A$99)))</f>
        <v/>
      </c>
      <c r="S113" s="103" t="str">
        <f>IF(S$3="","",IF(COUNTIFS(Base!$A$3:$A$5001,S$3,Base!$B$3:$B$5001,$A$99,Base!$AD$3:$AD$5001,"&lt;&gt;")=0,"",SUMIFS(Base!$AD$3:$AD$5001,Base!$A$3:$A$5001,S$3,Base!$B$3:$B$5001,$A$99)))</f>
        <v/>
      </c>
      <c r="T113" s="103" t="str">
        <f>IF(T$3="","",IF(COUNTIFS(Base!$A$3:$A$5001,T$3,Base!$B$3:$B$5001,$A$99,Base!$AD$3:$AD$5001,"&lt;&gt;")=0,"",SUMIFS(Base!$AD$3:$AD$5001,Base!$A$3:$A$5001,T$3,Base!$B$3:$B$5001,$A$99)))</f>
        <v/>
      </c>
      <c r="U113" s="103" t="str">
        <f>IF(U$3="","",IF(COUNTIFS(Base!$A$3:$A$5001,U$3,Base!$B$3:$B$5001,$A$99,Base!$AD$3:$AD$5001,"&lt;&gt;")=0,"",SUMIFS(Base!$AD$3:$AD$5001,Base!$A$3:$A$5001,U$3,Base!$B$3:$B$5001,$A$99)))</f>
        <v/>
      </c>
      <c r="V113" s="103" t="str">
        <f>IF(V$3="","",IF(COUNTIFS(Base!$A$3:$A$5001,V$3,Base!$B$3:$B$5001,$A$99,Base!$AD$3:$AD$5001,"&lt;&gt;")=0,"",SUMIFS(Base!$AD$3:$AD$5001,Base!$A$3:$A$5001,V$3,Base!$B$3:$B$5001,$A$99)))</f>
        <v/>
      </c>
      <c r="W113" s="103" t="str">
        <f>IF(W$3="","",IF(COUNTIFS(Base!$A$3:$A$5001,W$3,Base!$B$3:$B$5001,$A$99,Base!$AD$3:$AD$5001,"&lt;&gt;")=0,"",SUMIFS(Base!$AD$3:$AD$5001,Base!$A$3:$A$5001,W$3,Base!$B$3:$B$5001,$A$99)))</f>
        <v/>
      </c>
      <c r="X113" s="103" t="str">
        <f>IF(X$3="","",IF(COUNTIFS(Base!$A$3:$A$5001,X$3,Base!$B$3:$B$5001,$A$99,Base!$AD$3:$AD$5001,"&lt;&gt;")=0,"",SUMIFS(Base!$AD$3:$AD$5001,Base!$A$3:$A$5001,X$3,Base!$B$3:$B$5001,$A$99)))</f>
        <v/>
      </c>
      <c r="Y113" s="103" t="str">
        <f>IF(Y$3="","",IF(COUNTIFS(Base!$A$3:$A$5001,Y$3,Base!$B$3:$B$5001,$A$99,Base!$AD$3:$AD$5001,"&lt;&gt;")=0,"",SUMIFS(Base!$AD$3:$AD$5001,Base!$A$3:$A$5001,Y$3,Base!$B$3:$B$5001,$A$99)))</f>
        <v/>
      </c>
      <c r="Z113" s="103" t="str">
        <f>IF(Z$3="","",IF(COUNTIFS(Base!$A$3:$A$5001,Z$3,Base!$B$3:$B$5001,$A$99,Base!$AD$3:$AD$5001,"&lt;&gt;")=0,"",SUMIFS(Base!$AD$3:$AD$5001,Base!$A$3:$A$5001,Z$3,Base!$B$3:$B$5001,$A$99)))</f>
        <v/>
      </c>
      <c r="AA113" s="103" t="str">
        <f>IF(AA$3="","",IF(COUNTIFS(Base!$A$3:$A$5001,AA$3,Base!$B$3:$B$5001,$A$99,Base!$AD$3:$AD$5001,"&lt;&gt;")=0,"",SUMIFS(Base!$AD$3:$AD$5001,Base!$A$3:$A$5001,AA$3,Base!$B$3:$B$5001,$A$99)))</f>
        <v/>
      </c>
      <c r="AB113" s="103" t="str">
        <f>IF(AB$3="","",IF(COUNTIFS(Base!$A$3:$A$5001,AB$3,Base!$B$3:$B$5001,$A$99,Base!$AD$3:$AD$5001,"&lt;&gt;")=0,"",SUMIFS(Base!$AD$3:$AD$5001,Base!$A$3:$A$5001,AB$3,Base!$B$3:$B$5001,$A$99)))</f>
        <v/>
      </c>
      <c r="AC113" s="103" t="str">
        <f>IF(AC$3="","",IF(COUNTIFS(Base!$A$3:$A$5001,AC$3,Base!$B$3:$B$5001,$A$99,Base!$AD$3:$AD$5001,"&lt;&gt;")=0,"",SUMIFS(Base!$AD$3:$AD$5001,Base!$A$3:$A$5001,AC$3,Base!$B$3:$B$5001,$A$99)))</f>
        <v/>
      </c>
      <c r="AD113" s="103" t="str">
        <f>IF(AD$3="","",IF(COUNTIFS(Base!$A$3:$A$5001,AD$3,Base!$B$3:$B$5001,$A$99,Base!$AD$3:$AD$5001,"&lt;&gt;")=0,"",SUMIFS(Base!$AD$3:$AD$5001,Base!$A$3:$A$5001,AD$3,Base!$B$3:$B$5001,$A$99)))</f>
        <v/>
      </c>
      <c r="AE113" s="103" t="str">
        <f>IF(AE$3="","",IF(COUNTIFS(Base!$A$3:$A$5001,AE$3,Base!$B$3:$B$5001,$A$99,Base!$AD$3:$AD$5001,"&lt;&gt;")=0,"",SUMIFS(Base!$AD$3:$AD$5001,Base!$A$3:$A$5001,AE$3,Base!$B$3:$B$5001,$A$99)))</f>
        <v/>
      </c>
      <c r="AF113" s="103" t="str">
        <f>IF(AF$3="","",IF(COUNTIFS(Base!$A$3:$A$5001,AF$3,Base!$B$3:$B$5001,$A$99,Base!$AD$3:$AD$5001,"&lt;&gt;")=0,"",SUMIFS(Base!$AD$3:$AD$5001,Base!$A$3:$A$5001,AF$3,Base!$B$3:$B$5001,$A$99)))</f>
        <v/>
      </c>
      <c r="AG113" s="103" t="str">
        <f>IF(AG$3="","",IF(COUNTIFS(Base!$A$3:$A$5001,AG$3,Base!$B$3:$B$5001,$A$99,Base!$AD$3:$AD$5001,"&lt;&gt;")=0,"",SUMIFS(Base!$AD$3:$AD$5001,Base!$A$3:$A$5001,AG$3,Base!$B$3:$B$5001,$A$99)))</f>
        <v/>
      </c>
      <c r="AH113" s="103" t="str">
        <f>IF(AH$3="","",IF(COUNTIFS(Base!$A$3:$A$5001,AH$3,Base!$B$3:$B$5001,$A$99,Base!$AD$3:$AD$5001,"&lt;&gt;")=0,"",SUMIFS(Base!$AD$3:$AD$5001,Base!$A$3:$A$5001,AH$3,Base!$B$3:$B$5001,$A$99)))</f>
        <v/>
      </c>
      <c r="AI113" s="103" t="str">
        <f>IF(AI$3="","",IF(COUNTIFS(Base!$A$3:$A$5001,AI$3,Base!$B$3:$B$5001,$A$99,Base!$AD$3:$AD$5001,"&lt;&gt;")=0,"",SUMIFS(Base!$AD$3:$AD$5001,Base!$A$3:$A$5001,AI$3,Base!$B$3:$B$5001,$A$99)))</f>
        <v/>
      </c>
      <c r="AJ113" s="104" t="str">
        <f>IF(AJ$3="","",IF(COUNTIFS(Base!$A$3:$A$5001,AJ$3,Base!$B$3:$B$5001,$A$99,Base!$AD$3:$AD$5001,"&lt;&gt;")=0,"",SUMIFS(Base!$AD$3:$AD$5001,Base!$A$3:$A$5001,AJ$3,Base!$B$3:$B$5001,$A$99)))</f>
        <v/>
      </c>
      <c r="AK113" s="100" t="str">
        <f>IF(COUNT(F113:AJ113)=0,"",SUM(F113:AJ113))</f>
        <v/>
      </c>
    </row>
    <row r="115" ht="15.75" customHeight="1">
      <c r="A115" s="117" t="inlineStr">
        <is>
          <t xml:space="preserve">VEDACIT</t>
        </is>
      </c>
      <c r="B115" s="105" t="inlineStr">
        <is>
          <t xml:space="preserve">IN</t>
        </is>
      </c>
      <c r="C115" s="21" t="inlineStr">
        <is>
          <t xml:space="preserve">Veículos Recebidos</t>
        </is>
      </c>
      <c r="D115" s="22" t="str">
        <f>IFERROR(1/(1/INDEX(calculos!$C$55:$K$83,MATCH("IN Veículos Recebidos",calculos!$A$55:$A$83,0),MATCH($A$115,calculos!$C$54:$K$54,0))),"")</f>
        <v/>
      </c>
      <c r="E115" s="23"/>
      <c r="F115" s="24" t="str">
        <f>IF(F$3="","",IF(COUNTIFS(Base!$A$3:$A$5001,F$3,Base!$B$3:$B$5001,$A$115,Base!$C$3:$C$5001,"&lt;&gt;")=0,"",SUMIFS(Base!$C$3:$C$5001,Base!$A$3:$A$5001,F$3,Base!$B$3:$B$5001,$A$115)))</f>
        <v/>
      </c>
      <c r="G115" s="25" t="str">
        <f>IF(G$3="","",IF(COUNTIFS(Base!$A$3:$A$5001,G$3,Base!$B$3:$B$5001,$A$115,Base!$C$3:$C$5001,"&lt;&gt;")=0,"",SUMIFS(Base!$C$3:$C$5001,Base!$A$3:$A$5001,G$3,Base!$B$3:$B$5001,$A$115)))</f>
        <v/>
      </c>
      <c r="H115" s="25" t="str">
        <f>IF(H$3="","",IF(COUNTIFS(Base!$A$3:$A$5001,H$3,Base!$B$3:$B$5001,$A$115,Base!$C$3:$C$5001,"&lt;&gt;")=0,"",SUMIFS(Base!$C$3:$C$5001,Base!$A$3:$A$5001,H$3,Base!$B$3:$B$5001,$A$115)))</f>
        <v/>
      </c>
      <c r="I115" s="25" t="str">
        <f>IF(I$3="","",IF(COUNTIFS(Base!$A$3:$A$5001,I$3,Base!$B$3:$B$5001,$A$115,Base!$C$3:$C$5001,"&lt;&gt;")=0,"",SUMIFS(Base!$C$3:$C$5001,Base!$A$3:$A$5001,I$3,Base!$B$3:$B$5001,$A$115)))</f>
        <v/>
      </c>
      <c r="J115" s="25" t="str">
        <f>IF(J$3="","",IF(COUNTIFS(Base!$A$3:$A$5001,J$3,Base!$B$3:$B$5001,$A$115,Base!$C$3:$C$5001,"&lt;&gt;")=0,"",SUMIFS(Base!$C$3:$C$5001,Base!$A$3:$A$5001,J$3,Base!$B$3:$B$5001,$A$115)))</f>
        <v/>
      </c>
      <c r="K115" s="25" t="str">
        <f>IF(K$3="","",IF(COUNTIFS(Base!$A$3:$A$5001,K$3,Base!$B$3:$B$5001,$A$115,Base!$C$3:$C$5001,"&lt;&gt;")=0,"",SUMIFS(Base!$C$3:$C$5001,Base!$A$3:$A$5001,K$3,Base!$B$3:$B$5001,$A$115)))</f>
        <v/>
      </c>
      <c r="L115" s="25" t="str">
        <f>IF(L$3="","",IF(COUNTIFS(Base!$A$3:$A$5001,L$3,Base!$B$3:$B$5001,$A$115,Base!$C$3:$C$5001,"&lt;&gt;")=0,"",SUMIFS(Base!$C$3:$C$5001,Base!$A$3:$A$5001,L$3,Base!$B$3:$B$5001,$A$115)))</f>
        <v/>
      </c>
      <c r="M115" s="25" t="str">
        <f>IF(M$3="","",IF(COUNTIFS(Base!$A$3:$A$5001,M$3,Base!$B$3:$B$5001,$A$115,Base!$C$3:$C$5001,"&lt;&gt;")=0,"",SUMIFS(Base!$C$3:$C$5001,Base!$A$3:$A$5001,M$3,Base!$B$3:$B$5001,$A$115)))</f>
        <v/>
      </c>
      <c r="N115" s="25" t="str">
        <f>IF(N$3="","",IF(COUNTIFS(Base!$A$3:$A$5001,N$3,Base!$B$3:$B$5001,$A$115,Base!$C$3:$C$5001,"&lt;&gt;")=0,"",SUMIFS(Base!$C$3:$C$5001,Base!$A$3:$A$5001,N$3,Base!$B$3:$B$5001,$A$115)))</f>
        <v/>
      </c>
      <c r="O115" s="25" t="str">
        <f>IF(O$3="","",IF(COUNTIFS(Base!$A$3:$A$5001,O$3,Base!$B$3:$B$5001,$A$115,Base!$C$3:$C$5001,"&lt;&gt;")=0,"",SUMIFS(Base!$C$3:$C$5001,Base!$A$3:$A$5001,O$3,Base!$B$3:$B$5001,$A$115)))</f>
        <v/>
      </c>
      <c r="P115" s="25" t="str">
        <f>IF(P$3="","",IF(COUNTIFS(Base!$A$3:$A$5001,P$3,Base!$B$3:$B$5001,$A$115,Base!$C$3:$C$5001,"&lt;&gt;")=0,"",SUMIFS(Base!$C$3:$C$5001,Base!$A$3:$A$5001,P$3,Base!$B$3:$B$5001,$A$115)))</f>
        <v/>
      </c>
      <c r="Q115" s="25" t="str">
        <f>IF(Q$3="","",IF(COUNTIFS(Base!$A$3:$A$5001,Q$3,Base!$B$3:$B$5001,$A$115,Base!$C$3:$C$5001,"&lt;&gt;")=0,"",SUMIFS(Base!$C$3:$C$5001,Base!$A$3:$A$5001,Q$3,Base!$B$3:$B$5001,$A$115)))</f>
        <v/>
      </c>
      <c r="R115" s="25" t="str">
        <f>IF(R$3="","",IF(COUNTIFS(Base!$A$3:$A$5001,R$3,Base!$B$3:$B$5001,$A$115,Base!$C$3:$C$5001,"&lt;&gt;")=0,"",SUMIFS(Base!$C$3:$C$5001,Base!$A$3:$A$5001,R$3,Base!$B$3:$B$5001,$A$115)))</f>
        <v/>
      </c>
      <c r="S115" s="25" t="str">
        <f>IF(S$3="","",IF(COUNTIFS(Base!$A$3:$A$5001,S$3,Base!$B$3:$B$5001,$A$115,Base!$C$3:$C$5001,"&lt;&gt;")=0,"",SUMIFS(Base!$C$3:$C$5001,Base!$A$3:$A$5001,S$3,Base!$B$3:$B$5001,$A$115)))</f>
        <v/>
      </c>
      <c r="T115" s="25" t="str">
        <f>IF(T$3="","",IF(COUNTIFS(Base!$A$3:$A$5001,T$3,Base!$B$3:$B$5001,$A$115,Base!$C$3:$C$5001,"&lt;&gt;")=0,"",SUMIFS(Base!$C$3:$C$5001,Base!$A$3:$A$5001,T$3,Base!$B$3:$B$5001,$A$115)))</f>
        <v/>
      </c>
      <c r="U115" s="25" t="str">
        <f>IF(U$3="","",IF(COUNTIFS(Base!$A$3:$A$5001,U$3,Base!$B$3:$B$5001,$A$115,Base!$C$3:$C$5001,"&lt;&gt;")=0,"",SUMIFS(Base!$C$3:$C$5001,Base!$A$3:$A$5001,U$3,Base!$B$3:$B$5001,$A$115)))</f>
        <v/>
      </c>
      <c r="V115" s="25" t="str">
        <f>IF(V$3="","",IF(COUNTIFS(Base!$A$3:$A$5001,V$3,Base!$B$3:$B$5001,$A$115,Base!$C$3:$C$5001,"&lt;&gt;")=0,"",SUMIFS(Base!$C$3:$C$5001,Base!$A$3:$A$5001,V$3,Base!$B$3:$B$5001,$A$115)))</f>
        <v/>
      </c>
      <c r="W115" s="25" t="str">
        <f>IF(W$3="","",IF(COUNTIFS(Base!$A$3:$A$5001,W$3,Base!$B$3:$B$5001,$A$115,Base!$C$3:$C$5001,"&lt;&gt;")=0,"",SUMIFS(Base!$C$3:$C$5001,Base!$A$3:$A$5001,W$3,Base!$B$3:$B$5001,$A$115)))</f>
        <v/>
      </c>
      <c r="X115" s="25" t="str">
        <f>IF(X$3="","",IF(COUNTIFS(Base!$A$3:$A$5001,X$3,Base!$B$3:$B$5001,$A$115,Base!$C$3:$C$5001,"&lt;&gt;")=0,"",SUMIFS(Base!$C$3:$C$5001,Base!$A$3:$A$5001,X$3,Base!$B$3:$B$5001,$A$115)))</f>
        <v/>
      </c>
      <c r="Y115" s="25" t="str">
        <f>IF(Y$3="","",IF(COUNTIFS(Base!$A$3:$A$5001,Y$3,Base!$B$3:$B$5001,$A$115,Base!$C$3:$C$5001,"&lt;&gt;")=0,"",SUMIFS(Base!$C$3:$C$5001,Base!$A$3:$A$5001,Y$3,Base!$B$3:$B$5001,$A$115)))</f>
        <v/>
      </c>
      <c r="Z115" s="25" t="str">
        <f>IF(Z$3="","",IF(COUNTIFS(Base!$A$3:$A$5001,Z$3,Base!$B$3:$B$5001,$A$115,Base!$C$3:$C$5001,"&lt;&gt;")=0,"",SUMIFS(Base!$C$3:$C$5001,Base!$A$3:$A$5001,Z$3,Base!$B$3:$B$5001,$A$115)))</f>
        <v/>
      </c>
      <c r="AA115" s="25" t="str">
        <f>IF(AA$3="","",IF(COUNTIFS(Base!$A$3:$A$5001,AA$3,Base!$B$3:$B$5001,$A$115,Base!$C$3:$C$5001,"&lt;&gt;")=0,"",SUMIFS(Base!$C$3:$C$5001,Base!$A$3:$A$5001,AA$3,Base!$B$3:$B$5001,$A$115)))</f>
        <v/>
      </c>
      <c r="AB115" s="25" t="str">
        <f>IF(AB$3="","",IF(COUNTIFS(Base!$A$3:$A$5001,AB$3,Base!$B$3:$B$5001,$A$115,Base!$C$3:$C$5001,"&lt;&gt;")=0,"",SUMIFS(Base!$C$3:$C$5001,Base!$A$3:$A$5001,AB$3,Base!$B$3:$B$5001,$A$115)))</f>
        <v/>
      </c>
      <c r="AC115" s="25" t="str">
        <f>IF(AC$3="","",IF(COUNTIFS(Base!$A$3:$A$5001,AC$3,Base!$B$3:$B$5001,$A$115,Base!$C$3:$C$5001,"&lt;&gt;")=0,"",SUMIFS(Base!$C$3:$C$5001,Base!$A$3:$A$5001,AC$3,Base!$B$3:$B$5001,$A$115)))</f>
        <v/>
      </c>
      <c r="AD115" s="25" t="str">
        <f>IF(AD$3="","",IF(COUNTIFS(Base!$A$3:$A$5001,AD$3,Base!$B$3:$B$5001,$A$115,Base!$C$3:$C$5001,"&lt;&gt;")=0,"",SUMIFS(Base!$C$3:$C$5001,Base!$A$3:$A$5001,AD$3,Base!$B$3:$B$5001,$A$115)))</f>
        <v/>
      </c>
      <c r="AE115" s="25" t="str">
        <f>IF(AE$3="","",IF(COUNTIFS(Base!$A$3:$A$5001,AE$3,Base!$B$3:$B$5001,$A$115,Base!$C$3:$C$5001,"&lt;&gt;")=0,"",SUMIFS(Base!$C$3:$C$5001,Base!$A$3:$A$5001,AE$3,Base!$B$3:$B$5001,$A$115)))</f>
        <v/>
      </c>
      <c r="AF115" s="25" t="str">
        <f>IF(AF$3="","",IF(COUNTIFS(Base!$A$3:$A$5001,AF$3,Base!$B$3:$B$5001,$A$115,Base!$C$3:$C$5001,"&lt;&gt;")=0,"",SUMIFS(Base!$C$3:$C$5001,Base!$A$3:$A$5001,AF$3,Base!$B$3:$B$5001,$A$115)))</f>
        <v/>
      </c>
      <c r="AG115" s="25" t="str">
        <f>IF(AG$3="","",IF(COUNTIFS(Base!$A$3:$A$5001,AG$3,Base!$B$3:$B$5001,$A$115,Base!$C$3:$C$5001,"&lt;&gt;")=0,"",SUMIFS(Base!$C$3:$C$5001,Base!$A$3:$A$5001,AG$3,Base!$B$3:$B$5001,$A$115)))</f>
        <v/>
      </c>
      <c r="AH115" s="25" t="str">
        <f>IF(AH$3="","",IF(COUNTIFS(Base!$A$3:$A$5001,AH$3,Base!$B$3:$B$5001,$A$115,Base!$C$3:$C$5001,"&lt;&gt;")=0,"",SUMIFS(Base!$C$3:$C$5001,Base!$A$3:$A$5001,AH$3,Base!$B$3:$B$5001,$A$115)))</f>
        <v/>
      </c>
      <c r="AI115" s="25" t="str">
        <f>IF(AI$3="","",IF(COUNTIFS(Base!$A$3:$A$5001,AI$3,Base!$B$3:$B$5001,$A$115,Base!$C$3:$C$5001,"&lt;&gt;")=0,"",SUMIFS(Base!$C$3:$C$5001,Base!$A$3:$A$5001,AI$3,Base!$B$3:$B$5001,$A$115)))</f>
        <v/>
      </c>
      <c r="AJ115" s="26" t="str">
        <f>IF(AJ$3="","",IF(COUNTIFS(Base!$A$3:$A$5001,AJ$3,Base!$B$3:$B$5001,$A$115,Base!$C$3:$C$5001,"&lt;&gt;")=0,"",SUMIFS(Base!$C$3:$C$5001,Base!$A$3:$A$5001,AJ$3,Base!$B$3:$B$5001,$A$115)))</f>
        <v/>
      </c>
      <c r="AK115" s="27" t="str">
        <f>IF(COUNT(F115:AJ115)=0,"",SUM(F115:AJ115))</f>
        <v/>
      </c>
    </row>
    <row r="116" ht="15.75" customHeight="1">
      <c r="A116" s="118"/>
      <c r="B116" s="107"/>
      <c r="C116" s="35" t="inlineStr">
        <is>
          <t xml:space="preserve">Pallets Movimentados</t>
        </is>
      </c>
      <c r="D116" s="469" t="str">
        <f>IFERROR(1/(1/INDEX(calculos!$C$55:$K$83,MATCH("IN Pallets Movimentados",calculos!$A$55:$A$83,0),MATCH($A$115,calculos!$C$54:$K$54,0))),"")</f>
        <v/>
      </c>
      <c r="E116" s="37"/>
      <c r="F116" s="470" t="str">
        <f>IF(F$3="","",IF(COUNTIFS(Base!$A$3:$A$5001,F$3,Base!$B$3:$B$5001,$A$115,Base!$D$3:$D$5001,"&lt;&gt;")=0,"",SUMIFS(Base!$D$3:$D$5001,Base!$A$3:$A$5001,F$3,Base!$B$3:$B$5001,$A$115)))</f>
        <v/>
      </c>
      <c r="G116" s="471" t="str">
        <f>IF(G$3="","",IF(COUNTIFS(Base!$A$3:$A$5001,G$3,Base!$B$3:$B$5001,$A$115,Base!$D$3:$D$5001,"&lt;&gt;")=0,"",SUMIFS(Base!$D$3:$D$5001,Base!$A$3:$A$5001,G$3,Base!$B$3:$B$5001,$A$115)))</f>
        <v/>
      </c>
      <c r="H116" s="471" t="str">
        <f>IF(H$3="","",IF(COUNTIFS(Base!$A$3:$A$5001,H$3,Base!$B$3:$B$5001,$A$115,Base!$D$3:$D$5001,"&lt;&gt;")=0,"",SUMIFS(Base!$D$3:$D$5001,Base!$A$3:$A$5001,H$3,Base!$B$3:$B$5001,$A$115)))</f>
        <v/>
      </c>
      <c r="I116" s="471" t="str">
        <f>IF(I$3="","",IF(COUNTIFS(Base!$A$3:$A$5001,I$3,Base!$B$3:$B$5001,$A$115,Base!$D$3:$D$5001,"&lt;&gt;")=0,"",SUMIFS(Base!$D$3:$D$5001,Base!$A$3:$A$5001,I$3,Base!$B$3:$B$5001,$A$115)))</f>
        <v/>
      </c>
      <c r="J116" s="471" t="str">
        <f>IF(J$3="","",IF(COUNTIFS(Base!$A$3:$A$5001,J$3,Base!$B$3:$B$5001,$A$115,Base!$D$3:$D$5001,"&lt;&gt;")=0,"",SUMIFS(Base!$D$3:$D$5001,Base!$A$3:$A$5001,J$3,Base!$B$3:$B$5001,$A$115)))</f>
        <v/>
      </c>
      <c r="K116" s="471" t="str">
        <f>IF(K$3="","",IF(COUNTIFS(Base!$A$3:$A$5001,K$3,Base!$B$3:$B$5001,$A$115,Base!$D$3:$D$5001,"&lt;&gt;")=0,"",SUMIFS(Base!$D$3:$D$5001,Base!$A$3:$A$5001,K$3,Base!$B$3:$B$5001,$A$115)))</f>
        <v/>
      </c>
      <c r="L116" s="471" t="str">
        <f>IF(L$3="","",IF(COUNTIFS(Base!$A$3:$A$5001,L$3,Base!$B$3:$B$5001,$A$115,Base!$D$3:$D$5001,"&lt;&gt;")=0,"",SUMIFS(Base!$D$3:$D$5001,Base!$A$3:$A$5001,L$3,Base!$B$3:$B$5001,$A$115)))</f>
        <v/>
      </c>
      <c r="M116" s="471" t="str">
        <f>IF(M$3="","",IF(COUNTIFS(Base!$A$3:$A$5001,M$3,Base!$B$3:$B$5001,$A$115,Base!$D$3:$D$5001,"&lt;&gt;")=0,"",SUMIFS(Base!$D$3:$D$5001,Base!$A$3:$A$5001,M$3,Base!$B$3:$B$5001,$A$115)))</f>
        <v/>
      </c>
      <c r="N116" s="471" t="str">
        <f>IF(N$3="","",IF(COUNTIFS(Base!$A$3:$A$5001,N$3,Base!$B$3:$B$5001,$A$115,Base!$D$3:$D$5001,"&lt;&gt;")=0,"",SUMIFS(Base!$D$3:$D$5001,Base!$A$3:$A$5001,N$3,Base!$B$3:$B$5001,$A$115)))</f>
        <v/>
      </c>
      <c r="O116" s="471" t="str">
        <f>IF(O$3="","",IF(COUNTIFS(Base!$A$3:$A$5001,O$3,Base!$B$3:$B$5001,$A$115,Base!$D$3:$D$5001,"&lt;&gt;")=0,"",SUMIFS(Base!$D$3:$D$5001,Base!$A$3:$A$5001,O$3,Base!$B$3:$B$5001,$A$115)))</f>
        <v/>
      </c>
      <c r="P116" s="471" t="str">
        <f>IF(P$3="","",IF(COUNTIFS(Base!$A$3:$A$5001,P$3,Base!$B$3:$B$5001,$A$115,Base!$D$3:$D$5001,"&lt;&gt;")=0,"",SUMIFS(Base!$D$3:$D$5001,Base!$A$3:$A$5001,P$3,Base!$B$3:$B$5001,$A$115)))</f>
        <v/>
      </c>
      <c r="Q116" s="471" t="str">
        <f>IF(Q$3="","",IF(COUNTIFS(Base!$A$3:$A$5001,Q$3,Base!$B$3:$B$5001,$A$115,Base!$D$3:$D$5001,"&lt;&gt;")=0,"",SUMIFS(Base!$D$3:$D$5001,Base!$A$3:$A$5001,Q$3,Base!$B$3:$B$5001,$A$115)))</f>
        <v/>
      </c>
      <c r="R116" s="471" t="str">
        <f>IF(R$3="","",IF(COUNTIFS(Base!$A$3:$A$5001,R$3,Base!$B$3:$B$5001,$A$115,Base!$D$3:$D$5001,"&lt;&gt;")=0,"",SUMIFS(Base!$D$3:$D$5001,Base!$A$3:$A$5001,R$3,Base!$B$3:$B$5001,$A$115)))</f>
        <v/>
      </c>
      <c r="S116" s="471" t="str">
        <f>IF(S$3="","",IF(COUNTIFS(Base!$A$3:$A$5001,S$3,Base!$B$3:$B$5001,$A$115,Base!$D$3:$D$5001,"&lt;&gt;")=0,"",SUMIFS(Base!$D$3:$D$5001,Base!$A$3:$A$5001,S$3,Base!$B$3:$B$5001,$A$115)))</f>
        <v/>
      </c>
      <c r="T116" s="471" t="str">
        <f>IF(T$3="","",IF(COUNTIFS(Base!$A$3:$A$5001,T$3,Base!$B$3:$B$5001,$A$115,Base!$D$3:$D$5001,"&lt;&gt;")=0,"",SUMIFS(Base!$D$3:$D$5001,Base!$A$3:$A$5001,T$3,Base!$B$3:$B$5001,$A$115)))</f>
        <v/>
      </c>
      <c r="U116" s="471" t="str">
        <f>IF(U$3="","",IF(COUNTIFS(Base!$A$3:$A$5001,U$3,Base!$B$3:$B$5001,$A$115,Base!$D$3:$D$5001,"&lt;&gt;")=0,"",SUMIFS(Base!$D$3:$D$5001,Base!$A$3:$A$5001,U$3,Base!$B$3:$B$5001,$A$115)))</f>
        <v/>
      </c>
      <c r="V116" s="471" t="str">
        <f>IF(V$3="","",IF(COUNTIFS(Base!$A$3:$A$5001,V$3,Base!$B$3:$B$5001,$A$115,Base!$D$3:$D$5001,"&lt;&gt;")=0,"",SUMIFS(Base!$D$3:$D$5001,Base!$A$3:$A$5001,V$3,Base!$B$3:$B$5001,$A$115)))</f>
        <v/>
      </c>
      <c r="W116" s="471" t="str">
        <f>IF(W$3="","",IF(COUNTIFS(Base!$A$3:$A$5001,W$3,Base!$B$3:$B$5001,$A$115,Base!$D$3:$D$5001,"&lt;&gt;")=0,"",SUMIFS(Base!$D$3:$D$5001,Base!$A$3:$A$5001,W$3,Base!$B$3:$B$5001,$A$115)))</f>
        <v/>
      </c>
      <c r="X116" s="471" t="str">
        <f>IF(X$3="","",IF(COUNTIFS(Base!$A$3:$A$5001,X$3,Base!$B$3:$B$5001,$A$115,Base!$D$3:$D$5001,"&lt;&gt;")=0,"",SUMIFS(Base!$D$3:$D$5001,Base!$A$3:$A$5001,X$3,Base!$B$3:$B$5001,$A$115)))</f>
        <v/>
      </c>
      <c r="Y116" s="471" t="str">
        <f>IF(Y$3="","",IF(COUNTIFS(Base!$A$3:$A$5001,Y$3,Base!$B$3:$B$5001,$A$115,Base!$D$3:$D$5001,"&lt;&gt;")=0,"",SUMIFS(Base!$D$3:$D$5001,Base!$A$3:$A$5001,Y$3,Base!$B$3:$B$5001,$A$115)))</f>
        <v/>
      </c>
      <c r="Z116" s="471" t="str">
        <f>IF(Z$3="","",IF(COUNTIFS(Base!$A$3:$A$5001,Z$3,Base!$B$3:$B$5001,$A$115,Base!$D$3:$D$5001,"&lt;&gt;")=0,"",SUMIFS(Base!$D$3:$D$5001,Base!$A$3:$A$5001,Z$3,Base!$B$3:$B$5001,$A$115)))</f>
        <v/>
      </c>
      <c r="AA116" s="471" t="str">
        <f>IF(AA$3="","",IF(COUNTIFS(Base!$A$3:$A$5001,AA$3,Base!$B$3:$B$5001,$A$115,Base!$D$3:$D$5001,"&lt;&gt;")=0,"",SUMIFS(Base!$D$3:$D$5001,Base!$A$3:$A$5001,AA$3,Base!$B$3:$B$5001,$A$115)))</f>
        <v/>
      </c>
      <c r="AB116" s="471" t="str">
        <f>IF(AB$3="","",IF(COUNTIFS(Base!$A$3:$A$5001,AB$3,Base!$B$3:$B$5001,$A$115,Base!$D$3:$D$5001,"&lt;&gt;")=0,"",SUMIFS(Base!$D$3:$D$5001,Base!$A$3:$A$5001,AB$3,Base!$B$3:$B$5001,$A$115)))</f>
        <v/>
      </c>
      <c r="AC116" s="471" t="str">
        <f>IF(AC$3="","",IF(COUNTIFS(Base!$A$3:$A$5001,AC$3,Base!$B$3:$B$5001,$A$115,Base!$D$3:$D$5001,"&lt;&gt;")=0,"",SUMIFS(Base!$D$3:$D$5001,Base!$A$3:$A$5001,AC$3,Base!$B$3:$B$5001,$A$115)))</f>
        <v/>
      </c>
      <c r="AD116" s="471" t="str">
        <f>IF(AD$3="","",IF(COUNTIFS(Base!$A$3:$A$5001,AD$3,Base!$B$3:$B$5001,$A$115,Base!$D$3:$D$5001,"&lt;&gt;")=0,"",SUMIFS(Base!$D$3:$D$5001,Base!$A$3:$A$5001,AD$3,Base!$B$3:$B$5001,$A$115)))</f>
        <v/>
      </c>
      <c r="AE116" s="471" t="str">
        <f>IF(AE$3="","",IF(COUNTIFS(Base!$A$3:$A$5001,AE$3,Base!$B$3:$B$5001,$A$115,Base!$D$3:$D$5001,"&lt;&gt;")=0,"",SUMIFS(Base!$D$3:$D$5001,Base!$A$3:$A$5001,AE$3,Base!$B$3:$B$5001,$A$115)))</f>
        <v/>
      </c>
      <c r="AF116" s="471" t="str">
        <f>IF(AF$3="","",IF(COUNTIFS(Base!$A$3:$A$5001,AF$3,Base!$B$3:$B$5001,$A$115,Base!$D$3:$D$5001,"&lt;&gt;")=0,"",SUMIFS(Base!$D$3:$D$5001,Base!$A$3:$A$5001,AF$3,Base!$B$3:$B$5001,$A$115)))</f>
        <v/>
      </c>
      <c r="AG116" s="471" t="str">
        <f>IF(AG$3="","",IF(COUNTIFS(Base!$A$3:$A$5001,AG$3,Base!$B$3:$B$5001,$A$115,Base!$D$3:$D$5001,"&lt;&gt;")=0,"",SUMIFS(Base!$D$3:$D$5001,Base!$A$3:$A$5001,AG$3,Base!$B$3:$B$5001,$A$115)))</f>
        <v/>
      </c>
      <c r="AH116" s="471" t="str">
        <f>IF(AH$3="","",IF(COUNTIFS(Base!$A$3:$A$5001,AH$3,Base!$B$3:$B$5001,$A$115,Base!$D$3:$D$5001,"&lt;&gt;")=0,"",SUMIFS(Base!$D$3:$D$5001,Base!$A$3:$A$5001,AH$3,Base!$B$3:$B$5001,$A$115)))</f>
        <v/>
      </c>
      <c r="AI116" s="471" t="str">
        <f>IF(AI$3="","",IF(COUNTIFS(Base!$A$3:$A$5001,AI$3,Base!$B$3:$B$5001,$A$115,Base!$D$3:$D$5001,"&lt;&gt;")=0,"",SUMIFS(Base!$D$3:$D$5001,Base!$A$3:$A$5001,AI$3,Base!$B$3:$B$5001,$A$115)))</f>
        <v/>
      </c>
      <c r="AJ116" s="472" t="str">
        <f>IF(AJ$3="","",IF(COUNTIFS(Base!$A$3:$A$5001,AJ$3,Base!$B$3:$B$5001,$A$115,Base!$D$3:$D$5001,"&lt;&gt;")=0,"",SUMIFS(Base!$D$3:$D$5001,Base!$A$3:$A$5001,AJ$3,Base!$B$3:$B$5001,$A$115)))</f>
        <v/>
      </c>
      <c r="AK116" s="469" t="str">
        <f>IF(COUNT(F116:AJ116)=0,"",SUM(F116:AJ116))</f>
        <v/>
      </c>
    </row>
    <row r="117" ht="15.75" customHeight="1">
      <c r="A117" s="118"/>
      <c r="B117" s="108" t="inlineStr">
        <is>
          <t xml:space="preserve">OUT</t>
        </is>
      </c>
      <c r="C117" s="41" t="inlineStr">
        <is>
          <t xml:space="preserve">Veículos Expedidos</t>
        </is>
      </c>
      <c r="D117" s="42" t="str">
        <f>IFERROR(1/(1/INDEX(calculos!$C$55:$K$83,MATCH("OUT Veículos Expedidos",calculos!$A$55:$A$83,0),MATCH($A$115,calculos!$C$54:$K$54,0))),"")</f>
        <v/>
      </c>
      <c r="E117" s="43"/>
      <c r="F117" s="44" t="str">
        <f>IF(F$3="","",IF(COUNTIFS(Base!$A$3:$A$5001,F$3,Base!$B$3:$B$5001,$A$115,Base!$L$3:$L$5001,"&lt;&gt;")=0,"",SUMIFS(Base!$L$3:$L$5001,Base!$A$3:$A$5001,F$3,Base!$B$3:$B$5001,$A$115)))</f>
        <v/>
      </c>
      <c r="G117" s="45" t="str">
        <f>IF(G$3="","",IF(COUNTIFS(Base!$A$3:$A$5001,G$3,Base!$B$3:$B$5001,$A$115,Base!$L$3:$L$5001,"&lt;&gt;")=0,"",SUMIFS(Base!$L$3:$L$5001,Base!$A$3:$A$5001,G$3,Base!$B$3:$B$5001,$A$115)))</f>
        <v/>
      </c>
      <c r="H117" s="45" t="str">
        <f>IF(H$3="","",IF(COUNTIFS(Base!$A$3:$A$5001,H$3,Base!$B$3:$B$5001,$A$115,Base!$L$3:$L$5001,"&lt;&gt;")=0,"",SUMIFS(Base!$L$3:$L$5001,Base!$A$3:$A$5001,H$3,Base!$B$3:$B$5001,$A$115)))</f>
        <v/>
      </c>
      <c r="I117" s="45" t="str">
        <f>IF(I$3="","",IF(COUNTIFS(Base!$A$3:$A$5001,I$3,Base!$B$3:$B$5001,$A$115,Base!$L$3:$L$5001,"&lt;&gt;")=0,"",SUMIFS(Base!$L$3:$L$5001,Base!$A$3:$A$5001,I$3,Base!$B$3:$B$5001,$A$115)))</f>
        <v/>
      </c>
      <c r="J117" s="45" t="str">
        <f>IF(J$3="","",IF(COUNTIFS(Base!$A$3:$A$5001,J$3,Base!$B$3:$B$5001,$A$115,Base!$L$3:$L$5001,"&lt;&gt;")=0,"",SUMIFS(Base!$L$3:$L$5001,Base!$A$3:$A$5001,J$3,Base!$B$3:$B$5001,$A$115)))</f>
        <v/>
      </c>
      <c r="K117" s="45" t="str">
        <f>IF(K$3="","",IF(COUNTIFS(Base!$A$3:$A$5001,K$3,Base!$B$3:$B$5001,$A$115,Base!$L$3:$L$5001,"&lt;&gt;")=0,"",SUMIFS(Base!$L$3:$L$5001,Base!$A$3:$A$5001,K$3,Base!$B$3:$B$5001,$A$115)))</f>
        <v/>
      </c>
      <c r="L117" s="45" t="str">
        <f>IF(L$3="","",IF(COUNTIFS(Base!$A$3:$A$5001,L$3,Base!$B$3:$B$5001,$A$115,Base!$L$3:$L$5001,"&lt;&gt;")=0,"",SUMIFS(Base!$L$3:$L$5001,Base!$A$3:$A$5001,L$3,Base!$B$3:$B$5001,$A$115)))</f>
        <v/>
      </c>
      <c r="M117" s="45" t="str">
        <f>IF(M$3="","",IF(COUNTIFS(Base!$A$3:$A$5001,M$3,Base!$B$3:$B$5001,$A$115,Base!$L$3:$L$5001,"&lt;&gt;")=0,"",SUMIFS(Base!$L$3:$L$5001,Base!$A$3:$A$5001,M$3,Base!$B$3:$B$5001,$A$115)))</f>
        <v/>
      </c>
      <c r="N117" s="45" t="str">
        <f>IF(N$3="","",IF(COUNTIFS(Base!$A$3:$A$5001,N$3,Base!$B$3:$B$5001,$A$115,Base!$L$3:$L$5001,"&lt;&gt;")=0,"",SUMIFS(Base!$L$3:$L$5001,Base!$A$3:$A$5001,N$3,Base!$B$3:$B$5001,$A$115)))</f>
        <v/>
      </c>
      <c r="O117" s="45" t="str">
        <f>IF(O$3="","",IF(COUNTIFS(Base!$A$3:$A$5001,O$3,Base!$B$3:$B$5001,$A$115,Base!$L$3:$L$5001,"&lt;&gt;")=0,"",SUMIFS(Base!$L$3:$L$5001,Base!$A$3:$A$5001,O$3,Base!$B$3:$B$5001,$A$115)))</f>
        <v/>
      </c>
      <c r="P117" s="45" t="str">
        <f>IF(P$3="","",IF(COUNTIFS(Base!$A$3:$A$5001,P$3,Base!$B$3:$B$5001,$A$115,Base!$L$3:$L$5001,"&lt;&gt;")=0,"",SUMIFS(Base!$L$3:$L$5001,Base!$A$3:$A$5001,P$3,Base!$B$3:$B$5001,$A$115)))</f>
        <v/>
      </c>
      <c r="Q117" s="45" t="str">
        <f>IF(Q$3="","",IF(COUNTIFS(Base!$A$3:$A$5001,Q$3,Base!$B$3:$B$5001,$A$115,Base!$L$3:$L$5001,"&lt;&gt;")=0,"",SUMIFS(Base!$L$3:$L$5001,Base!$A$3:$A$5001,Q$3,Base!$B$3:$B$5001,$A$115)))</f>
        <v/>
      </c>
      <c r="R117" s="45" t="str">
        <f>IF(R$3="","",IF(COUNTIFS(Base!$A$3:$A$5001,R$3,Base!$B$3:$B$5001,$A$115,Base!$L$3:$L$5001,"&lt;&gt;")=0,"",SUMIFS(Base!$L$3:$L$5001,Base!$A$3:$A$5001,R$3,Base!$B$3:$B$5001,$A$115)))</f>
        <v/>
      </c>
      <c r="S117" s="45" t="str">
        <f>IF(S$3="","",IF(COUNTIFS(Base!$A$3:$A$5001,S$3,Base!$B$3:$B$5001,$A$115,Base!$L$3:$L$5001,"&lt;&gt;")=0,"",SUMIFS(Base!$L$3:$L$5001,Base!$A$3:$A$5001,S$3,Base!$B$3:$B$5001,$A$115)))</f>
        <v/>
      </c>
      <c r="T117" s="45" t="str">
        <f>IF(T$3="","",IF(COUNTIFS(Base!$A$3:$A$5001,T$3,Base!$B$3:$B$5001,$A$115,Base!$L$3:$L$5001,"&lt;&gt;")=0,"",SUMIFS(Base!$L$3:$L$5001,Base!$A$3:$A$5001,T$3,Base!$B$3:$B$5001,$A$115)))</f>
        <v/>
      </c>
      <c r="U117" s="45" t="str">
        <f>IF(U$3="","",IF(COUNTIFS(Base!$A$3:$A$5001,U$3,Base!$B$3:$B$5001,$A$115,Base!$L$3:$L$5001,"&lt;&gt;")=0,"",SUMIFS(Base!$L$3:$L$5001,Base!$A$3:$A$5001,U$3,Base!$B$3:$B$5001,$A$115)))</f>
        <v/>
      </c>
      <c r="V117" s="45" t="str">
        <f>IF(V$3="","",IF(COUNTIFS(Base!$A$3:$A$5001,V$3,Base!$B$3:$B$5001,$A$115,Base!$L$3:$L$5001,"&lt;&gt;")=0,"",SUMIFS(Base!$L$3:$L$5001,Base!$A$3:$A$5001,V$3,Base!$B$3:$B$5001,$A$115)))</f>
        <v/>
      </c>
      <c r="W117" s="45" t="str">
        <f>IF(W$3="","",IF(COUNTIFS(Base!$A$3:$A$5001,W$3,Base!$B$3:$B$5001,$A$115,Base!$L$3:$L$5001,"&lt;&gt;")=0,"",SUMIFS(Base!$L$3:$L$5001,Base!$A$3:$A$5001,W$3,Base!$B$3:$B$5001,$A$115)))</f>
        <v/>
      </c>
      <c r="X117" s="45" t="str">
        <f>IF(X$3="","",IF(COUNTIFS(Base!$A$3:$A$5001,X$3,Base!$B$3:$B$5001,$A$115,Base!$L$3:$L$5001,"&lt;&gt;")=0,"",SUMIFS(Base!$L$3:$L$5001,Base!$A$3:$A$5001,X$3,Base!$B$3:$B$5001,$A$115)))</f>
        <v/>
      </c>
      <c r="Y117" s="45" t="str">
        <f>IF(Y$3="","",IF(COUNTIFS(Base!$A$3:$A$5001,Y$3,Base!$B$3:$B$5001,$A$115,Base!$L$3:$L$5001,"&lt;&gt;")=0,"",SUMIFS(Base!$L$3:$L$5001,Base!$A$3:$A$5001,Y$3,Base!$B$3:$B$5001,$A$115)))</f>
        <v/>
      </c>
      <c r="Z117" s="45" t="str">
        <f>IF(Z$3="","",IF(COUNTIFS(Base!$A$3:$A$5001,Z$3,Base!$B$3:$B$5001,$A$115,Base!$L$3:$L$5001,"&lt;&gt;")=0,"",SUMIFS(Base!$L$3:$L$5001,Base!$A$3:$A$5001,Z$3,Base!$B$3:$B$5001,$A$115)))</f>
        <v/>
      </c>
      <c r="AA117" s="45" t="str">
        <f>IF(AA$3="","",IF(COUNTIFS(Base!$A$3:$A$5001,AA$3,Base!$B$3:$B$5001,$A$115,Base!$L$3:$L$5001,"&lt;&gt;")=0,"",SUMIFS(Base!$L$3:$L$5001,Base!$A$3:$A$5001,AA$3,Base!$B$3:$B$5001,$A$115)))</f>
        <v/>
      </c>
      <c r="AB117" s="45" t="str">
        <f>IF(AB$3="","",IF(COUNTIFS(Base!$A$3:$A$5001,AB$3,Base!$B$3:$B$5001,$A$115,Base!$L$3:$L$5001,"&lt;&gt;")=0,"",SUMIFS(Base!$L$3:$L$5001,Base!$A$3:$A$5001,AB$3,Base!$B$3:$B$5001,$A$115)))</f>
        <v/>
      </c>
      <c r="AC117" s="45" t="str">
        <f>IF(AC$3="","",IF(COUNTIFS(Base!$A$3:$A$5001,AC$3,Base!$B$3:$B$5001,$A$115,Base!$L$3:$L$5001,"&lt;&gt;")=0,"",SUMIFS(Base!$L$3:$L$5001,Base!$A$3:$A$5001,AC$3,Base!$B$3:$B$5001,$A$115)))</f>
        <v/>
      </c>
      <c r="AD117" s="45" t="str">
        <f>IF(AD$3="","",IF(COUNTIFS(Base!$A$3:$A$5001,AD$3,Base!$B$3:$B$5001,$A$115,Base!$L$3:$L$5001,"&lt;&gt;")=0,"",SUMIFS(Base!$L$3:$L$5001,Base!$A$3:$A$5001,AD$3,Base!$B$3:$B$5001,$A$115)))</f>
        <v/>
      </c>
      <c r="AE117" s="45" t="str">
        <f>IF(AE$3="","",IF(COUNTIFS(Base!$A$3:$A$5001,AE$3,Base!$B$3:$B$5001,$A$115,Base!$L$3:$L$5001,"&lt;&gt;")=0,"",SUMIFS(Base!$L$3:$L$5001,Base!$A$3:$A$5001,AE$3,Base!$B$3:$B$5001,$A$115)))</f>
        <v/>
      </c>
      <c r="AF117" s="45" t="str">
        <f>IF(AF$3="","",IF(COUNTIFS(Base!$A$3:$A$5001,AF$3,Base!$B$3:$B$5001,$A$115,Base!$L$3:$L$5001,"&lt;&gt;")=0,"",SUMIFS(Base!$L$3:$L$5001,Base!$A$3:$A$5001,AF$3,Base!$B$3:$B$5001,$A$115)))</f>
        <v/>
      </c>
      <c r="AG117" s="45" t="str">
        <f>IF(AG$3="","",IF(COUNTIFS(Base!$A$3:$A$5001,AG$3,Base!$B$3:$B$5001,$A$115,Base!$L$3:$L$5001,"&lt;&gt;")=0,"",SUMIFS(Base!$L$3:$L$5001,Base!$A$3:$A$5001,AG$3,Base!$B$3:$B$5001,$A$115)))</f>
        <v/>
      </c>
      <c r="AH117" s="45" t="str">
        <f>IF(AH$3="","",IF(COUNTIFS(Base!$A$3:$A$5001,AH$3,Base!$B$3:$B$5001,$A$115,Base!$L$3:$L$5001,"&lt;&gt;")=0,"",SUMIFS(Base!$L$3:$L$5001,Base!$A$3:$A$5001,AH$3,Base!$B$3:$B$5001,$A$115)))</f>
        <v/>
      </c>
      <c r="AI117" s="45" t="str">
        <f>IF(AI$3="","",IF(COUNTIFS(Base!$A$3:$A$5001,AI$3,Base!$B$3:$B$5001,$A$115,Base!$L$3:$L$5001,"&lt;&gt;")=0,"",SUMIFS(Base!$L$3:$L$5001,Base!$A$3:$A$5001,AI$3,Base!$B$3:$B$5001,$A$115)))</f>
        <v/>
      </c>
      <c r="AJ117" s="46" t="str">
        <f>IF(AJ$3="","",IF(COUNTIFS(Base!$A$3:$A$5001,AJ$3,Base!$B$3:$B$5001,$A$115,Base!$L$3:$L$5001,"&lt;&gt;")=0,"",SUMIFS(Base!$L$3:$L$5001,Base!$A$3:$A$5001,AJ$3,Base!$B$3:$B$5001,$A$115)))</f>
        <v/>
      </c>
      <c r="AK117" s="47" t="str">
        <f>IF(COUNT(F117:AJ117)=0,"",SUM(F117:AJ117))</f>
        <v/>
      </c>
    </row>
    <row r="118" ht="15.75" customHeight="1">
      <c r="A118" s="118"/>
      <c r="B118" s="110"/>
      <c r="C118" s="55" t="inlineStr">
        <is>
          <t xml:space="preserve">Pallets Movimentados</t>
        </is>
      </c>
      <c r="D118" s="473" t="str">
        <f>IFERROR(1/(1/INDEX(calculos!$C$55:$K$83,MATCH("OUT Pallets Movimentados",calculos!$A$55:$A$83,0),MATCH($A$115,calculos!$C$54:$K$54,0))),"")</f>
        <v/>
      </c>
      <c r="E118" s="57"/>
      <c r="F118" s="474" t="str">
        <f>IF(F$3="","",IF(COUNTIFS(Base!$A$3:$A$5001,F$3,Base!$B$3:$B$5001,$A$115,Base!$M$3:$M$5001,"&lt;&gt;")=0,"",SUMIFS(Base!$M$3:$M$5001,Base!$A$3:$A$5001,F$3,Base!$B$3:$B$5001,$A$115)))</f>
        <v/>
      </c>
      <c r="G118" s="475" t="str">
        <f>IF(G$3="","",IF(COUNTIFS(Base!$A$3:$A$5001,G$3,Base!$B$3:$B$5001,$A$115,Base!$M$3:$M$5001,"&lt;&gt;")=0,"",SUMIFS(Base!$M$3:$M$5001,Base!$A$3:$A$5001,G$3,Base!$B$3:$B$5001,$A$115)))</f>
        <v/>
      </c>
      <c r="H118" s="475" t="str">
        <f>IF(H$3="","",IF(COUNTIFS(Base!$A$3:$A$5001,H$3,Base!$B$3:$B$5001,$A$115,Base!$M$3:$M$5001,"&lt;&gt;")=0,"",SUMIFS(Base!$M$3:$M$5001,Base!$A$3:$A$5001,H$3,Base!$B$3:$B$5001,$A$115)))</f>
        <v/>
      </c>
      <c r="I118" s="475" t="str">
        <f>IF(I$3="","",IF(COUNTIFS(Base!$A$3:$A$5001,I$3,Base!$B$3:$B$5001,$A$115,Base!$M$3:$M$5001,"&lt;&gt;")=0,"",SUMIFS(Base!$M$3:$M$5001,Base!$A$3:$A$5001,I$3,Base!$B$3:$B$5001,$A$115)))</f>
        <v/>
      </c>
      <c r="J118" s="475" t="str">
        <f>IF(J$3="","",IF(COUNTIFS(Base!$A$3:$A$5001,J$3,Base!$B$3:$B$5001,$A$115,Base!$M$3:$M$5001,"&lt;&gt;")=0,"",SUMIFS(Base!$M$3:$M$5001,Base!$A$3:$A$5001,J$3,Base!$B$3:$B$5001,$A$115)))</f>
        <v/>
      </c>
      <c r="K118" s="475" t="str">
        <f>IF(K$3="","",IF(COUNTIFS(Base!$A$3:$A$5001,K$3,Base!$B$3:$B$5001,$A$115,Base!$M$3:$M$5001,"&lt;&gt;")=0,"",SUMIFS(Base!$M$3:$M$5001,Base!$A$3:$A$5001,K$3,Base!$B$3:$B$5001,$A$115)))</f>
        <v/>
      </c>
      <c r="L118" s="475" t="str">
        <f>IF(L$3="","",IF(COUNTIFS(Base!$A$3:$A$5001,L$3,Base!$B$3:$B$5001,$A$115,Base!$M$3:$M$5001,"&lt;&gt;")=0,"",SUMIFS(Base!$M$3:$M$5001,Base!$A$3:$A$5001,L$3,Base!$B$3:$B$5001,$A$115)))</f>
        <v/>
      </c>
      <c r="M118" s="475" t="str">
        <f>IF(M$3="","",IF(COUNTIFS(Base!$A$3:$A$5001,M$3,Base!$B$3:$B$5001,$A$115,Base!$M$3:$M$5001,"&lt;&gt;")=0,"",SUMIFS(Base!$M$3:$M$5001,Base!$A$3:$A$5001,M$3,Base!$B$3:$B$5001,$A$115)))</f>
        <v/>
      </c>
      <c r="N118" s="475" t="str">
        <f>IF(N$3="","",IF(COUNTIFS(Base!$A$3:$A$5001,N$3,Base!$B$3:$B$5001,$A$115,Base!$M$3:$M$5001,"&lt;&gt;")=0,"",SUMIFS(Base!$M$3:$M$5001,Base!$A$3:$A$5001,N$3,Base!$B$3:$B$5001,$A$115)))</f>
        <v/>
      </c>
      <c r="O118" s="475" t="str">
        <f>IF(O$3="","",IF(COUNTIFS(Base!$A$3:$A$5001,O$3,Base!$B$3:$B$5001,$A$115,Base!$M$3:$M$5001,"&lt;&gt;")=0,"",SUMIFS(Base!$M$3:$M$5001,Base!$A$3:$A$5001,O$3,Base!$B$3:$B$5001,$A$115)))</f>
        <v/>
      </c>
      <c r="P118" s="475" t="str">
        <f>IF(P$3="","",IF(COUNTIFS(Base!$A$3:$A$5001,P$3,Base!$B$3:$B$5001,$A$115,Base!$M$3:$M$5001,"&lt;&gt;")=0,"",SUMIFS(Base!$M$3:$M$5001,Base!$A$3:$A$5001,P$3,Base!$B$3:$B$5001,$A$115)))</f>
        <v/>
      </c>
      <c r="Q118" s="475" t="str">
        <f>IF(Q$3="","",IF(COUNTIFS(Base!$A$3:$A$5001,Q$3,Base!$B$3:$B$5001,$A$115,Base!$M$3:$M$5001,"&lt;&gt;")=0,"",SUMIFS(Base!$M$3:$M$5001,Base!$A$3:$A$5001,Q$3,Base!$B$3:$B$5001,$A$115)))</f>
        <v/>
      </c>
      <c r="R118" s="475" t="str">
        <f>IF(R$3="","",IF(COUNTIFS(Base!$A$3:$A$5001,R$3,Base!$B$3:$B$5001,$A$115,Base!$M$3:$M$5001,"&lt;&gt;")=0,"",SUMIFS(Base!$M$3:$M$5001,Base!$A$3:$A$5001,R$3,Base!$B$3:$B$5001,$A$115)))</f>
        <v/>
      </c>
      <c r="S118" s="475" t="str">
        <f>IF(S$3="","",IF(COUNTIFS(Base!$A$3:$A$5001,S$3,Base!$B$3:$B$5001,$A$115,Base!$M$3:$M$5001,"&lt;&gt;")=0,"",SUMIFS(Base!$M$3:$M$5001,Base!$A$3:$A$5001,S$3,Base!$B$3:$B$5001,$A$115)))</f>
        <v/>
      </c>
      <c r="T118" s="475" t="str">
        <f>IF(T$3="","",IF(COUNTIFS(Base!$A$3:$A$5001,T$3,Base!$B$3:$B$5001,$A$115,Base!$M$3:$M$5001,"&lt;&gt;")=0,"",SUMIFS(Base!$M$3:$M$5001,Base!$A$3:$A$5001,T$3,Base!$B$3:$B$5001,$A$115)))</f>
        <v/>
      </c>
      <c r="U118" s="475" t="str">
        <f>IF(U$3="","",IF(COUNTIFS(Base!$A$3:$A$5001,U$3,Base!$B$3:$B$5001,$A$115,Base!$M$3:$M$5001,"&lt;&gt;")=0,"",SUMIFS(Base!$M$3:$M$5001,Base!$A$3:$A$5001,U$3,Base!$B$3:$B$5001,$A$115)))</f>
        <v/>
      </c>
      <c r="V118" s="475" t="str">
        <f>IF(V$3="","",IF(COUNTIFS(Base!$A$3:$A$5001,V$3,Base!$B$3:$B$5001,$A$115,Base!$M$3:$M$5001,"&lt;&gt;")=0,"",SUMIFS(Base!$M$3:$M$5001,Base!$A$3:$A$5001,V$3,Base!$B$3:$B$5001,$A$115)))</f>
        <v/>
      </c>
      <c r="W118" s="475" t="str">
        <f>IF(W$3="","",IF(COUNTIFS(Base!$A$3:$A$5001,W$3,Base!$B$3:$B$5001,$A$115,Base!$M$3:$M$5001,"&lt;&gt;")=0,"",SUMIFS(Base!$M$3:$M$5001,Base!$A$3:$A$5001,W$3,Base!$B$3:$B$5001,$A$115)))</f>
        <v/>
      </c>
      <c r="X118" s="475" t="str">
        <f>IF(X$3="","",IF(COUNTIFS(Base!$A$3:$A$5001,X$3,Base!$B$3:$B$5001,$A$115,Base!$M$3:$M$5001,"&lt;&gt;")=0,"",SUMIFS(Base!$M$3:$M$5001,Base!$A$3:$A$5001,X$3,Base!$B$3:$B$5001,$A$115)))</f>
        <v/>
      </c>
      <c r="Y118" s="475" t="str">
        <f>IF(Y$3="","",IF(COUNTIFS(Base!$A$3:$A$5001,Y$3,Base!$B$3:$B$5001,$A$115,Base!$M$3:$M$5001,"&lt;&gt;")=0,"",SUMIFS(Base!$M$3:$M$5001,Base!$A$3:$A$5001,Y$3,Base!$B$3:$B$5001,$A$115)))</f>
        <v/>
      </c>
      <c r="Z118" s="475" t="str">
        <f>IF(Z$3="","",IF(COUNTIFS(Base!$A$3:$A$5001,Z$3,Base!$B$3:$B$5001,$A$115,Base!$M$3:$M$5001,"&lt;&gt;")=0,"",SUMIFS(Base!$M$3:$M$5001,Base!$A$3:$A$5001,Z$3,Base!$B$3:$B$5001,$A$115)))</f>
        <v/>
      </c>
      <c r="AA118" s="475" t="str">
        <f>IF(AA$3="","",IF(COUNTIFS(Base!$A$3:$A$5001,AA$3,Base!$B$3:$B$5001,$A$115,Base!$M$3:$M$5001,"&lt;&gt;")=0,"",SUMIFS(Base!$M$3:$M$5001,Base!$A$3:$A$5001,AA$3,Base!$B$3:$B$5001,$A$115)))</f>
        <v/>
      </c>
      <c r="AB118" s="475" t="str">
        <f>IF(AB$3="","",IF(COUNTIFS(Base!$A$3:$A$5001,AB$3,Base!$B$3:$B$5001,$A$115,Base!$M$3:$M$5001,"&lt;&gt;")=0,"",SUMIFS(Base!$M$3:$M$5001,Base!$A$3:$A$5001,AB$3,Base!$B$3:$B$5001,$A$115)))</f>
        <v/>
      </c>
      <c r="AC118" s="475" t="str">
        <f>IF(AC$3="","",IF(COUNTIFS(Base!$A$3:$A$5001,AC$3,Base!$B$3:$B$5001,$A$115,Base!$M$3:$M$5001,"&lt;&gt;")=0,"",SUMIFS(Base!$M$3:$M$5001,Base!$A$3:$A$5001,AC$3,Base!$B$3:$B$5001,$A$115)))</f>
        <v/>
      </c>
      <c r="AD118" s="475" t="str">
        <f>IF(AD$3="","",IF(COUNTIFS(Base!$A$3:$A$5001,AD$3,Base!$B$3:$B$5001,$A$115,Base!$M$3:$M$5001,"&lt;&gt;")=0,"",SUMIFS(Base!$M$3:$M$5001,Base!$A$3:$A$5001,AD$3,Base!$B$3:$B$5001,$A$115)))</f>
        <v/>
      </c>
      <c r="AE118" s="475" t="str">
        <f>IF(AE$3="","",IF(COUNTIFS(Base!$A$3:$A$5001,AE$3,Base!$B$3:$B$5001,$A$115,Base!$M$3:$M$5001,"&lt;&gt;")=0,"",SUMIFS(Base!$M$3:$M$5001,Base!$A$3:$A$5001,AE$3,Base!$B$3:$B$5001,$A$115)))</f>
        <v/>
      </c>
      <c r="AF118" s="475" t="str">
        <f>IF(AF$3="","",IF(COUNTIFS(Base!$A$3:$A$5001,AF$3,Base!$B$3:$B$5001,$A$115,Base!$M$3:$M$5001,"&lt;&gt;")=0,"",SUMIFS(Base!$M$3:$M$5001,Base!$A$3:$A$5001,AF$3,Base!$B$3:$B$5001,$A$115)))</f>
        <v/>
      </c>
      <c r="AG118" s="475" t="str">
        <f>IF(AG$3="","",IF(COUNTIFS(Base!$A$3:$A$5001,AG$3,Base!$B$3:$B$5001,$A$115,Base!$M$3:$M$5001,"&lt;&gt;")=0,"",SUMIFS(Base!$M$3:$M$5001,Base!$A$3:$A$5001,AG$3,Base!$B$3:$B$5001,$A$115)))</f>
        <v/>
      </c>
      <c r="AH118" s="475" t="str">
        <f>IF(AH$3="","",IF(COUNTIFS(Base!$A$3:$A$5001,AH$3,Base!$B$3:$B$5001,$A$115,Base!$M$3:$M$5001,"&lt;&gt;")=0,"",SUMIFS(Base!$M$3:$M$5001,Base!$A$3:$A$5001,AH$3,Base!$B$3:$B$5001,$A$115)))</f>
        <v/>
      </c>
      <c r="AI118" s="475" t="str">
        <f>IF(AI$3="","",IF(COUNTIFS(Base!$A$3:$A$5001,AI$3,Base!$B$3:$B$5001,$A$115,Base!$M$3:$M$5001,"&lt;&gt;")=0,"",SUMIFS(Base!$M$3:$M$5001,Base!$A$3:$A$5001,AI$3,Base!$B$3:$B$5001,$A$115)))</f>
        <v/>
      </c>
      <c r="AJ118" s="476" t="str">
        <f>IF(AJ$3="","",IF(COUNTIFS(Base!$A$3:$A$5001,AJ$3,Base!$B$3:$B$5001,$A$115,Base!$M$3:$M$5001,"&lt;&gt;")=0,"",SUMIFS(Base!$M$3:$M$5001,Base!$A$3:$A$5001,AJ$3,Base!$B$3:$B$5001,$A$115)))</f>
        <v/>
      </c>
      <c r="AK118" s="473" t="str">
        <f>IF(COUNT(F118:AJ118)=0,"",SUM(F118:AJ118))</f>
        <v/>
      </c>
    </row>
    <row r="119" ht="15.75" customHeight="1">
      <c r="A119" s="118"/>
      <c r="B119" s="111" t="inlineStr">
        <is>
          <t xml:space="preserve">NC</t>
        </is>
      </c>
      <c r="C119" s="61" t="inlineStr">
        <is>
          <t xml:space="preserve">Incidentes</t>
        </is>
      </c>
      <c r="D119" s="62" t="str">
        <f>IFERROR(1/(1/INDEX(calculos!$C$55:$K$83,MATCH("NC Incidentes",calculos!$A$55:$A$83,0),MATCH($A$115,calculos!$C$54:$K$54,0))),"")</f>
        <v/>
      </c>
      <c r="E119" s="63"/>
      <c r="F119" s="64" t="str">
        <f>IF(F$3="","",IF(COUNTIFS(Base!$A$3:$A$5001,F$3,Base!$B$3:$B$5001,$A$115,Base!$U$3:$U$5001,"&lt;&gt;")=0,"",SUMIFS(Base!$U$3:$U$5001,Base!$A$3:$A$5001,F$3,Base!$B$3:$B$5001,$A$115)))</f>
        <v/>
      </c>
      <c r="G119" s="65" t="str">
        <f>IF(G$3="","",IF(COUNTIFS(Base!$A$3:$A$5001,G$3,Base!$B$3:$B$5001,$A$115,Base!$U$3:$U$5001,"&lt;&gt;")=0,"",SUMIFS(Base!$U$3:$U$5001,Base!$A$3:$A$5001,G$3,Base!$B$3:$B$5001,$A$115)))</f>
        <v/>
      </c>
      <c r="H119" s="65" t="str">
        <f>IF(H$3="","",IF(COUNTIFS(Base!$A$3:$A$5001,H$3,Base!$B$3:$B$5001,$A$115,Base!$U$3:$U$5001,"&lt;&gt;")=0,"",SUMIFS(Base!$U$3:$U$5001,Base!$A$3:$A$5001,H$3,Base!$B$3:$B$5001,$A$115)))</f>
        <v/>
      </c>
      <c r="I119" s="65" t="str">
        <f>IF(I$3="","",IF(COUNTIFS(Base!$A$3:$A$5001,I$3,Base!$B$3:$B$5001,$A$115,Base!$U$3:$U$5001,"&lt;&gt;")=0,"",SUMIFS(Base!$U$3:$U$5001,Base!$A$3:$A$5001,I$3,Base!$B$3:$B$5001,$A$115)))</f>
        <v/>
      </c>
      <c r="J119" s="65" t="str">
        <f>IF(J$3="","",IF(COUNTIFS(Base!$A$3:$A$5001,J$3,Base!$B$3:$B$5001,$A$115,Base!$U$3:$U$5001,"&lt;&gt;")=0,"",SUMIFS(Base!$U$3:$U$5001,Base!$A$3:$A$5001,J$3,Base!$B$3:$B$5001,$A$115)))</f>
        <v/>
      </c>
      <c r="K119" s="65" t="str">
        <f>IF(K$3="","",IF(COUNTIFS(Base!$A$3:$A$5001,K$3,Base!$B$3:$B$5001,$A$115,Base!$U$3:$U$5001,"&lt;&gt;")=0,"",SUMIFS(Base!$U$3:$U$5001,Base!$A$3:$A$5001,K$3,Base!$B$3:$B$5001,$A$115)))</f>
        <v/>
      </c>
      <c r="L119" s="65" t="str">
        <f>IF(L$3="","",IF(COUNTIFS(Base!$A$3:$A$5001,L$3,Base!$B$3:$B$5001,$A$115,Base!$U$3:$U$5001,"&lt;&gt;")=0,"",SUMIFS(Base!$U$3:$U$5001,Base!$A$3:$A$5001,L$3,Base!$B$3:$B$5001,$A$115)))</f>
        <v/>
      </c>
      <c r="M119" s="65" t="str">
        <f>IF(M$3="","",IF(COUNTIFS(Base!$A$3:$A$5001,M$3,Base!$B$3:$B$5001,$A$115,Base!$U$3:$U$5001,"&lt;&gt;")=0,"",SUMIFS(Base!$U$3:$U$5001,Base!$A$3:$A$5001,M$3,Base!$B$3:$B$5001,$A$115)))</f>
        <v/>
      </c>
      <c r="N119" s="65" t="str">
        <f>IF(N$3="","",IF(COUNTIFS(Base!$A$3:$A$5001,N$3,Base!$B$3:$B$5001,$A$115,Base!$U$3:$U$5001,"&lt;&gt;")=0,"",SUMIFS(Base!$U$3:$U$5001,Base!$A$3:$A$5001,N$3,Base!$B$3:$B$5001,$A$115)))</f>
        <v/>
      </c>
      <c r="O119" s="65" t="str">
        <f>IF(O$3="","",IF(COUNTIFS(Base!$A$3:$A$5001,O$3,Base!$B$3:$B$5001,$A$115,Base!$U$3:$U$5001,"&lt;&gt;")=0,"",SUMIFS(Base!$U$3:$U$5001,Base!$A$3:$A$5001,O$3,Base!$B$3:$B$5001,$A$115)))</f>
        <v/>
      </c>
      <c r="P119" s="65" t="str">
        <f>IF(P$3="","",IF(COUNTIFS(Base!$A$3:$A$5001,P$3,Base!$B$3:$B$5001,$A$115,Base!$U$3:$U$5001,"&lt;&gt;")=0,"",SUMIFS(Base!$U$3:$U$5001,Base!$A$3:$A$5001,P$3,Base!$B$3:$B$5001,$A$115)))</f>
        <v/>
      </c>
      <c r="Q119" s="65" t="str">
        <f>IF(Q$3="","",IF(COUNTIFS(Base!$A$3:$A$5001,Q$3,Base!$B$3:$B$5001,$A$115,Base!$U$3:$U$5001,"&lt;&gt;")=0,"",SUMIFS(Base!$U$3:$U$5001,Base!$A$3:$A$5001,Q$3,Base!$B$3:$B$5001,$A$115)))</f>
        <v/>
      </c>
      <c r="R119" s="65" t="str">
        <f>IF(R$3="","",IF(COUNTIFS(Base!$A$3:$A$5001,R$3,Base!$B$3:$B$5001,$A$115,Base!$U$3:$U$5001,"&lt;&gt;")=0,"",SUMIFS(Base!$U$3:$U$5001,Base!$A$3:$A$5001,R$3,Base!$B$3:$B$5001,$A$115)))</f>
        <v/>
      </c>
      <c r="S119" s="65" t="str">
        <f>IF(S$3="","",IF(COUNTIFS(Base!$A$3:$A$5001,S$3,Base!$B$3:$B$5001,$A$115,Base!$U$3:$U$5001,"&lt;&gt;")=0,"",SUMIFS(Base!$U$3:$U$5001,Base!$A$3:$A$5001,S$3,Base!$B$3:$B$5001,$A$115)))</f>
        <v/>
      </c>
      <c r="T119" s="65" t="str">
        <f>IF(T$3="","",IF(COUNTIFS(Base!$A$3:$A$5001,T$3,Base!$B$3:$B$5001,$A$115,Base!$U$3:$U$5001,"&lt;&gt;")=0,"",SUMIFS(Base!$U$3:$U$5001,Base!$A$3:$A$5001,T$3,Base!$B$3:$B$5001,$A$115)))</f>
        <v/>
      </c>
      <c r="U119" s="65" t="str">
        <f>IF(U$3="","",IF(COUNTIFS(Base!$A$3:$A$5001,U$3,Base!$B$3:$B$5001,$A$115,Base!$U$3:$U$5001,"&lt;&gt;")=0,"",SUMIFS(Base!$U$3:$U$5001,Base!$A$3:$A$5001,U$3,Base!$B$3:$B$5001,$A$115)))</f>
        <v/>
      </c>
      <c r="V119" s="65" t="str">
        <f>IF(V$3="","",IF(COUNTIFS(Base!$A$3:$A$5001,V$3,Base!$B$3:$B$5001,$A$115,Base!$U$3:$U$5001,"&lt;&gt;")=0,"",SUMIFS(Base!$U$3:$U$5001,Base!$A$3:$A$5001,V$3,Base!$B$3:$B$5001,$A$115)))</f>
        <v/>
      </c>
      <c r="W119" s="65" t="str">
        <f>IF(W$3="","",IF(COUNTIFS(Base!$A$3:$A$5001,W$3,Base!$B$3:$B$5001,$A$115,Base!$U$3:$U$5001,"&lt;&gt;")=0,"",SUMIFS(Base!$U$3:$U$5001,Base!$A$3:$A$5001,W$3,Base!$B$3:$B$5001,$A$115)))</f>
        <v/>
      </c>
      <c r="X119" s="65" t="str">
        <f>IF(X$3="","",IF(COUNTIFS(Base!$A$3:$A$5001,X$3,Base!$B$3:$B$5001,$A$115,Base!$U$3:$U$5001,"&lt;&gt;")=0,"",SUMIFS(Base!$U$3:$U$5001,Base!$A$3:$A$5001,X$3,Base!$B$3:$B$5001,$A$115)))</f>
        <v/>
      </c>
      <c r="Y119" s="65" t="str">
        <f>IF(Y$3="","",IF(COUNTIFS(Base!$A$3:$A$5001,Y$3,Base!$B$3:$B$5001,$A$115,Base!$U$3:$U$5001,"&lt;&gt;")=0,"",SUMIFS(Base!$U$3:$U$5001,Base!$A$3:$A$5001,Y$3,Base!$B$3:$B$5001,$A$115)))</f>
        <v/>
      </c>
      <c r="Z119" s="65" t="str">
        <f>IF(Z$3="","",IF(COUNTIFS(Base!$A$3:$A$5001,Z$3,Base!$B$3:$B$5001,$A$115,Base!$U$3:$U$5001,"&lt;&gt;")=0,"",SUMIFS(Base!$U$3:$U$5001,Base!$A$3:$A$5001,Z$3,Base!$B$3:$B$5001,$A$115)))</f>
        <v/>
      </c>
      <c r="AA119" s="65" t="str">
        <f>IF(AA$3="","",IF(COUNTIFS(Base!$A$3:$A$5001,AA$3,Base!$B$3:$B$5001,$A$115,Base!$U$3:$U$5001,"&lt;&gt;")=0,"",SUMIFS(Base!$U$3:$U$5001,Base!$A$3:$A$5001,AA$3,Base!$B$3:$B$5001,$A$115)))</f>
        <v/>
      </c>
      <c r="AB119" s="65" t="str">
        <f>IF(AB$3="","",IF(COUNTIFS(Base!$A$3:$A$5001,AB$3,Base!$B$3:$B$5001,$A$115,Base!$U$3:$U$5001,"&lt;&gt;")=0,"",SUMIFS(Base!$U$3:$U$5001,Base!$A$3:$A$5001,AB$3,Base!$B$3:$B$5001,$A$115)))</f>
        <v/>
      </c>
      <c r="AC119" s="65" t="str">
        <f>IF(AC$3="","",IF(COUNTIFS(Base!$A$3:$A$5001,AC$3,Base!$B$3:$B$5001,$A$115,Base!$U$3:$U$5001,"&lt;&gt;")=0,"",SUMIFS(Base!$U$3:$U$5001,Base!$A$3:$A$5001,AC$3,Base!$B$3:$B$5001,$A$115)))</f>
        <v/>
      </c>
      <c r="AD119" s="65" t="str">
        <f>IF(AD$3="","",IF(COUNTIFS(Base!$A$3:$A$5001,AD$3,Base!$B$3:$B$5001,$A$115,Base!$U$3:$U$5001,"&lt;&gt;")=0,"",SUMIFS(Base!$U$3:$U$5001,Base!$A$3:$A$5001,AD$3,Base!$B$3:$B$5001,$A$115)))</f>
        <v/>
      </c>
      <c r="AE119" s="65" t="str">
        <f>IF(AE$3="","",IF(COUNTIFS(Base!$A$3:$A$5001,AE$3,Base!$B$3:$B$5001,$A$115,Base!$U$3:$U$5001,"&lt;&gt;")=0,"",SUMIFS(Base!$U$3:$U$5001,Base!$A$3:$A$5001,AE$3,Base!$B$3:$B$5001,$A$115)))</f>
        <v/>
      </c>
      <c r="AF119" s="65" t="str">
        <f>IF(AF$3="","",IF(COUNTIFS(Base!$A$3:$A$5001,AF$3,Base!$B$3:$B$5001,$A$115,Base!$U$3:$U$5001,"&lt;&gt;")=0,"",SUMIFS(Base!$U$3:$U$5001,Base!$A$3:$A$5001,AF$3,Base!$B$3:$B$5001,$A$115)))</f>
        <v/>
      </c>
      <c r="AG119" s="65" t="str">
        <f>IF(AG$3="","",IF(COUNTIFS(Base!$A$3:$A$5001,AG$3,Base!$B$3:$B$5001,$A$115,Base!$U$3:$U$5001,"&lt;&gt;")=0,"",SUMIFS(Base!$U$3:$U$5001,Base!$A$3:$A$5001,AG$3,Base!$B$3:$B$5001,$A$115)))</f>
        <v/>
      </c>
      <c r="AH119" s="65" t="str">
        <f>IF(AH$3="","",IF(COUNTIFS(Base!$A$3:$A$5001,AH$3,Base!$B$3:$B$5001,$A$115,Base!$U$3:$U$5001,"&lt;&gt;")=0,"",SUMIFS(Base!$U$3:$U$5001,Base!$A$3:$A$5001,AH$3,Base!$B$3:$B$5001,$A$115)))</f>
        <v/>
      </c>
      <c r="AI119" s="65" t="str">
        <f>IF(AI$3="","",IF(COUNTIFS(Base!$A$3:$A$5001,AI$3,Base!$B$3:$B$5001,$A$115,Base!$U$3:$U$5001,"&lt;&gt;")=0,"",SUMIFS(Base!$U$3:$U$5001,Base!$A$3:$A$5001,AI$3,Base!$B$3:$B$5001,$A$115)))</f>
        <v/>
      </c>
      <c r="AJ119" s="66" t="str">
        <f>IF(AJ$3="","",IF(COUNTIFS(Base!$A$3:$A$5001,AJ$3,Base!$B$3:$B$5001,$A$115,Base!$U$3:$U$5001,"&lt;&gt;")=0,"",SUMIFS(Base!$U$3:$U$5001,Base!$A$3:$A$5001,AJ$3,Base!$B$3:$B$5001,$A$115)))</f>
        <v/>
      </c>
      <c r="AK119" s="67" t="str">
        <f>IF(COUNT(F119:AJ119)=0,"",SUM(F119:AJ119))</f>
        <v/>
      </c>
    </row>
    <row r="120" ht="15.75" customHeight="1">
      <c r="A120" s="118"/>
      <c r="B120" s="112"/>
      <c r="C120" s="68" t="inlineStr">
        <is>
          <t xml:space="preserve">No show</t>
        </is>
      </c>
      <c r="D120" s="69" t="str">
        <f>IFERROR(1/(1/INDEX(calculos!$C$55:$K$83,MATCH("NC No show",calculos!$A$55:$A$83,0),MATCH($A$115,calculos!$C$54:$K$54,0))),"")</f>
        <v/>
      </c>
      <c r="E120" s="70"/>
      <c r="F120" s="71" t="str">
        <f>IF(F$3="","",IF(COUNTIFS(Base!$A$3:$A$5001,F$3,Base!$B$3:$B$5001,$A$115,Base!$V$3:$V$5001,"&lt;&gt;")=0,"",SUMIFS(Base!$V$3:$V$5001,Base!$A$3:$A$5001,F$3,Base!$B$3:$B$5001,$A$115)))</f>
        <v/>
      </c>
      <c r="G120" s="72" t="str">
        <f>IF(G$3="","",IF(COUNTIFS(Base!$A$3:$A$5001,G$3,Base!$B$3:$B$5001,$A$115,Base!$V$3:$V$5001,"&lt;&gt;")=0,"",SUMIFS(Base!$V$3:$V$5001,Base!$A$3:$A$5001,G$3,Base!$B$3:$B$5001,$A$115)))</f>
        <v/>
      </c>
      <c r="H120" s="72" t="str">
        <f>IF(H$3="","",IF(COUNTIFS(Base!$A$3:$A$5001,H$3,Base!$B$3:$B$5001,$A$115,Base!$V$3:$V$5001,"&lt;&gt;")=0,"",SUMIFS(Base!$V$3:$V$5001,Base!$A$3:$A$5001,H$3,Base!$B$3:$B$5001,$A$115)))</f>
        <v/>
      </c>
      <c r="I120" s="72" t="str">
        <f>IF(I$3="","",IF(COUNTIFS(Base!$A$3:$A$5001,I$3,Base!$B$3:$B$5001,$A$115,Base!$V$3:$V$5001,"&lt;&gt;")=0,"",SUMIFS(Base!$V$3:$V$5001,Base!$A$3:$A$5001,I$3,Base!$B$3:$B$5001,$A$115)))</f>
        <v/>
      </c>
      <c r="J120" s="72" t="str">
        <f>IF(J$3="","",IF(COUNTIFS(Base!$A$3:$A$5001,J$3,Base!$B$3:$B$5001,$A$115,Base!$V$3:$V$5001,"&lt;&gt;")=0,"",SUMIFS(Base!$V$3:$V$5001,Base!$A$3:$A$5001,J$3,Base!$B$3:$B$5001,$A$115)))</f>
        <v/>
      </c>
      <c r="K120" s="72" t="str">
        <f>IF(K$3="","",IF(COUNTIFS(Base!$A$3:$A$5001,K$3,Base!$B$3:$B$5001,$A$115,Base!$V$3:$V$5001,"&lt;&gt;")=0,"",SUMIFS(Base!$V$3:$V$5001,Base!$A$3:$A$5001,K$3,Base!$B$3:$B$5001,$A$115)))</f>
        <v/>
      </c>
      <c r="L120" s="72" t="str">
        <f>IF(L$3="","",IF(COUNTIFS(Base!$A$3:$A$5001,L$3,Base!$B$3:$B$5001,$A$115,Base!$V$3:$V$5001,"&lt;&gt;")=0,"",SUMIFS(Base!$V$3:$V$5001,Base!$A$3:$A$5001,L$3,Base!$B$3:$B$5001,$A$115)))</f>
        <v/>
      </c>
      <c r="M120" s="72" t="str">
        <f>IF(M$3="","",IF(COUNTIFS(Base!$A$3:$A$5001,M$3,Base!$B$3:$B$5001,$A$115,Base!$V$3:$V$5001,"&lt;&gt;")=0,"",SUMIFS(Base!$V$3:$V$5001,Base!$A$3:$A$5001,M$3,Base!$B$3:$B$5001,$A$115)))</f>
        <v/>
      </c>
      <c r="N120" s="72" t="str">
        <f>IF(N$3="","",IF(COUNTIFS(Base!$A$3:$A$5001,N$3,Base!$B$3:$B$5001,$A$115,Base!$V$3:$V$5001,"&lt;&gt;")=0,"",SUMIFS(Base!$V$3:$V$5001,Base!$A$3:$A$5001,N$3,Base!$B$3:$B$5001,$A$115)))</f>
        <v/>
      </c>
      <c r="O120" s="72" t="str">
        <f>IF(O$3="","",IF(COUNTIFS(Base!$A$3:$A$5001,O$3,Base!$B$3:$B$5001,$A$115,Base!$V$3:$V$5001,"&lt;&gt;")=0,"",SUMIFS(Base!$V$3:$V$5001,Base!$A$3:$A$5001,O$3,Base!$B$3:$B$5001,$A$115)))</f>
        <v/>
      </c>
      <c r="P120" s="72" t="str">
        <f>IF(P$3="","",IF(COUNTIFS(Base!$A$3:$A$5001,P$3,Base!$B$3:$B$5001,$A$115,Base!$V$3:$V$5001,"&lt;&gt;")=0,"",SUMIFS(Base!$V$3:$V$5001,Base!$A$3:$A$5001,P$3,Base!$B$3:$B$5001,$A$115)))</f>
        <v/>
      </c>
      <c r="Q120" s="72" t="str">
        <f>IF(Q$3="","",IF(COUNTIFS(Base!$A$3:$A$5001,Q$3,Base!$B$3:$B$5001,$A$115,Base!$V$3:$V$5001,"&lt;&gt;")=0,"",SUMIFS(Base!$V$3:$V$5001,Base!$A$3:$A$5001,Q$3,Base!$B$3:$B$5001,$A$115)))</f>
        <v/>
      </c>
      <c r="R120" s="72" t="str">
        <f>IF(R$3="","",IF(COUNTIFS(Base!$A$3:$A$5001,R$3,Base!$B$3:$B$5001,$A$115,Base!$V$3:$V$5001,"&lt;&gt;")=0,"",SUMIFS(Base!$V$3:$V$5001,Base!$A$3:$A$5001,R$3,Base!$B$3:$B$5001,$A$115)))</f>
        <v/>
      </c>
      <c r="S120" s="72" t="str">
        <f>IF(S$3="","",IF(COUNTIFS(Base!$A$3:$A$5001,S$3,Base!$B$3:$B$5001,$A$115,Base!$V$3:$V$5001,"&lt;&gt;")=0,"",SUMIFS(Base!$V$3:$V$5001,Base!$A$3:$A$5001,S$3,Base!$B$3:$B$5001,$A$115)))</f>
        <v/>
      </c>
      <c r="T120" s="72" t="str">
        <f>IF(T$3="","",IF(COUNTIFS(Base!$A$3:$A$5001,T$3,Base!$B$3:$B$5001,$A$115,Base!$V$3:$V$5001,"&lt;&gt;")=0,"",SUMIFS(Base!$V$3:$V$5001,Base!$A$3:$A$5001,T$3,Base!$B$3:$B$5001,$A$115)))</f>
        <v/>
      </c>
      <c r="U120" s="72" t="str">
        <f>IF(U$3="","",IF(COUNTIFS(Base!$A$3:$A$5001,U$3,Base!$B$3:$B$5001,$A$115,Base!$V$3:$V$5001,"&lt;&gt;")=0,"",SUMIFS(Base!$V$3:$V$5001,Base!$A$3:$A$5001,U$3,Base!$B$3:$B$5001,$A$115)))</f>
        <v/>
      </c>
      <c r="V120" s="72" t="str">
        <f>IF(V$3="","",IF(COUNTIFS(Base!$A$3:$A$5001,V$3,Base!$B$3:$B$5001,$A$115,Base!$V$3:$V$5001,"&lt;&gt;")=0,"",SUMIFS(Base!$V$3:$V$5001,Base!$A$3:$A$5001,V$3,Base!$B$3:$B$5001,$A$115)))</f>
        <v/>
      </c>
      <c r="W120" s="72" t="str">
        <f>IF(W$3="","",IF(COUNTIFS(Base!$A$3:$A$5001,W$3,Base!$B$3:$B$5001,$A$115,Base!$V$3:$V$5001,"&lt;&gt;")=0,"",SUMIFS(Base!$V$3:$V$5001,Base!$A$3:$A$5001,W$3,Base!$B$3:$B$5001,$A$115)))</f>
        <v/>
      </c>
      <c r="X120" s="72" t="str">
        <f>IF(X$3="","",IF(COUNTIFS(Base!$A$3:$A$5001,X$3,Base!$B$3:$B$5001,$A$115,Base!$V$3:$V$5001,"&lt;&gt;")=0,"",SUMIFS(Base!$V$3:$V$5001,Base!$A$3:$A$5001,X$3,Base!$B$3:$B$5001,$A$115)))</f>
        <v/>
      </c>
      <c r="Y120" s="72" t="str">
        <f>IF(Y$3="","",IF(COUNTIFS(Base!$A$3:$A$5001,Y$3,Base!$B$3:$B$5001,$A$115,Base!$V$3:$V$5001,"&lt;&gt;")=0,"",SUMIFS(Base!$V$3:$V$5001,Base!$A$3:$A$5001,Y$3,Base!$B$3:$B$5001,$A$115)))</f>
        <v/>
      </c>
      <c r="Z120" s="72" t="str">
        <f>IF(Z$3="","",IF(COUNTIFS(Base!$A$3:$A$5001,Z$3,Base!$B$3:$B$5001,$A$115,Base!$V$3:$V$5001,"&lt;&gt;")=0,"",SUMIFS(Base!$V$3:$V$5001,Base!$A$3:$A$5001,Z$3,Base!$B$3:$B$5001,$A$115)))</f>
        <v/>
      </c>
      <c r="AA120" s="72" t="str">
        <f>IF(AA$3="","",IF(COUNTIFS(Base!$A$3:$A$5001,AA$3,Base!$B$3:$B$5001,$A$115,Base!$V$3:$V$5001,"&lt;&gt;")=0,"",SUMIFS(Base!$V$3:$V$5001,Base!$A$3:$A$5001,AA$3,Base!$B$3:$B$5001,$A$115)))</f>
        <v/>
      </c>
      <c r="AB120" s="72" t="str">
        <f>IF(AB$3="","",IF(COUNTIFS(Base!$A$3:$A$5001,AB$3,Base!$B$3:$B$5001,$A$115,Base!$V$3:$V$5001,"&lt;&gt;")=0,"",SUMIFS(Base!$V$3:$V$5001,Base!$A$3:$A$5001,AB$3,Base!$B$3:$B$5001,$A$115)))</f>
        <v/>
      </c>
      <c r="AC120" s="72" t="str">
        <f>IF(AC$3="","",IF(COUNTIFS(Base!$A$3:$A$5001,AC$3,Base!$B$3:$B$5001,$A$115,Base!$V$3:$V$5001,"&lt;&gt;")=0,"",SUMIFS(Base!$V$3:$V$5001,Base!$A$3:$A$5001,AC$3,Base!$B$3:$B$5001,$A$115)))</f>
        <v/>
      </c>
      <c r="AD120" s="72" t="str">
        <f>IF(AD$3="","",IF(COUNTIFS(Base!$A$3:$A$5001,AD$3,Base!$B$3:$B$5001,$A$115,Base!$V$3:$V$5001,"&lt;&gt;")=0,"",SUMIFS(Base!$V$3:$V$5001,Base!$A$3:$A$5001,AD$3,Base!$B$3:$B$5001,$A$115)))</f>
        <v/>
      </c>
      <c r="AE120" s="72" t="str">
        <f>IF(AE$3="","",IF(COUNTIFS(Base!$A$3:$A$5001,AE$3,Base!$B$3:$B$5001,$A$115,Base!$V$3:$V$5001,"&lt;&gt;")=0,"",SUMIFS(Base!$V$3:$V$5001,Base!$A$3:$A$5001,AE$3,Base!$B$3:$B$5001,$A$115)))</f>
        <v/>
      </c>
      <c r="AF120" s="72" t="str">
        <f>IF(AF$3="","",IF(COUNTIFS(Base!$A$3:$A$5001,AF$3,Base!$B$3:$B$5001,$A$115,Base!$V$3:$V$5001,"&lt;&gt;")=0,"",SUMIFS(Base!$V$3:$V$5001,Base!$A$3:$A$5001,AF$3,Base!$B$3:$B$5001,$A$115)))</f>
        <v/>
      </c>
      <c r="AG120" s="72" t="str">
        <f>IF(AG$3="","",IF(COUNTIFS(Base!$A$3:$A$5001,AG$3,Base!$B$3:$B$5001,$A$115,Base!$V$3:$V$5001,"&lt;&gt;")=0,"",SUMIFS(Base!$V$3:$V$5001,Base!$A$3:$A$5001,AG$3,Base!$B$3:$B$5001,$A$115)))</f>
        <v/>
      </c>
      <c r="AH120" s="72" t="str">
        <f>IF(AH$3="","",IF(COUNTIFS(Base!$A$3:$A$5001,AH$3,Base!$B$3:$B$5001,$A$115,Base!$V$3:$V$5001,"&lt;&gt;")=0,"",SUMIFS(Base!$V$3:$V$5001,Base!$A$3:$A$5001,AH$3,Base!$B$3:$B$5001,$A$115)))</f>
        <v/>
      </c>
      <c r="AI120" s="72" t="str">
        <f>IF(AI$3="","",IF(COUNTIFS(Base!$A$3:$A$5001,AI$3,Base!$B$3:$B$5001,$A$115,Base!$V$3:$V$5001,"&lt;&gt;")=0,"",SUMIFS(Base!$V$3:$V$5001,Base!$A$3:$A$5001,AI$3,Base!$B$3:$B$5001,$A$115)))</f>
        <v/>
      </c>
      <c r="AJ120" s="73" t="str">
        <f>IF(AJ$3="","",IF(COUNTIFS(Base!$A$3:$A$5001,AJ$3,Base!$B$3:$B$5001,$A$115,Base!$V$3:$V$5001,"&lt;&gt;")=0,"",SUMIFS(Base!$V$3:$V$5001,Base!$A$3:$A$5001,AJ$3,Base!$B$3:$B$5001,$A$115)))</f>
        <v/>
      </c>
      <c r="AK120" s="74" t="str">
        <f>IF(COUNT(F120:AJ120)=0,"",SUM(F120:AJ120))</f>
        <v/>
      </c>
    </row>
    <row r="121" ht="15.75" customHeight="1">
      <c r="A121" s="118"/>
      <c r="B121" s="113"/>
      <c r="C121" s="75" t="inlineStr">
        <is>
          <t xml:space="preserve">Backlog</t>
        </is>
      </c>
      <c r="D121" s="76" t="str">
        <f>IFERROR(1/(1/INDEX(calculos!$C$55:$K$83,MATCH("NC Backlog",calculos!$A$55:$A$83,0),MATCH($A$115,calculos!$C$54:$K$54,0))),"")</f>
        <v/>
      </c>
      <c r="E121" s="77"/>
      <c r="F121" s="78" t="str">
        <f>IF(F$3="","",IF(COUNTIFS(Base!$A$3:$A$5001,F$3,Base!$B$3:$B$5001,$A$115,Base!$W$3:$W$5001,"&lt;&gt;")=0,"",SUMIFS(Base!$W$3:$W$5001,Base!$A$3:$A$5001,F$3,Base!$B$3:$B$5001,$A$115)))</f>
        <v/>
      </c>
      <c r="G121" s="79" t="str">
        <f>IF(G$3="","",IF(COUNTIFS(Base!$A$3:$A$5001,G$3,Base!$B$3:$B$5001,$A$115,Base!$W$3:$W$5001,"&lt;&gt;")=0,"",SUMIFS(Base!$W$3:$W$5001,Base!$A$3:$A$5001,G$3,Base!$B$3:$B$5001,$A$115)))</f>
        <v/>
      </c>
      <c r="H121" s="79" t="str">
        <f>IF(H$3="","",IF(COUNTIFS(Base!$A$3:$A$5001,H$3,Base!$B$3:$B$5001,$A$115,Base!$W$3:$W$5001,"&lt;&gt;")=0,"",SUMIFS(Base!$W$3:$W$5001,Base!$A$3:$A$5001,H$3,Base!$B$3:$B$5001,$A$115)))</f>
        <v/>
      </c>
      <c r="I121" s="79" t="str">
        <f>IF(I$3="","",IF(COUNTIFS(Base!$A$3:$A$5001,I$3,Base!$B$3:$B$5001,$A$115,Base!$W$3:$W$5001,"&lt;&gt;")=0,"",SUMIFS(Base!$W$3:$W$5001,Base!$A$3:$A$5001,I$3,Base!$B$3:$B$5001,$A$115)))</f>
        <v/>
      </c>
      <c r="J121" s="79" t="str">
        <f>IF(J$3="","",IF(COUNTIFS(Base!$A$3:$A$5001,J$3,Base!$B$3:$B$5001,$A$115,Base!$W$3:$W$5001,"&lt;&gt;")=0,"",SUMIFS(Base!$W$3:$W$5001,Base!$A$3:$A$5001,J$3,Base!$B$3:$B$5001,$A$115)))</f>
        <v/>
      </c>
      <c r="K121" s="79" t="str">
        <f>IF(K$3="","",IF(COUNTIFS(Base!$A$3:$A$5001,K$3,Base!$B$3:$B$5001,$A$115,Base!$W$3:$W$5001,"&lt;&gt;")=0,"",SUMIFS(Base!$W$3:$W$5001,Base!$A$3:$A$5001,K$3,Base!$B$3:$B$5001,$A$115)))</f>
        <v/>
      </c>
      <c r="L121" s="79" t="str">
        <f>IF(L$3="","",IF(COUNTIFS(Base!$A$3:$A$5001,L$3,Base!$B$3:$B$5001,$A$115,Base!$W$3:$W$5001,"&lt;&gt;")=0,"",SUMIFS(Base!$W$3:$W$5001,Base!$A$3:$A$5001,L$3,Base!$B$3:$B$5001,$A$115)))</f>
        <v/>
      </c>
      <c r="M121" s="79" t="str">
        <f>IF(M$3="","",IF(COUNTIFS(Base!$A$3:$A$5001,M$3,Base!$B$3:$B$5001,$A$115,Base!$W$3:$W$5001,"&lt;&gt;")=0,"",SUMIFS(Base!$W$3:$W$5001,Base!$A$3:$A$5001,M$3,Base!$B$3:$B$5001,$A$115)))</f>
        <v/>
      </c>
      <c r="N121" s="79" t="str">
        <f>IF(N$3="","",IF(COUNTIFS(Base!$A$3:$A$5001,N$3,Base!$B$3:$B$5001,$A$115,Base!$W$3:$W$5001,"&lt;&gt;")=0,"",SUMIFS(Base!$W$3:$W$5001,Base!$A$3:$A$5001,N$3,Base!$B$3:$B$5001,$A$115)))</f>
        <v/>
      </c>
      <c r="O121" s="79" t="str">
        <f>IF(O$3="","",IF(COUNTIFS(Base!$A$3:$A$5001,O$3,Base!$B$3:$B$5001,$A$115,Base!$W$3:$W$5001,"&lt;&gt;")=0,"",SUMIFS(Base!$W$3:$W$5001,Base!$A$3:$A$5001,O$3,Base!$B$3:$B$5001,$A$115)))</f>
        <v/>
      </c>
      <c r="P121" s="79" t="str">
        <f>IF(P$3="","",IF(COUNTIFS(Base!$A$3:$A$5001,P$3,Base!$B$3:$B$5001,$A$115,Base!$W$3:$W$5001,"&lt;&gt;")=0,"",SUMIFS(Base!$W$3:$W$5001,Base!$A$3:$A$5001,P$3,Base!$B$3:$B$5001,$A$115)))</f>
        <v/>
      </c>
      <c r="Q121" s="79" t="str">
        <f>IF(Q$3="","",IF(COUNTIFS(Base!$A$3:$A$5001,Q$3,Base!$B$3:$B$5001,$A$115,Base!$W$3:$W$5001,"&lt;&gt;")=0,"",SUMIFS(Base!$W$3:$W$5001,Base!$A$3:$A$5001,Q$3,Base!$B$3:$B$5001,$A$115)))</f>
        <v/>
      </c>
      <c r="R121" s="79" t="str">
        <f>IF(R$3="","",IF(COUNTIFS(Base!$A$3:$A$5001,R$3,Base!$B$3:$B$5001,$A$115,Base!$W$3:$W$5001,"&lt;&gt;")=0,"",SUMIFS(Base!$W$3:$W$5001,Base!$A$3:$A$5001,R$3,Base!$B$3:$B$5001,$A$115)))</f>
        <v/>
      </c>
      <c r="S121" s="79" t="str">
        <f>IF(S$3="","",IF(COUNTIFS(Base!$A$3:$A$5001,S$3,Base!$B$3:$B$5001,$A$115,Base!$W$3:$W$5001,"&lt;&gt;")=0,"",SUMIFS(Base!$W$3:$W$5001,Base!$A$3:$A$5001,S$3,Base!$B$3:$B$5001,$A$115)))</f>
        <v/>
      </c>
      <c r="T121" s="79" t="str">
        <f>IF(T$3="","",IF(COUNTIFS(Base!$A$3:$A$5001,T$3,Base!$B$3:$B$5001,$A$115,Base!$W$3:$W$5001,"&lt;&gt;")=0,"",SUMIFS(Base!$W$3:$W$5001,Base!$A$3:$A$5001,T$3,Base!$B$3:$B$5001,$A$115)))</f>
        <v/>
      </c>
      <c r="U121" s="79" t="str">
        <f>IF(U$3="","",IF(COUNTIFS(Base!$A$3:$A$5001,U$3,Base!$B$3:$B$5001,$A$115,Base!$W$3:$W$5001,"&lt;&gt;")=0,"",SUMIFS(Base!$W$3:$W$5001,Base!$A$3:$A$5001,U$3,Base!$B$3:$B$5001,$A$115)))</f>
        <v/>
      </c>
      <c r="V121" s="79" t="str">
        <f>IF(V$3="","",IF(COUNTIFS(Base!$A$3:$A$5001,V$3,Base!$B$3:$B$5001,$A$115,Base!$W$3:$W$5001,"&lt;&gt;")=0,"",SUMIFS(Base!$W$3:$W$5001,Base!$A$3:$A$5001,V$3,Base!$B$3:$B$5001,$A$115)))</f>
        <v/>
      </c>
      <c r="W121" s="79" t="str">
        <f>IF(W$3="","",IF(COUNTIFS(Base!$A$3:$A$5001,W$3,Base!$B$3:$B$5001,$A$115,Base!$W$3:$W$5001,"&lt;&gt;")=0,"",SUMIFS(Base!$W$3:$W$5001,Base!$A$3:$A$5001,W$3,Base!$B$3:$B$5001,$A$115)))</f>
        <v/>
      </c>
      <c r="X121" s="79" t="str">
        <f>IF(X$3="","",IF(COUNTIFS(Base!$A$3:$A$5001,X$3,Base!$B$3:$B$5001,$A$115,Base!$W$3:$W$5001,"&lt;&gt;")=0,"",SUMIFS(Base!$W$3:$W$5001,Base!$A$3:$A$5001,X$3,Base!$B$3:$B$5001,$A$115)))</f>
        <v/>
      </c>
      <c r="Y121" s="79" t="str">
        <f>IF(Y$3="","",IF(COUNTIFS(Base!$A$3:$A$5001,Y$3,Base!$B$3:$B$5001,$A$115,Base!$W$3:$W$5001,"&lt;&gt;")=0,"",SUMIFS(Base!$W$3:$W$5001,Base!$A$3:$A$5001,Y$3,Base!$B$3:$B$5001,$A$115)))</f>
        <v/>
      </c>
      <c r="Z121" s="79" t="str">
        <f>IF(Z$3="","",IF(COUNTIFS(Base!$A$3:$A$5001,Z$3,Base!$B$3:$B$5001,$A$115,Base!$W$3:$W$5001,"&lt;&gt;")=0,"",SUMIFS(Base!$W$3:$W$5001,Base!$A$3:$A$5001,Z$3,Base!$B$3:$B$5001,$A$115)))</f>
        <v/>
      </c>
      <c r="AA121" s="79" t="str">
        <f>IF(AA$3="","",IF(COUNTIFS(Base!$A$3:$A$5001,AA$3,Base!$B$3:$B$5001,$A$115,Base!$W$3:$W$5001,"&lt;&gt;")=0,"",SUMIFS(Base!$W$3:$W$5001,Base!$A$3:$A$5001,AA$3,Base!$B$3:$B$5001,$A$115)))</f>
        <v/>
      </c>
      <c r="AB121" s="79" t="str">
        <f>IF(AB$3="","",IF(COUNTIFS(Base!$A$3:$A$5001,AB$3,Base!$B$3:$B$5001,$A$115,Base!$W$3:$W$5001,"&lt;&gt;")=0,"",SUMIFS(Base!$W$3:$W$5001,Base!$A$3:$A$5001,AB$3,Base!$B$3:$B$5001,$A$115)))</f>
        <v/>
      </c>
      <c r="AC121" s="79" t="str">
        <f>IF(AC$3="","",IF(COUNTIFS(Base!$A$3:$A$5001,AC$3,Base!$B$3:$B$5001,$A$115,Base!$W$3:$W$5001,"&lt;&gt;")=0,"",SUMIFS(Base!$W$3:$W$5001,Base!$A$3:$A$5001,AC$3,Base!$B$3:$B$5001,$A$115)))</f>
        <v/>
      </c>
      <c r="AD121" s="79" t="str">
        <f>IF(AD$3="","",IF(COUNTIFS(Base!$A$3:$A$5001,AD$3,Base!$B$3:$B$5001,$A$115,Base!$W$3:$W$5001,"&lt;&gt;")=0,"",SUMIFS(Base!$W$3:$W$5001,Base!$A$3:$A$5001,AD$3,Base!$B$3:$B$5001,$A$115)))</f>
        <v/>
      </c>
      <c r="AE121" s="79" t="str">
        <f>IF(AE$3="","",IF(COUNTIFS(Base!$A$3:$A$5001,AE$3,Base!$B$3:$B$5001,$A$115,Base!$W$3:$W$5001,"&lt;&gt;")=0,"",SUMIFS(Base!$W$3:$W$5001,Base!$A$3:$A$5001,AE$3,Base!$B$3:$B$5001,$A$115)))</f>
        <v/>
      </c>
      <c r="AF121" s="79" t="str">
        <f>IF(AF$3="","",IF(COUNTIFS(Base!$A$3:$A$5001,AF$3,Base!$B$3:$B$5001,$A$115,Base!$W$3:$W$5001,"&lt;&gt;")=0,"",SUMIFS(Base!$W$3:$W$5001,Base!$A$3:$A$5001,AF$3,Base!$B$3:$B$5001,$A$115)))</f>
        <v/>
      </c>
      <c r="AG121" s="79" t="str">
        <f>IF(AG$3="","",IF(COUNTIFS(Base!$A$3:$A$5001,AG$3,Base!$B$3:$B$5001,$A$115,Base!$W$3:$W$5001,"&lt;&gt;")=0,"",SUMIFS(Base!$W$3:$W$5001,Base!$A$3:$A$5001,AG$3,Base!$B$3:$B$5001,$A$115)))</f>
        <v/>
      </c>
      <c r="AH121" s="79" t="str">
        <f>IF(AH$3="","",IF(COUNTIFS(Base!$A$3:$A$5001,AH$3,Base!$B$3:$B$5001,$A$115,Base!$W$3:$W$5001,"&lt;&gt;")=0,"",SUMIFS(Base!$W$3:$W$5001,Base!$A$3:$A$5001,AH$3,Base!$B$3:$B$5001,$A$115)))</f>
        <v/>
      </c>
      <c r="AI121" s="79" t="str">
        <f>IF(AI$3="","",IF(COUNTIFS(Base!$A$3:$A$5001,AI$3,Base!$B$3:$B$5001,$A$115,Base!$W$3:$W$5001,"&lt;&gt;")=0,"",SUMIFS(Base!$W$3:$W$5001,Base!$A$3:$A$5001,AI$3,Base!$B$3:$B$5001,$A$115)))</f>
        <v/>
      </c>
      <c r="AJ121" s="80" t="str">
        <f>IF(AJ$3="","",IF(COUNTIFS(Base!$A$3:$A$5001,AJ$3,Base!$B$3:$B$5001,$A$115,Base!$W$3:$W$5001,"&lt;&gt;")=0,"",SUMIFS(Base!$W$3:$W$5001,Base!$A$3:$A$5001,AJ$3,Base!$B$3:$B$5001,$A$115)))</f>
        <v/>
      </c>
      <c r="AK121" s="76" t="str">
        <f>IFERROR(LOOKUP(9.99E+307,F121:AJ121),"")</f>
        <v/>
      </c>
    </row>
    <row r="122" ht="15.75" customHeight="1">
      <c r="A122" s="118"/>
      <c r="B122" s="105" t="inlineStr">
        <is>
          <t xml:space="preserve">OCUPAÇÃO (P.P)</t>
        </is>
      </c>
      <c r="C122" s="21" t="inlineStr">
        <is>
          <t xml:space="preserve">Posições Disponíveis</t>
        </is>
      </c>
      <c r="D122" s="22" t="str">
        <f>IFERROR(1/(1/INDEX(calculos!$C$55:$K$83,MATCH("Posições Disponíveis",calculos!$A$55:$A$83,0),MATCH($A$115,calculos!$C$54:$K$54,0))),"")</f>
        <v/>
      </c>
      <c r="E122" s="23"/>
      <c r="F122" s="24" t="str">
        <f>IF(F$3="","",IF(COUNTIFS(Base!$A$3:$A$5001,F$3,Base!$B$3:$B$5001,$A$115,Base!$X$3:$X$5001,"&lt;&gt;")=0,"",SUMIFS(Base!$X$3:$X$5001,Base!$A$3:$A$5001,F$3,Base!$B$3:$B$5001,$A$115)))</f>
        <v/>
      </c>
      <c r="G122" s="25" t="str">
        <f>IF(G$3="","",IF(COUNTIFS(Base!$A$3:$A$5001,G$3,Base!$B$3:$B$5001,$A$115,Base!$X$3:$X$5001,"&lt;&gt;")=0,"",SUMIFS(Base!$X$3:$X$5001,Base!$A$3:$A$5001,G$3,Base!$B$3:$B$5001,$A$115)))</f>
        <v/>
      </c>
      <c r="H122" s="25" t="str">
        <f>IF(H$3="","",IF(COUNTIFS(Base!$A$3:$A$5001,H$3,Base!$B$3:$B$5001,$A$115,Base!$X$3:$X$5001,"&lt;&gt;")=0,"",SUMIFS(Base!$X$3:$X$5001,Base!$A$3:$A$5001,H$3,Base!$B$3:$B$5001,$A$115)))</f>
        <v/>
      </c>
      <c r="I122" s="25" t="str">
        <f>IF(I$3="","",IF(COUNTIFS(Base!$A$3:$A$5001,I$3,Base!$B$3:$B$5001,$A$115,Base!$X$3:$X$5001,"&lt;&gt;")=0,"",SUMIFS(Base!$X$3:$X$5001,Base!$A$3:$A$5001,I$3,Base!$B$3:$B$5001,$A$115)))</f>
        <v/>
      </c>
      <c r="J122" s="25" t="str">
        <f>IF(J$3="","",IF(COUNTIFS(Base!$A$3:$A$5001,J$3,Base!$B$3:$B$5001,$A$115,Base!$X$3:$X$5001,"&lt;&gt;")=0,"",SUMIFS(Base!$X$3:$X$5001,Base!$A$3:$A$5001,J$3,Base!$B$3:$B$5001,$A$115)))</f>
        <v/>
      </c>
      <c r="K122" s="25" t="str">
        <f>IF(K$3="","",IF(COUNTIFS(Base!$A$3:$A$5001,K$3,Base!$B$3:$B$5001,$A$115,Base!$X$3:$X$5001,"&lt;&gt;")=0,"",SUMIFS(Base!$X$3:$X$5001,Base!$A$3:$A$5001,K$3,Base!$B$3:$B$5001,$A$115)))</f>
        <v/>
      </c>
      <c r="L122" s="25" t="str">
        <f>IF(L$3="","",IF(COUNTIFS(Base!$A$3:$A$5001,L$3,Base!$B$3:$B$5001,$A$115,Base!$X$3:$X$5001,"&lt;&gt;")=0,"",SUMIFS(Base!$X$3:$X$5001,Base!$A$3:$A$5001,L$3,Base!$B$3:$B$5001,$A$115)))</f>
        <v/>
      </c>
      <c r="M122" s="25" t="str">
        <f>IF(M$3="","",IF(COUNTIFS(Base!$A$3:$A$5001,M$3,Base!$B$3:$B$5001,$A$115,Base!$X$3:$X$5001,"&lt;&gt;")=0,"",SUMIFS(Base!$X$3:$X$5001,Base!$A$3:$A$5001,M$3,Base!$B$3:$B$5001,$A$115)))</f>
        <v/>
      </c>
      <c r="N122" s="25" t="str">
        <f>IF(N$3="","",IF(COUNTIFS(Base!$A$3:$A$5001,N$3,Base!$B$3:$B$5001,$A$115,Base!$X$3:$X$5001,"&lt;&gt;")=0,"",SUMIFS(Base!$X$3:$X$5001,Base!$A$3:$A$5001,N$3,Base!$B$3:$B$5001,$A$115)))</f>
        <v/>
      </c>
      <c r="O122" s="25" t="str">
        <f>IF(O$3="","",IF(COUNTIFS(Base!$A$3:$A$5001,O$3,Base!$B$3:$B$5001,$A$115,Base!$X$3:$X$5001,"&lt;&gt;")=0,"",SUMIFS(Base!$X$3:$X$5001,Base!$A$3:$A$5001,O$3,Base!$B$3:$B$5001,$A$115)))</f>
        <v/>
      </c>
      <c r="P122" s="25" t="str">
        <f>IF(P$3="","",IF(COUNTIFS(Base!$A$3:$A$5001,P$3,Base!$B$3:$B$5001,$A$115,Base!$X$3:$X$5001,"&lt;&gt;")=0,"",SUMIFS(Base!$X$3:$X$5001,Base!$A$3:$A$5001,P$3,Base!$B$3:$B$5001,$A$115)))</f>
        <v/>
      </c>
      <c r="Q122" s="25" t="str">
        <f>IF(Q$3="","",IF(COUNTIFS(Base!$A$3:$A$5001,Q$3,Base!$B$3:$B$5001,$A$115,Base!$X$3:$X$5001,"&lt;&gt;")=0,"",SUMIFS(Base!$X$3:$X$5001,Base!$A$3:$A$5001,Q$3,Base!$B$3:$B$5001,$A$115)))</f>
        <v/>
      </c>
      <c r="R122" s="25" t="str">
        <f>IF(R$3="","",IF(COUNTIFS(Base!$A$3:$A$5001,R$3,Base!$B$3:$B$5001,$A$115,Base!$X$3:$X$5001,"&lt;&gt;")=0,"",SUMIFS(Base!$X$3:$X$5001,Base!$A$3:$A$5001,R$3,Base!$B$3:$B$5001,$A$115)))</f>
        <v/>
      </c>
      <c r="S122" s="25" t="str">
        <f>IF(S$3="","",IF(COUNTIFS(Base!$A$3:$A$5001,S$3,Base!$B$3:$B$5001,$A$115,Base!$X$3:$X$5001,"&lt;&gt;")=0,"",SUMIFS(Base!$X$3:$X$5001,Base!$A$3:$A$5001,S$3,Base!$B$3:$B$5001,$A$115)))</f>
        <v/>
      </c>
      <c r="T122" s="25" t="str">
        <f>IF(T$3="","",IF(COUNTIFS(Base!$A$3:$A$5001,T$3,Base!$B$3:$B$5001,$A$115,Base!$X$3:$X$5001,"&lt;&gt;")=0,"",SUMIFS(Base!$X$3:$X$5001,Base!$A$3:$A$5001,T$3,Base!$B$3:$B$5001,$A$115)))</f>
        <v/>
      </c>
      <c r="U122" s="25" t="str">
        <f>IF(U$3="","",IF(COUNTIFS(Base!$A$3:$A$5001,U$3,Base!$B$3:$B$5001,$A$115,Base!$X$3:$X$5001,"&lt;&gt;")=0,"",SUMIFS(Base!$X$3:$X$5001,Base!$A$3:$A$5001,U$3,Base!$B$3:$B$5001,$A$115)))</f>
        <v/>
      </c>
      <c r="V122" s="25" t="str">
        <f>IF(V$3="","",IF(COUNTIFS(Base!$A$3:$A$5001,V$3,Base!$B$3:$B$5001,$A$115,Base!$X$3:$X$5001,"&lt;&gt;")=0,"",SUMIFS(Base!$X$3:$X$5001,Base!$A$3:$A$5001,V$3,Base!$B$3:$B$5001,$A$115)))</f>
        <v/>
      </c>
      <c r="W122" s="25" t="str">
        <f>IF(W$3="","",IF(COUNTIFS(Base!$A$3:$A$5001,W$3,Base!$B$3:$B$5001,$A$115,Base!$X$3:$X$5001,"&lt;&gt;")=0,"",SUMIFS(Base!$X$3:$X$5001,Base!$A$3:$A$5001,W$3,Base!$B$3:$B$5001,$A$115)))</f>
        <v/>
      </c>
      <c r="X122" s="25" t="str">
        <f>IF(X$3="","",IF(COUNTIFS(Base!$A$3:$A$5001,X$3,Base!$B$3:$B$5001,$A$115,Base!$X$3:$X$5001,"&lt;&gt;")=0,"",SUMIFS(Base!$X$3:$X$5001,Base!$A$3:$A$5001,X$3,Base!$B$3:$B$5001,$A$115)))</f>
        <v/>
      </c>
      <c r="Y122" s="25" t="str">
        <f>IF(Y$3="","",IF(COUNTIFS(Base!$A$3:$A$5001,Y$3,Base!$B$3:$B$5001,$A$115,Base!$X$3:$X$5001,"&lt;&gt;")=0,"",SUMIFS(Base!$X$3:$X$5001,Base!$A$3:$A$5001,Y$3,Base!$B$3:$B$5001,$A$115)))</f>
        <v/>
      </c>
      <c r="Z122" s="25" t="str">
        <f>IF(Z$3="","",IF(COUNTIFS(Base!$A$3:$A$5001,Z$3,Base!$B$3:$B$5001,$A$115,Base!$X$3:$X$5001,"&lt;&gt;")=0,"",SUMIFS(Base!$X$3:$X$5001,Base!$A$3:$A$5001,Z$3,Base!$B$3:$B$5001,$A$115)))</f>
        <v/>
      </c>
      <c r="AA122" s="25" t="str">
        <f>IF(AA$3="","",IF(COUNTIFS(Base!$A$3:$A$5001,AA$3,Base!$B$3:$B$5001,$A$115,Base!$X$3:$X$5001,"&lt;&gt;")=0,"",SUMIFS(Base!$X$3:$X$5001,Base!$A$3:$A$5001,AA$3,Base!$B$3:$B$5001,$A$115)))</f>
        <v/>
      </c>
      <c r="AB122" s="25" t="str">
        <f>IF(AB$3="","",IF(COUNTIFS(Base!$A$3:$A$5001,AB$3,Base!$B$3:$B$5001,$A$115,Base!$X$3:$X$5001,"&lt;&gt;")=0,"",SUMIFS(Base!$X$3:$X$5001,Base!$A$3:$A$5001,AB$3,Base!$B$3:$B$5001,$A$115)))</f>
        <v/>
      </c>
      <c r="AC122" s="25" t="str">
        <f>IF(AC$3="","",IF(COUNTIFS(Base!$A$3:$A$5001,AC$3,Base!$B$3:$B$5001,$A$115,Base!$X$3:$X$5001,"&lt;&gt;")=0,"",SUMIFS(Base!$X$3:$X$5001,Base!$A$3:$A$5001,AC$3,Base!$B$3:$B$5001,$A$115)))</f>
        <v/>
      </c>
      <c r="AD122" s="25" t="str">
        <f>IF(AD$3="","",IF(COUNTIFS(Base!$A$3:$A$5001,AD$3,Base!$B$3:$B$5001,$A$115,Base!$X$3:$X$5001,"&lt;&gt;")=0,"",SUMIFS(Base!$X$3:$X$5001,Base!$A$3:$A$5001,AD$3,Base!$B$3:$B$5001,$A$115)))</f>
        <v/>
      </c>
      <c r="AE122" s="25" t="str">
        <f>IF(AE$3="","",IF(COUNTIFS(Base!$A$3:$A$5001,AE$3,Base!$B$3:$B$5001,$A$115,Base!$X$3:$X$5001,"&lt;&gt;")=0,"",SUMIFS(Base!$X$3:$X$5001,Base!$A$3:$A$5001,AE$3,Base!$B$3:$B$5001,$A$115)))</f>
        <v/>
      </c>
      <c r="AF122" s="25" t="str">
        <f>IF(AF$3="","",IF(COUNTIFS(Base!$A$3:$A$5001,AF$3,Base!$B$3:$B$5001,$A$115,Base!$X$3:$X$5001,"&lt;&gt;")=0,"",SUMIFS(Base!$X$3:$X$5001,Base!$A$3:$A$5001,AF$3,Base!$B$3:$B$5001,$A$115)))</f>
        <v/>
      </c>
      <c r="AG122" s="25" t="str">
        <f>IF(AG$3="","",IF(COUNTIFS(Base!$A$3:$A$5001,AG$3,Base!$B$3:$B$5001,$A$115,Base!$X$3:$X$5001,"&lt;&gt;")=0,"",SUMIFS(Base!$X$3:$X$5001,Base!$A$3:$A$5001,AG$3,Base!$B$3:$B$5001,$A$115)))</f>
        <v/>
      </c>
      <c r="AH122" s="25" t="str">
        <f>IF(AH$3="","",IF(COUNTIFS(Base!$A$3:$A$5001,AH$3,Base!$B$3:$B$5001,$A$115,Base!$X$3:$X$5001,"&lt;&gt;")=0,"",SUMIFS(Base!$X$3:$X$5001,Base!$A$3:$A$5001,AH$3,Base!$B$3:$B$5001,$A$115)))</f>
        <v/>
      </c>
      <c r="AI122" s="25" t="str">
        <f>IF(AI$3="","",IF(COUNTIFS(Base!$A$3:$A$5001,AI$3,Base!$B$3:$B$5001,$A$115,Base!$X$3:$X$5001,"&lt;&gt;")=0,"",SUMIFS(Base!$X$3:$X$5001,Base!$A$3:$A$5001,AI$3,Base!$B$3:$B$5001,$A$115)))</f>
        <v/>
      </c>
      <c r="AJ122" s="26" t="str">
        <f>IF(AJ$3="","",IF(COUNTIFS(Base!$A$3:$A$5001,AJ$3,Base!$B$3:$B$5001,$A$115,Base!$X$3:$X$5001,"&lt;&gt;")=0,"",SUMIFS(Base!$X$3:$X$5001,Base!$A$3:$A$5001,AJ$3,Base!$B$3:$B$5001,$A$115)))</f>
        <v/>
      </c>
      <c r="AK122" s="27" t="str">
        <f>IFERROR(LOOKUP(9.99E+307,F122:AJ122),"")</f>
        <v/>
      </c>
    </row>
    <row r="123" ht="15.75" customHeight="1">
      <c r="A123" s="118"/>
      <c r="B123" s="106"/>
      <c r="C123" s="28" t="inlineStr">
        <is>
          <t xml:space="preserve">Posições Ocupadas</t>
        </is>
      </c>
      <c r="D123" s="29" t="str">
        <f>IFERROR(1/(1/INDEX(calculos!$C$55:$K$83,MATCH("Posições Ocupadas",calculos!$A$55:$A$83,0),MATCH($A$115,calculos!$C$54:$K$54,0))),"")</f>
        <v/>
      </c>
      <c r="E123" s="30"/>
      <c r="F123" s="31" t="str">
        <f>IF(F$3="","",IF(COUNTIFS(Base!$A$3:$A$5001,F$3,Base!$B$3:$B$5001,$A$115,Base!$Y$3:$Y$5001,"&lt;&gt;")=0,"",SUMIFS(Base!$Y$3:$Y$5001,Base!$A$3:$A$5001,F$3,Base!$B$3:$B$5001,$A$115)))</f>
        <v/>
      </c>
      <c r="G123" s="32" t="str">
        <f>IF(G$3="","",IF(COUNTIFS(Base!$A$3:$A$5001,G$3,Base!$B$3:$B$5001,$A$115,Base!$Y$3:$Y$5001,"&lt;&gt;")=0,"",SUMIFS(Base!$Y$3:$Y$5001,Base!$A$3:$A$5001,G$3,Base!$B$3:$B$5001,$A$115)))</f>
        <v/>
      </c>
      <c r="H123" s="32" t="str">
        <f>IF(H$3="","",IF(COUNTIFS(Base!$A$3:$A$5001,H$3,Base!$B$3:$B$5001,$A$115,Base!$Y$3:$Y$5001,"&lt;&gt;")=0,"",SUMIFS(Base!$Y$3:$Y$5001,Base!$A$3:$A$5001,H$3,Base!$B$3:$B$5001,$A$115)))</f>
        <v/>
      </c>
      <c r="I123" s="32" t="str">
        <f>IF(I$3="","",IF(COUNTIFS(Base!$A$3:$A$5001,I$3,Base!$B$3:$B$5001,$A$115,Base!$Y$3:$Y$5001,"&lt;&gt;")=0,"",SUMIFS(Base!$Y$3:$Y$5001,Base!$A$3:$A$5001,I$3,Base!$B$3:$B$5001,$A$115)))</f>
        <v/>
      </c>
      <c r="J123" s="32" t="str">
        <f>IF(J$3="","",IF(COUNTIFS(Base!$A$3:$A$5001,J$3,Base!$B$3:$B$5001,$A$115,Base!$Y$3:$Y$5001,"&lt;&gt;")=0,"",SUMIFS(Base!$Y$3:$Y$5001,Base!$A$3:$A$5001,J$3,Base!$B$3:$B$5001,$A$115)))</f>
        <v/>
      </c>
      <c r="K123" s="32" t="str">
        <f>IF(K$3="","",IF(COUNTIFS(Base!$A$3:$A$5001,K$3,Base!$B$3:$B$5001,$A$115,Base!$Y$3:$Y$5001,"&lt;&gt;")=0,"",SUMIFS(Base!$Y$3:$Y$5001,Base!$A$3:$A$5001,K$3,Base!$B$3:$B$5001,$A$115)))</f>
        <v/>
      </c>
      <c r="L123" s="32" t="str">
        <f>IF(L$3="","",IF(COUNTIFS(Base!$A$3:$A$5001,L$3,Base!$B$3:$B$5001,$A$115,Base!$Y$3:$Y$5001,"&lt;&gt;")=0,"",SUMIFS(Base!$Y$3:$Y$5001,Base!$A$3:$A$5001,L$3,Base!$B$3:$B$5001,$A$115)))</f>
        <v/>
      </c>
      <c r="M123" s="32" t="str">
        <f>IF(M$3="","",IF(COUNTIFS(Base!$A$3:$A$5001,M$3,Base!$B$3:$B$5001,$A$115,Base!$Y$3:$Y$5001,"&lt;&gt;")=0,"",SUMIFS(Base!$Y$3:$Y$5001,Base!$A$3:$A$5001,M$3,Base!$B$3:$B$5001,$A$115)))</f>
        <v/>
      </c>
      <c r="N123" s="32" t="str">
        <f>IF(N$3="","",IF(COUNTIFS(Base!$A$3:$A$5001,N$3,Base!$B$3:$B$5001,$A$115,Base!$Y$3:$Y$5001,"&lt;&gt;")=0,"",SUMIFS(Base!$Y$3:$Y$5001,Base!$A$3:$A$5001,N$3,Base!$B$3:$B$5001,$A$115)))</f>
        <v/>
      </c>
      <c r="O123" s="32" t="str">
        <f>IF(O$3="","",IF(COUNTIFS(Base!$A$3:$A$5001,O$3,Base!$B$3:$B$5001,$A$115,Base!$Y$3:$Y$5001,"&lt;&gt;")=0,"",SUMIFS(Base!$Y$3:$Y$5001,Base!$A$3:$A$5001,O$3,Base!$B$3:$B$5001,$A$115)))</f>
        <v/>
      </c>
      <c r="P123" s="32" t="str">
        <f>IF(P$3="","",IF(COUNTIFS(Base!$A$3:$A$5001,P$3,Base!$B$3:$B$5001,$A$115,Base!$Y$3:$Y$5001,"&lt;&gt;")=0,"",SUMIFS(Base!$Y$3:$Y$5001,Base!$A$3:$A$5001,P$3,Base!$B$3:$B$5001,$A$115)))</f>
        <v/>
      </c>
      <c r="Q123" s="32" t="str">
        <f>IF(Q$3="","",IF(COUNTIFS(Base!$A$3:$A$5001,Q$3,Base!$B$3:$B$5001,$A$115,Base!$Y$3:$Y$5001,"&lt;&gt;")=0,"",SUMIFS(Base!$Y$3:$Y$5001,Base!$A$3:$A$5001,Q$3,Base!$B$3:$B$5001,$A$115)))</f>
        <v/>
      </c>
      <c r="R123" s="32" t="str">
        <f>IF(R$3="","",IF(COUNTIFS(Base!$A$3:$A$5001,R$3,Base!$B$3:$B$5001,$A$115,Base!$Y$3:$Y$5001,"&lt;&gt;")=0,"",SUMIFS(Base!$Y$3:$Y$5001,Base!$A$3:$A$5001,R$3,Base!$B$3:$B$5001,$A$115)))</f>
        <v/>
      </c>
      <c r="S123" s="32" t="str">
        <f>IF(S$3="","",IF(COUNTIFS(Base!$A$3:$A$5001,S$3,Base!$B$3:$B$5001,$A$115,Base!$Y$3:$Y$5001,"&lt;&gt;")=0,"",SUMIFS(Base!$Y$3:$Y$5001,Base!$A$3:$A$5001,S$3,Base!$B$3:$B$5001,$A$115)))</f>
        <v/>
      </c>
      <c r="T123" s="32" t="str">
        <f>IF(T$3="","",IF(COUNTIFS(Base!$A$3:$A$5001,T$3,Base!$B$3:$B$5001,$A$115,Base!$Y$3:$Y$5001,"&lt;&gt;")=0,"",SUMIFS(Base!$Y$3:$Y$5001,Base!$A$3:$A$5001,T$3,Base!$B$3:$B$5001,$A$115)))</f>
        <v/>
      </c>
      <c r="U123" s="32" t="str">
        <f>IF(U$3="","",IF(COUNTIFS(Base!$A$3:$A$5001,U$3,Base!$B$3:$B$5001,$A$115,Base!$Y$3:$Y$5001,"&lt;&gt;")=0,"",SUMIFS(Base!$Y$3:$Y$5001,Base!$A$3:$A$5001,U$3,Base!$B$3:$B$5001,$A$115)))</f>
        <v/>
      </c>
      <c r="V123" s="32" t="str">
        <f>IF(V$3="","",IF(COUNTIFS(Base!$A$3:$A$5001,V$3,Base!$B$3:$B$5001,$A$115,Base!$Y$3:$Y$5001,"&lt;&gt;")=0,"",SUMIFS(Base!$Y$3:$Y$5001,Base!$A$3:$A$5001,V$3,Base!$B$3:$B$5001,$A$115)))</f>
        <v/>
      </c>
      <c r="W123" s="32" t="str">
        <f>IF(W$3="","",IF(COUNTIFS(Base!$A$3:$A$5001,W$3,Base!$B$3:$B$5001,$A$115,Base!$Y$3:$Y$5001,"&lt;&gt;")=0,"",SUMIFS(Base!$Y$3:$Y$5001,Base!$A$3:$A$5001,W$3,Base!$B$3:$B$5001,$A$115)))</f>
        <v/>
      </c>
      <c r="X123" s="32" t="str">
        <f>IF(X$3="","",IF(COUNTIFS(Base!$A$3:$A$5001,X$3,Base!$B$3:$B$5001,$A$115,Base!$Y$3:$Y$5001,"&lt;&gt;")=0,"",SUMIFS(Base!$Y$3:$Y$5001,Base!$A$3:$A$5001,X$3,Base!$B$3:$B$5001,$A$115)))</f>
        <v/>
      </c>
      <c r="Y123" s="32" t="str">
        <f>IF(Y$3="","",IF(COUNTIFS(Base!$A$3:$A$5001,Y$3,Base!$B$3:$B$5001,$A$115,Base!$Y$3:$Y$5001,"&lt;&gt;")=0,"",SUMIFS(Base!$Y$3:$Y$5001,Base!$A$3:$A$5001,Y$3,Base!$B$3:$B$5001,$A$115)))</f>
        <v/>
      </c>
      <c r="Z123" s="32" t="str">
        <f>IF(Z$3="","",IF(COUNTIFS(Base!$A$3:$A$5001,Z$3,Base!$B$3:$B$5001,$A$115,Base!$Y$3:$Y$5001,"&lt;&gt;")=0,"",SUMIFS(Base!$Y$3:$Y$5001,Base!$A$3:$A$5001,Z$3,Base!$B$3:$B$5001,$A$115)))</f>
        <v/>
      </c>
      <c r="AA123" s="32" t="str">
        <f>IF(AA$3="","",IF(COUNTIFS(Base!$A$3:$A$5001,AA$3,Base!$B$3:$B$5001,$A$115,Base!$Y$3:$Y$5001,"&lt;&gt;")=0,"",SUMIFS(Base!$Y$3:$Y$5001,Base!$A$3:$A$5001,AA$3,Base!$B$3:$B$5001,$A$115)))</f>
        <v/>
      </c>
      <c r="AB123" s="32" t="str">
        <f>IF(AB$3="","",IF(COUNTIFS(Base!$A$3:$A$5001,AB$3,Base!$B$3:$B$5001,$A$115,Base!$Y$3:$Y$5001,"&lt;&gt;")=0,"",SUMIFS(Base!$Y$3:$Y$5001,Base!$A$3:$A$5001,AB$3,Base!$B$3:$B$5001,$A$115)))</f>
        <v/>
      </c>
      <c r="AC123" s="32" t="str">
        <f>IF(AC$3="","",IF(COUNTIFS(Base!$A$3:$A$5001,AC$3,Base!$B$3:$B$5001,$A$115,Base!$Y$3:$Y$5001,"&lt;&gt;")=0,"",SUMIFS(Base!$Y$3:$Y$5001,Base!$A$3:$A$5001,AC$3,Base!$B$3:$B$5001,$A$115)))</f>
        <v/>
      </c>
      <c r="AD123" s="32" t="str">
        <f>IF(AD$3="","",IF(COUNTIFS(Base!$A$3:$A$5001,AD$3,Base!$B$3:$B$5001,$A$115,Base!$Y$3:$Y$5001,"&lt;&gt;")=0,"",SUMIFS(Base!$Y$3:$Y$5001,Base!$A$3:$A$5001,AD$3,Base!$B$3:$B$5001,$A$115)))</f>
        <v/>
      </c>
      <c r="AE123" s="32" t="str">
        <f>IF(AE$3="","",IF(COUNTIFS(Base!$A$3:$A$5001,AE$3,Base!$B$3:$B$5001,$A$115,Base!$Y$3:$Y$5001,"&lt;&gt;")=0,"",SUMIFS(Base!$Y$3:$Y$5001,Base!$A$3:$A$5001,AE$3,Base!$B$3:$B$5001,$A$115)))</f>
        <v/>
      </c>
      <c r="AF123" s="32" t="str">
        <f>IF(AF$3="","",IF(COUNTIFS(Base!$A$3:$A$5001,AF$3,Base!$B$3:$B$5001,$A$115,Base!$Y$3:$Y$5001,"&lt;&gt;")=0,"",SUMIFS(Base!$Y$3:$Y$5001,Base!$A$3:$A$5001,AF$3,Base!$B$3:$B$5001,$A$115)))</f>
        <v/>
      </c>
      <c r="AG123" s="32" t="str">
        <f>IF(AG$3="","",IF(COUNTIFS(Base!$A$3:$A$5001,AG$3,Base!$B$3:$B$5001,$A$115,Base!$Y$3:$Y$5001,"&lt;&gt;")=0,"",SUMIFS(Base!$Y$3:$Y$5001,Base!$A$3:$A$5001,AG$3,Base!$B$3:$B$5001,$A$115)))</f>
        <v/>
      </c>
      <c r="AH123" s="32" t="str">
        <f>IF(AH$3="","",IF(COUNTIFS(Base!$A$3:$A$5001,AH$3,Base!$B$3:$B$5001,$A$115,Base!$Y$3:$Y$5001,"&lt;&gt;")=0,"",SUMIFS(Base!$Y$3:$Y$5001,Base!$A$3:$A$5001,AH$3,Base!$B$3:$B$5001,$A$115)))</f>
        <v/>
      </c>
      <c r="AI123" s="32" t="str">
        <f>IF(AI$3="","",IF(COUNTIFS(Base!$A$3:$A$5001,AI$3,Base!$B$3:$B$5001,$A$115,Base!$Y$3:$Y$5001,"&lt;&gt;")=0,"",SUMIFS(Base!$Y$3:$Y$5001,Base!$A$3:$A$5001,AI$3,Base!$B$3:$B$5001,$A$115)))</f>
        <v/>
      </c>
      <c r="AJ123" s="33" t="str">
        <f>IF(AJ$3="","",IF(COUNTIFS(Base!$A$3:$A$5001,AJ$3,Base!$B$3:$B$5001,$A$115,Base!$Y$3:$Y$5001,"&lt;&gt;")=0,"",SUMIFS(Base!$Y$3:$Y$5001,Base!$A$3:$A$5001,AJ$3,Base!$B$3:$B$5001,$A$115)))</f>
        <v/>
      </c>
      <c r="AK123" s="34" t="str">
        <f>IFERROR(LOOKUP(9.99E+307,F123:AJ123),"")</f>
        <v/>
      </c>
    </row>
    <row r="124" ht="15.75" customHeight="1">
      <c r="A124" s="118"/>
      <c r="B124" s="107"/>
      <c r="C124" s="35" t="inlineStr">
        <is>
          <t xml:space="preserve">Taxa de Ocupação</t>
        </is>
      </c>
      <c r="D124" s="81" t="str">
        <f>IFERROR(1/(1/INDEX(calculos!$C$55:$K$83,MATCH("Taxa de Ocupação",calculos!$A$55:$A$83,0),MATCH($A$115,calculos!$C$54:$K$54,0))),"")</f>
        <v/>
      </c>
      <c r="E124" s="37"/>
      <c r="F124" s="82" t="str">
        <f>IF(AND(ISNUMBER(F122),ISNUMBER(F123)),IF(F122&gt;0,F123/F122,""),"")</f>
        <v/>
      </c>
      <c r="G124" s="83" t="str">
        <f>IF(AND(ISNUMBER(G122),ISNUMBER(G123)),IF(G122&gt;0,G123/G122,""),"")</f>
        <v/>
      </c>
      <c r="H124" s="83" t="str">
        <f>IF(AND(ISNUMBER(H122),ISNUMBER(H123)),IF(H122&gt;0,H123/H122,""),"")</f>
        <v/>
      </c>
      <c r="I124" s="83" t="str">
        <f>IF(AND(ISNUMBER(I122),ISNUMBER(I123)),IF(I122&gt;0,I123/I122,""),"")</f>
        <v/>
      </c>
      <c r="J124" s="83" t="str">
        <f>IF(AND(ISNUMBER(J122),ISNUMBER(J123)),IF(J122&gt;0,J123/J122,""),"")</f>
        <v/>
      </c>
      <c r="K124" s="83" t="str">
        <f>IF(AND(ISNUMBER(K122),ISNUMBER(K123)),IF(K122&gt;0,K123/K122,""),"")</f>
        <v/>
      </c>
      <c r="L124" s="83" t="str">
        <f>IF(AND(ISNUMBER(L122),ISNUMBER(L123)),IF(L122&gt;0,L123/L122,""),"")</f>
        <v/>
      </c>
      <c r="M124" s="83" t="str">
        <f>IF(AND(ISNUMBER(M122),ISNUMBER(M123)),IF(M122&gt;0,M123/M122,""),"")</f>
        <v/>
      </c>
      <c r="N124" s="83" t="str">
        <f>IF(AND(ISNUMBER(N122),ISNUMBER(N123)),IF(N122&gt;0,N123/N122,""),"")</f>
        <v/>
      </c>
      <c r="O124" s="83" t="str">
        <f>IF(AND(ISNUMBER(O122),ISNUMBER(O123)),IF(O122&gt;0,O123/O122,""),"")</f>
        <v/>
      </c>
      <c r="P124" s="83" t="str">
        <f>IF(AND(ISNUMBER(P122),ISNUMBER(P123)),IF(P122&gt;0,P123/P122,""),"")</f>
        <v/>
      </c>
      <c r="Q124" s="83" t="str">
        <f>IF(AND(ISNUMBER(Q122),ISNUMBER(Q123)),IF(Q122&gt;0,Q123/Q122,""),"")</f>
        <v/>
      </c>
      <c r="R124" s="83" t="str">
        <f>IF(AND(ISNUMBER(R122),ISNUMBER(R123)),IF(R122&gt;0,R123/R122,""),"")</f>
        <v/>
      </c>
      <c r="S124" s="83" t="str">
        <f>IF(AND(ISNUMBER(S122),ISNUMBER(S123)),IF(S122&gt;0,S123/S122,""),"")</f>
        <v/>
      </c>
      <c r="T124" s="83" t="str">
        <f>IF(AND(ISNUMBER(T122),ISNUMBER(T123)),IF(T122&gt;0,T123/T122,""),"")</f>
        <v/>
      </c>
      <c r="U124" s="83" t="str">
        <f>IF(AND(ISNUMBER(U122),ISNUMBER(U123)),IF(U122&gt;0,U123/U122,""),"")</f>
        <v/>
      </c>
      <c r="V124" s="83" t="str">
        <f>IF(AND(ISNUMBER(V122),ISNUMBER(V123)),IF(V122&gt;0,V123/V122,""),"")</f>
        <v/>
      </c>
      <c r="W124" s="83" t="str">
        <f>IF(AND(ISNUMBER(W122),ISNUMBER(W123)),IF(W122&gt;0,W123/W122,""),"")</f>
        <v/>
      </c>
      <c r="X124" s="83" t="str">
        <f>IF(AND(ISNUMBER(X122),ISNUMBER(X123)),IF(X122&gt;0,X123/X122,""),"")</f>
        <v/>
      </c>
      <c r="Y124" s="83" t="str">
        <f>IF(AND(ISNUMBER(Y122),ISNUMBER(Y123)),IF(Y122&gt;0,Y123/Y122,""),"")</f>
        <v/>
      </c>
      <c r="Z124" s="83" t="str">
        <f>IF(AND(ISNUMBER(Z122),ISNUMBER(Z123)),IF(Z122&gt;0,Z123/Z122,""),"")</f>
        <v/>
      </c>
      <c r="AA124" s="83" t="str">
        <f>IF(AND(ISNUMBER(AA122),ISNUMBER(AA123)),IF(AA122&gt;0,AA123/AA122,""),"")</f>
        <v/>
      </c>
      <c r="AB124" s="83" t="str">
        <f>IF(AND(ISNUMBER(AB122),ISNUMBER(AB123)),IF(AB122&gt;0,AB123/AB122,""),"")</f>
        <v/>
      </c>
      <c r="AC124" s="83" t="str">
        <f>IF(AND(ISNUMBER(AC122),ISNUMBER(AC123)),IF(AC122&gt;0,AC123/AC122,""),"")</f>
        <v/>
      </c>
      <c r="AD124" s="83" t="str">
        <f>IF(AND(ISNUMBER(AD122),ISNUMBER(AD123)),IF(AD122&gt;0,AD123/AD122,""),"")</f>
        <v/>
      </c>
      <c r="AE124" s="83" t="str">
        <f>IF(AND(ISNUMBER(AE122),ISNUMBER(AE123)),IF(AE122&gt;0,AE123/AE122,""),"")</f>
        <v/>
      </c>
      <c r="AF124" s="83" t="str">
        <f>IF(AND(ISNUMBER(AF122),ISNUMBER(AF123)),IF(AF122&gt;0,AF123/AF122,""),"")</f>
        <v/>
      </c>
      <c r="AG124" s="83" t="str">
        <f>IF(AND(ISNUMBER(AG122),ISNUMBER(AG123)),IF(AG122&gt;0,AG123/AG122,""),"")</f>
        <v/>
      </c>
      <c r="AH124" s="83" t="str">
        <f>IF(AND(ISNUMBER(AH122),ISNUMBER(AH123)),IF(AH122&gt;0,AH123/AH122,""),"")</f>
        <v/>
      </c>
      <c r="AI124" s="83" t="str">
        <f>IF(AND(ISNUMBER(AI122),ISNUMBER(AI123)),IF(AI122&gt;0,AI123/AI122,""),"")</f>
        <v/>
      </c>
      <c r="AJ124" s="84" t="str">
        <f>IF(AND(ISNUMBER(AJ122),ISNUMBER(AJ123)),IF(AJ122&gt;0,AJ123/AJ122,""),"")</f>
        <v/>
      </c>
      <c r="AK124" s="81" t="str">
        <f>IF(AND(ISNUMBER(AK122),ISNUMBER(AK123)),IF(AK122&gt;0,AK123/AK122,""),"")</f>
        <v/>
      </c>
    </row>
    <row r="125" ht="15.75" customHeight="1">
      <c r="A125" s="118"/>
      <c r="B125" s="114" t="inlineStr">
        <is>
          <t xml:space="preserve">GENTE</t>
        </is>
      </c>
      <c r="C125" s="85" t="inlineStr">
        <is>
          <t xml:space="preserve">Efetivo</t>
        </is>
      </c>
      <c r="D125" s="86" t="str">
        <f>IFERROR(1/(1/INDEX(calculos!$C$55:$K$83,MATCH("Efetivo",calculos!$A$55:$A$83,0),MATCH($A$115,calculos!$C$54:$K$54,0))),"")</f>
        <v/>
      </c>
      <c r="E125" s="87"/>
      <c r="F125" s="88" t="str">
        <f>IF(F$3="","",IF(COUNTIFS(Base!$A$3:$A$5001,F$3,Base!$B$3:$B$5001,$A$115,Base!$Z$3:$Z$5001,"&lt;&gt;")=0,"",SUMIFS(Base!$Z$3:$Z$5001,Base!$A$3:$A$5001,F$3,Base!$B$3:$B$5001,$A$115)))</f>
        <v/>
      </c>
      <c r="G125" s="89" t="str">
        <f>IF(G$3="","",IF(COUNTIFS(Base!$A$3:$A$5001,G$3,Base!$B$3:$B$5001,$A$115,Base!$Z$3:$Z$5001,"&lt;&gt;")=0,"",SUMIFS(Base!$Z$3:$Z$5001,Base!$A$3:$A$5001,G$3,Base!$B$3:$B$5001,$A$115)))</f>
        <v/>
      </c>
      <c r="H125" s="89" t="str">
        <f>IF(H$3="","",IF(COUNTIFS(Base!$A$3:$A$5001,H$3,Base!$B$3:$B$5001,$A$115,Base!$Z$3:$Z$5001,"&lt;&gt;")=0,"",SUMIFS(Base!$Z$3:$Z$5001,Base!$A$3:$A$5001,H$3,Base!$B$3:$B$5001,$A$115)))</f>
        <v/>
      </c>
      <c r="I125" s="89" t="str">
        <f>IF(I$3="","",IF(COUNTIFS(Base!$A$3:$A$5001,I$3,Base!$B$3:$B$5001,$A$115,Base!$Z$3:$Z$5001,"&lt;&gt;")=0,"",SUMIFS(Base!$Z$3:$Z$5001,Base!$A$3:$A$5001,I$3,Base!$B$3:$B$5001,$A$115)))</f>
        <v/>
      </c>
      <c r="J125" s="89" t="str">
        <f>IF(J$3="","",IF(COUNTIFS(Base!$A$3:$A$5001,J$3,Base!$B$3:$B$5001,$A$115,Base!$Z$3:$Z$5001,"&lt;&gt;")=0,"",SUMIFS(Base!$Z$3:$Z$5001,Base!$A$3:$A$5001,J$3,Base!$B$3:$B$5001,$A$115)))</f>
        <v/>
      </c>
      <c r="K125" s="89" t="str">
        <f>IF(K$3="","",IF(COUNTIFS(Base!$A$3:$A$5001,K$3,Base!$B$3:$B$5001,$A$115,Base!$Z$3:$Z$5001,"&lt;&gt;")=0,"",SUMIFS(Base!$Z$3:$Z$5001,Base!$A$3:$A$5001,K$3,Base!$B$3:$B$5001,$A$115)))</f>
        <v/>
      </c>
      <c r="L125" s="89" t="str">
        <f>IF(L$3="","",IF(COUNTIFS(Base!$A$3:$A$5001,L$3,Base!$B$3:$B$5001,$A$115,Base!$Z$3:$Z$5001,"&lt;&gt;")=0,"",SUMIFS(Base!$Z$3:$Z$5001,Base!$A$3:$A$5001,L$3,Base!$B$3:$B$5001,$A$115)))</f>
        <v/>
      </c>
      <c r="M125" s="89" t="str">
        <f>IF(M$3="","",IF(COUNTIFS(Base!$A$3:$A$5001,M$3,Base!$B$3:$B$5001,$A$115,Base!$Z$3:$Z$5001,"&lt;&gt;")=0,"",SUMIFS(Base!$Z$3:$Z$5001,Base!$A$3:$A$5001,M$3,Base!$B$3:$B$5001,$A$115)))</f>
        <v/>
      </c>
      <c r="N125" s="89" t="str">
        <f>IF(N$3="","",IF(COUNTIFS(Base!$A$3:$A$5001,N$3,Base!$B$3:$B$5001,$A$115,Base!$Z$3:$Z$5001,"&lt;&gt;")=0,"",SUMIFS(Base!$Z$3:$Z$5001,Base!$A$3:$A$5001,N$3,Base!$B$3:$B$5001,$A$115)))</f>
        <v/>
      </c>
      <c r="O125" s="89" t="str">
        <f>IF(O$3="","",IF(COUNTIFS(Base!$A$3:$A$5001,O$3,Base!$B$3:$B$5001,$A$115,Base!$Z$3:$Z$5001,"&lt;&gt;")=0,"",SUMIFS(Base!$Z$3:$Z$5001,Base!$A$3:$A$5001,O$3,Base!$B$3:$B$5001,$A$115)))</f>
        <v/>
      </c>
      <c r="P125" s="89" t="str">
        <f>IF(P$3="","",IF(COUNTIFS(Base!$A$3:$A$5001,P$3,Base!$B$3:$B$5001,$A$115,Base!$Z$3:$Z$5001,"&lt;&gt;")=0,"",SUMIFS(Base!$Z$3:$Z$5001,Base!$A$3:$A$5001,P$3,Base!$B$3:$B$5001,$A$115)))</f>
        <v/>
      </c>
      <c r="Q125" s="89" t="str">
        <f>IF(Q$3="","",IF(COUNTIFS(Base!$A$3:$A$5001,Q$3,Base!$B$3:$B$5001,$A$115,Base!$Z$3:$Z$5001,"&lt;&gt;")=0,"",SUMIFS(Base!$Z$3:$Z$5001,Base!$A$3:$A$5001,Q$3,Base!$B$3:$B$5001,$A$115)))</f>
        <v/>
      </c>
      <c r="R125" s="89" t="str">
        <f>IF(R$3="","",IF(COUNTIFS(Base!$A$3:$A$5001,R$3,Base!$B$3:$B$5001,$A$115,Base!$Z$3:$Z$5001,"&lt;&gt;")=0,"",SUMIFS(Base!$Z$3:$Z$5001,Base!$A$3:$A$5001,R$3,Base!$B$3:$B$5001,$A$115)))</f>
        <v/>
      </c>
      <c r="S125" s="89" t="str">
        <f>IF(S$3="","",IF(COUNTIFS(Base!$A$3:$A$5001,S$3,Base!$B$3:$B$5001,$A$115,Base!$Z$3:$Z$5001,"&lt;&gt;")=0,"",SUMIFS(Base!$Z$3:$Z$5001,Base!$A$3:$A$5001,S$3,Base!$B$3:$B$5001,$A$115)))</f>
        <v/>
      </c>
      <c r="T125" s="89" t="str">
        <f>IF(T$3="","",IF(COUNTIFS(Base!$A$3:$A$5001,T$3,Base!$B$3:$B$5001,$A$115,Base!$Z$3:$Z$5001,"&lt;&gt;")=0,"",SUMIFS(Base!$Z$3:$Z$5001,Base!$A$3:$A$5001,T$3,Base!$B$3:$B$5001,$A$115)))</f>
        <v/>
      </c>
      <c r="U125" s="89" t="str">
        <f>IF(U$3="","",IF(COUNTIFS(Base!$A$3:$A$5001,U$3,Base!$B$3:$B$5001,$A$115,Base!$Z$3:$Z$5001,"&lt;&gt;")=0,"",SUMIFS(Base!$Z$3:$Z$5001,Base!$A$3:$A$5001,U$3,Base!$B$3:$B$5001,$A$115)))</f>
        <v/>
      </c>
      <c r="V125" s="89" t="str">
        <f>IF(V$3="","",IF(COUNTIFS(Base!$A$3:$A$5001,V$3,Base!$B$3:$B$5001,$A$115,Base!$Z$3:$Z$5001,"&lt;&gt;")=0,"",SUMIFS(Base!$Z$3:$Z$5001,Base!$A$3:$A$5001,V$3,Base!$B$3:$B$5001,$A$115)))</f>
        <v/>
      </c>
      <c r="W125" s="89" t="str">
        <f>IF(W$3="","",IF(COUNTIFS(Base!$A$3:$A$5001,W$3,Base!$B$3:$B$5001,$A$115,Base!$Z$3:$Z$5001,"&lt;&gt;")=0,"",SUMIFS(Base!$Z$3:$Z$5001,Base!$A$3:$A$5001,W$3,Base!$B$3:$B$5001,$A$115)))</f>
        <v/>
      </c>
      <c r="X125" s="89" t="str">
        <f>IF(X$3="","",IF(COUNTIFS(Base!$A$3:$A$5001,X$3,Base!$B$3:$B$5001,$A$115,Base!$Z$3:$Z$5001,"&lt;&gt;")=0,"",SUMIFS(Base!$Z$3:$Z$5001,Base!$A$3:$A$5001,X$3,Base!$B$3:$B$5001,$A$115)))</f>
        <v/>
      </c>
      <c r="Y125" s="89" t="str">
        <f>IF(Y$3="","",IF(COUNTIFS(Base!$A$3:$A$5001,Y$3,Base!$B$3:$B$5001,$A$115,Base!$Z$3:$Z$5001,"&lt;&gt;")=0,"",SUMIFS(Base!$Z$3:$Z$5001,Base!$A$3:$A$5001,Y$3,Base!$B$3:$B$5001,$A$115)))</f>
        <v/>
      </c>
      <c r="Z125" s="89" t="str">
        <f>IF(Z$3="","",IF(COUNTIFS(Base!$A$3:$A$5001,Z$3,Base!$B$3:$B$5001,$A$115,Base!$Z$3:$Z$5001,"&lt;&gt;")=0,"",SUMIFS(Base!$Z$3:$Z$5001,Base!$A$3:$A$5001,Z$3,Base!$B$3:$B$5001,$A$115)))</f>
        <v/>
      </c>
      <c r="AA125" s="89" t="str">
        <f>IF(AA$3="","",IF(COUNTIFS(Base!$A$3:$A$5001,AA$3,Base!$B$3:$B$5001,$A$115,Base!$Z$3:$Z$5001,"&lt;&gt;")=0,"",SUMIFS(Base!$Z$3:$Z$5001,Base!$A$3:$A$5001,AA$3,Base!$B$3:$B$5001,$A$115)))</f>
        <v/>
      </c>
      <c r="AB125" s="89" t="str">
        <f>IF(AB$3="","",IF(COUNTIFS(Base!$A$3:$A$5001,AB$3,Base!$B$3:$B$5001,$A$115,Base!$Z$3:$Z$5001,"&lt;&gt;")=0,"",SUMIFS(Base!$Z$3:$Z$5001,Base!$A$3:$A$5001,AB$3,Base!$B$3:$B$5001,$A$115)))</f>
        <v/>
      </c>
      <c r="AC125" s="89" t="str">
        <f>IF(AC$3="","",IF(COUNTIFS(Base!$A$3:$A$5001,AC$3,Base!$B$3:$B$5001,$A$115,Base!$Z$3:$Z$5001,"&lt;&gt;")=0,"",SUMIFS(Base!$Z$3:$Z$5001,Base!$A$3:$A$5001,AC$3,Base!$B$3:$B$5001,$A$115)))</f>
        <v/>
      </c>
      <c r="AD125" s="89" t="str">
        <f>IF(AD$3="","",IF(COUNTIFS(Base!$A$3:$A$5001,AD$3,Base!$B$3:$B$5001,$A$115,Base!$Z$3:$Z$5001,"&lt;&gt;")=0,"",SUMIFS(Base!$Z$3:$Z$5001,Base!$A$3:$A$5001,AD$3,Base!$B$3:$B$5001,$A$115)))</f>
        <v/>
      </c>
      <c r="AE125" s="89" t="str">
        <f>IF(AE$3="","",IF(COUNTIFS(Base!$A$3:$A$5001,AE$3,Base!$B$3:$B$5001,$A$115,Base!$Z$3:$Z$5001,"&lt;&gt;")=0,"",SUMIFS(Base!$Z$3:$Z$5001,Base!$A$3:$A$5001,AE$3,Base!$B$3:$B$5001,$A$115)))</f>
        <v/>
      </c>
      <c r="AF125" s="89" t="str">
        <f>IF(AF$3="","",IF(COUNTIFS(Base!$A$3:$A$5001,AF$3,Base!$B$3:$B$5001,$A$115,Base!$Z$3:$Z$5001,"&lt;&gt;")=0,"",SUMIFS(Base!$Z$3:$Z$5001,Base!$A$3:$A$5001,AF$3,Base!$B$3:$B$5001,$A$115)))</f>
        <v/>
      </c>
      <c r="AG125" s="89" t="str">
        <f>IF(AG$3="","",IF(COUNTIFS(Base!$A$3:$A$5001,AG$3,Base!$B$3:$B$5001,$A$115,Base!$Z$3:$Z$5001,"&lt;&gt;")=0,"",SUMIFS(Base!$Z$3:$Z$5001,Base!$A$3:$A$5001,AG$3,Base!$B$3:$B$5001,$A$115)))</f>
        <v/>
      </c>
      <c r="AH125" s="89" t="str">
        <f>IF(AH$3="","",IF(COUNTIFS(Base!$A$3:$A$5001,AH$3,Base!$B$3:$B$5001,$A$115,Base!$Z$3:$Z$5001,"&lt;&gt;")=0,"",SUMIFS(Base!$Z$3:$Z$5001,Base!$A$3:$A$5001,AH$3,Base!$B$3:$B$5001,$A$115)))</f>
        <v/>
      </c>
      <c r="AI125" s="89" t="str">
        <f>IF(AI$3="","",IF(COUNTIFS(Base!$A$3:$A$5001,AI$3,Base!$B$3:$B$5001,$A$115,Base!$Z$3:$Z$5001,"&lt;&gt;")=0,"",SUMIFS(Base!$Z$3:$Z$5001,Base!$A$3:$A$5001,AI$3,Base!$B$3:$B$5001,$A$115)))</f>
        <v/>
      </c>
      <c r="AJ125" s="90" t="str">
        <f>IF(AJ$3="","",IF(COUNTIFS(Base!$A$3:$A$5001,AJ$3,Base!$B$3:$B$5001,$A$115,Base!$Z$3:$Z$5001,"&lt;&gt;")=0,"",SUMIFS(Base!$Z$3:$Z$5001,Base!$A$3:$A$5001,AJ$3,Base!$B$3:$B$5001,$A$115)))</f>
        <v/>
      </c>
      <c r="AK125" s="91" t="str">
        <f>IFERROR(LOOKUP(9.99E+307,F125:AJ125),"")</f>
        <v/>
      </c>
    </row>
    <row r="126" ht="15.75" customHeight="1">
      <c r="A126" s="118"/>
      <c r="B126" s="115"/>
      <c r="C126" s="92" t="inlineStr">
        <is>
          <t xml:space="preserve">Falta</t>
        </is>
      </c>
      <c r="D126" s="93" t="str">
        <f>IFERROR(1/(1/INDEX(calculos!$C$55:$K$83,MATCH("Falta",calculos!$A$55:$A$83,0),MATCH($A$115,calculos!$C$54:$K$54,0))),"")</f>
        <v/>
      </c>
      <c r="E126" s="94"/>
      <c r="F126" s="95" t="str">
        <f>IF(F$3="","",IF(COUNTIFS(Base!$A$3:$A$5001,F$3,Base!$B$3:$B$5001,$A$115,Base!$AA$3:$AA$5001,"&lt;&gt;")=0,"",SUMIFS(Base!$AA$3:$AA$5001,Base!$A$3:$A$5001,F$3,Base!$B$3:$B$5001,$A$115)))</f>
        <v/>
      </c>
      <c r="G126" s="96" t="str">
        <f>IF(G$3="","",IF(COUNTIFS(Base!$A$3:$A$5001,G$3,Base!$B$3:$B$5001,$A$115,Base!$AA$3:$AA$5001,"&lt;&gt;")=0,"",SUMIFS(Base!$AA$3:$AA$5001,Base!$A$3:$A$5001,G$3,Base!$B$3:$B$5001,$A$115)))</f>
        <v/>
      </c>
      <c r="H126" s="96" t="str">
        <f>IF(H$3="","",IF(COUNTIFS(Base!$A$3:$A$5001,H$3,Base!$B$3:$B$5001,$A$115,Base!$AA$3:$AA$5001,"&lt;&gt;")=0,"",SUMIFS(Base!$AA$3:$AA$5001,Base!$A$3:$A$5001,H$3,Base!$B$3:$B$5001,$A$115)))</f>
        <v/>
      </c>
      <c r="I126" s="96" t="str">
        <f>IF(I$3="","",IF(COUNTIFS(Base!$A$3:$A$5001,I$3,Base!$B$3:$B$5001,$A$115,Base!$AA$3:$AA$5001,"&lt;&gt;")=0,"",SUMIFS(Base!$AA$3:$AA$5001,Base!$A$3:$A$5001,I$3,Base!$B$3:$B$5001,$A$115)))</f>
        <v/>
      </c>
      <c r="J126" s="96" t="str">
        <f>IF(J$3="","",IF(COUNTIFS(Base!$A$3:$A$5001,J$3,Base!$B$3:$B$5001,$A$115,Base!$AA$3:$AA$5001,"&lt;&gt;")=0,"",SUMIFS(Base!$AA$3:$AA$5001,Base!$A$3:$A$5001,J$3,Base!$B$3:$B$5001,$A$115)))</f>
        <v/>
      </c>
      <c r="K126" s="96" t="str">
        <f>IF(K$3="","",IF(COUNTIFS(Base!$A$3:$A$5001,K$3,Base!$B$3:$B$5001,$A$115,Base!$AA$3:$AA$5001,"&lt;&gt;")=0,"",SUMIFS(Base!$AA$3:$AA$5001,Base!$A$3:$A$5001,K$3,Base!$B$3:$B$5001,$A$115)))</f>
        <v/>
      </c>
      <c r="L126" s="96" t="str">
        <f>IF(L$3="","",IF(COUNTIFS(Base!$A$3:$A$5001,L$3,Base!$B$3:$B$5001,$A$115,Base!$AA$3:$AA$5001,"&lt;&gt;")=0,"",SUMIFS(Base!$AA$3:$AA$5001,Base!$A$3:$A$5001,L$3,Base!$B$3:$B$5001,$A$115)))</f>
        <v/>
      </c>
      <c r="M126" s="96" t="str">
        <f>IF(M$3="","",IF(COUNTIFS(Base!$A$3:$A$5001,M$3,Base!$B$3:$B$5001,$A$115,Base!$AA$3:$AA$5001,"&lt;&gt;")=0,"",SUMIFS(Base!$AA$3:$AA$5001,Base!$A$3:$A$5001,M$3,Base!$B$3:$B$5001,$A$115)))</f>
        <v/>
      </c>
      <c r="N126" s="96" t="str">
        <f>IF(N$3="","",IF(COUNTIFS(Base!$A$3:$A$5001,N$3,Base!$B$3:$B$5001,$A$115,Base!$AA$3:$AA$5001,"&lt;&gt;")=0,"",SUMIFS(Base!$AA$3:$AA$5001,Base!$A$3:$A$5001,N$3,Base!$B$3:$B$5001,$A$115)))</f>
        <v/>
      </c>
      <c r="O126" s="96" t="str">
        <f>IF(O$3="","",IF(COUNTIFS(Base!$A$3:$A$5001,O$3,Base!$B$3:$B$5001,$A$115,Base!$AA$3:$AA$5001,"&lt;&gt;")=0,"",SUMIFS(Base!$AA$3:$AA$5001,Base!$A$3:$A$5001,O$3,Base!$B$3:$B$5001,$A$115)))</f>
        <v/>
      </c>
      <c r="P126" s="96" t="str">
        <f>IF(P$3="","",IF(COUNTIFS(Base!$A$3:$A$5001,P$3,Base!$B$3:$B$5001,$A$115,Base!$AA$3:$AA$5001,"&lt;&gt;")=0,"",SUMIFS(Base!$AA$3:$AA$5001,Base!$A$3:$A$5001,P$3,Base!$B$3:$B$5001,$A$115)))</f>
        <v/>
      </c>
      <c r="Q126" s="96" t="str">
        <f>IF(Q$3="","",IF(COUNTIFS(Base!$A$3:$A$5001,Q$3,Base!$B$3:$B$5001,$A$115,Base!$AA$3:$AA$5001,"&lt;&gt;")=0,"",SUMIFS(Base!$AA$3:$AA$5001,Base!$A$3:$A$5001,Q$3,Base!$B$3:$B$5001,$A$115)))</f>
        <v/>
      </c>
      <c r="R126" s="96" t="str">
        <f>IF(R$3="","",IF(COUNTIFS(Base!$A$3:$A$5001,R$3,Base!$B$3:$B$5001,$A$115,Base!$AA$3:$AA$5001,"&lt;&gt;")=0,"",SUMIFS(Base!$AA$3:$AA$5001,Base!$A$3:$A$5001,R$3,Base!$B$3:$B$5001,$A$115)))</f>
        <v/>
      </c>
      <c r="S126" s="96" t="str">
        <f>IF(S$3="","",IF(COUNTIFS(Base!$A$3:$A$5001,S$3,Base!$B$3:$B$5001,$A$115,Base!$AA$3:$AA$5001,"&lt;&gt;")=0,"",SUMIFS(Base!$AA$3:$AA$5001,Base!$A$3:$A$5001,S$3,Base!$B$3:$B$5001,$A$115)))</f>
        <v/>
      </c>
      <c r="T126" s="96" t="str">
        <f>IF(T$3="","",IF(COUNTIFS(Base!$A$3:$A$5001,T$3,Base!$B$3:$B$5001,$A$115,Base!$AA$3:$AA$5001,"&lt;&gt;")=0,"",SUMIFS(Base!$AA$3:$AA$5001,Base!$A$3:$A$5001,T$3,Base!$B$3:$B$5001,$A$115)))</f>
        <v/>
      </c>
      <c r="U126" s="96" t="str">
        <f>IF(U$3="","",IF(COUNTIFS(Base!$A$3:$A$5001,U$3,Base!$B$3:$B$5001,$A$115,Base!$AA$3:$AA$5001,"&lt;&gt;")=0,"",SUMIFS(Base!$AA$3:$AA$5001,Base!$A$3:$A$5001,U$3,Base!$B$3:$B$5001,$A$115)))</f>
        <v/>
      </c>
      <c r="V126" s="96" t="str">
        <f>IF(V$3="","",IF(COUNTIFS(Base!$A$3:$A$5001,V$3,Base!$B$3:$B$5001,$A$115,Base!$AA$3:$AA$5001,"&lt;&gt;")=0,"",SUMIFS(Base!$AA$3:$AA$5001,Base!$A$3:$A$5001,V$3,Base!$B$3:$B$5001,$A$115)))</f>
        <v/>
      </c>
      <c r="W126" s="96" t="str">
        <f>IF(W$3="","",IF(COUNTIFS(Base!$A$3:$A$5001,W$3,Base!$B$3:$B$5001,$A$115,Base!$AA$3:$AA$5001,"&lt;&gt;")=0,"",SUMIFS(Base!$AA$3:$AA$5001,Base!$A$3:$A$5001,W$3,Base!$B$3:$B$5001,$A$115)))</f>
        <v/>
      </c>
      <c r="X126" s="96" t="str">
        <f>IF(X$3="","",IF(COUNTIFS(Base!$A$3:$A$5001,X$3,Base!$B$3:$B$5001,$A$115,Base!$AA$3:$AA$5001,"&lt;&gt;")=0,"",SUMIFS(Base!$AA$3:$AA$5001,Base!$A$3:$A$5001,X$3,Base!$B$3:$B$5001,$A$115)))</f>
        <v/>
      </c>
      <c r="Y126" s="96" t="str">
        <f>IF(Y$3="","",IF(COUNTIFS(Base!$A$3:$A$5001,Y$3,Base!$B$3:$B$5001,$A$115,Base!$AA$3:$AA$5001,"&lt;&gt;")=0,"",SUMIFS(Base!$AA$3:$AA$5001,Base!$A$3:$A$5001,Y$3,Base!$B$3:$B$5001,$A$115)))</f>
        <v/>
      </c>
      <c r="Z126" s="96" t="str">
        <f>IF(Z$3="","",IF(COUNTIFS(Base!$A$3:$A$5001,Z$3,Base!$B$3:$B$5001,$A$115,Base!$AA$3:$AA$5001,"&lt;&gt;")=0,"",SUMIFS(Base!$AA$3:$AA$5001,Base!$A$3:$A$5001,Z$3,Base!$B$3:$B$5001,$A$115)))</f>
        <v/>
      </c>
      <c r="AA126" s="96" t="str">
        <f>IF(AA$3="","",IF(COUNTIFS(Base!$A$3:$A$5001,AA$3,Base!$B$3:$B$5001,$A$115,Base!$AA$3:$AA$5001,"&lt;&gt;")=0,"",SUMIFS(Base!$AA$3:$AA$5001,Base!$A$3:$A$5001,AA$3,Base!$B$3:$B$5001,$A$115)))</f>
        <v/>
      </c>
      <c r="AB126" s="96" t="str">
        <f>IF(AB$3="","",IF(COUNTIFS(Base!$A$3:$A$5001,AB$3,Base!$B$3:$B$5001,$A$115,Base!$AA$3:$AA$5001,"&lt;&gt;")=0,"",SUMIFS(Base!$AA$3:$AA$5001,Base!$A$3:$A$5001,AB$3,Base!$B$3:$B$5001,$A$115)))</f>
        <v/>
      </c>
      <c r="AC126" s="96" t="str">
        <f>IF(AC$3="","",IF(COUNTIFS(Base!$A$3:$A$5001,AC$3,Base!$B$3:$B$5001,$A$115,Base!$AA$3:$AA$5001,"&lt;&gt;")=0,"",SUMIFS(Base!$AA$3:$AA$5001,Base!$A$3:$A$5001,AC$3,Base!$B$3:$B$5001,$A$115)))</f>
        <v/>
      </c>
      <c r="AD126" s="96" t="str">
        <f>IF(AD$3="","",IF(COUNTIFS(Base!$A$3:$A$5001,AD$3,Base!$B$3:$B$5001,$A$115,Base!$AA$3:$AA$5001,"&lt;&gt;")=0,"",SUMIFS(Base!$AA$3:$AA$5001,Base!$A$3:$A$5001,AD$3,Base!$B$3:$B$5001,$A$115)))</f>
        <v/>
      </c>
      <c r="AE126" s="96" t="str">
        <f>IF(AE$3="","",IF(COUNTIFS(Base!$A$3:$A$5001,AE$3,Base!$B$3:$B$5001,$A$115,Base!$AA$3:$AA$5001,"&lt;&gt;")=0,"",SUMIFS(Base!$AA$3:$AA$5001,Base!$A$3:$A$5001,AE$3,Base!$B$3:$B$5001,$A$115)))</f>
        <v/>
      </c>
      <c r="AF126" s="96" t="str">
        <f>IF(AF$3="","",IF(COUNTIFS(Base!$A$3:$A$5001,AF$3,Base!$B$3:$B$5001,$A$115,Base!$AA$3:$AA$5001,"&lt;&gt;")=0,"",SUMIFS(Base!$AA$3:$AA$5001,Base!$A$3:$A$5001,AF$3,Base!$B$3:$B$5001,$A$115)))</f>
        <v/>
      </c>
      <c r="AG126" s="96" t="str">
        <f>IF(AG$3="","",IF(COUNTIFS(Base!$A$3:$A$5001,AG$3,Base!$B$3:$B$5001,$A$115,Base!$AA$3:$AA$5001,"&lt;&gt;")=0,"",SUMIFS(Base!$AA$3:$AA$5001,Base!$A$3:$A$5001,AG$3,Base!$B$3:$B$5001,$A$115)))</f>
        <v/>
      </c>
      <c r="AH126" s="96" t="str">
        <f>IF(AH$3="","",IF(COUNTIFS(Base!$A$3:$A$5001,AH$3,Base!$B$3:$B$5001,$A$115,Base!$AA$3:$AA$5001,"&lt;&gt;")=0,"",SUMIFS(Base!$AA$3:$AA$5001,Base!$A$3:$A$5001,AH$3,Base!$B$3:$B$5001,$A$115)))</f>
        <v/>
      </c>
      <c r="AI126" s="96" t="str">
        <f>IF(AI$3="","",IF(COUNTIFS(Base!$A$3:$A$5001,AI$3,Base!$B$3:$B$5001,$A$115,Base!$AA$3:$AA$5001,"&lt;&gt;")=0,"",SUMIFS(Base!$AA$3:$AA$5001,Base!$A$3:$A$5001,AI$3,Base!$B$3:$B$5001,$A$115)))</f>
        <v/>
      </c>
      <c r="AJ126" s="97" t="str">
        <f>IF(AJ$3="","",IF(COUNTIFS(Base!$A$3:$A$5001,AJ$3,Base!$B$3:$B$5001,$A$115,Base!$AA$3:$AA$5001,"&lt;&gt;")=0,"",SUMIFS(Base!$AA$3:$AA$5001,Base!$A$3:$A$5001,AJ$3,Base!$B$3:$B$5001,$A$115)))</f>
        <v/>
      </c>
      <c r="AK126" s="98" t="str">
        <f>IF(COUNT(F126:AJ126)=0,"",SUM(F126:AJ126))</f>
        <v/>
      </c>
    </row>
    <row r="127" ht="15.75" customHeight="1">
      <c r="A127" s="118"/>
      <c r="B127" s="115"/>
      <c r="C127" s="92" t="inlineStr">
        <is>
          <t xml:space="preserve">Folga</t>
        </is>
      </c>
      <c r="D127" s="93" t="str">
        <f>IFERROR(1/(1/INDEX(calculos!$C$55:$K$83,MATCH("Folga",calculos!$A$55:$A$83,0),MATCH($A$115,calculos!$C$54:$K$54,0))),"")</f>
        <v/>
      </c>
      <c r="E127" s="94"/>
      <c r="F127" s="95" t="str">
        <f>IF(F$3="","",IF(COUNTIFS(Base!$A$3:$A$5001,F$3,Base!$B$3:$B$5001,$A$115,Base!$AB$3:$AB$5001,"&lt;&gt;")=0,"",SUMIFS(Base!$AB$3:$AB$5001,Base!$A$3:$A$5001,F$3,Base!$B$3:$B$5001,$A$115)))</f>
        <v/>
      </c>
      <c r="G127" s="96" t="str">
        <f>IF(G$3="","",IF(COUNTIFS(Base!$A$3:$A$5001,G$3,Base!$B$3:$B$5001,$A$115,Base!$AB$3:$AB$5001,"&lt;&gt;")=0,"",SUMIFS(Base!$AB$3:$AB$5001,Base!$A$3:$A$5001,G$3,Base!$B$3:$B$5001,$A$115)))</f>
        <v/>
      </c>
      <c r="H127" s="96" t="str">
        <f>IF(H$3="","",IF(COUNTIFS(Base!$A$3:$A$5001,H$3,Base!$B$3:$B$5001,$A$115,Base!$AB$3:$AB$5001,"&lt;&gt;")=0,"",SUMIFS(Base!$AB$3:$AB$5001,Base!$A$3:$A$5001,H$3,Base!$B$3:$B$5001,$A$115)))</f>
        <v/>
      </c>
      <c r="I127" s="96" t="str">
        <f>IF(I$3="","",IF(COUNTIFS(Base!$A$3:$A$5001,I$3,Base!$B$3:$B$5001,$A$115,Base!$AB$3:$AB$5001,"&lt;&gt;")=0,"",SUMIFS(Base!$AB$3:$AB$5001,Base!$A$3:$A$5001,I$3,Base!$B$3:$B$5001,$A$115)))</f>
        <v/>
      </c>
      <c r="J127" s="96" t="str">
        <f>IF(J$3="","",IF(COUNTIFS(Base!$A$3:$A$5001,J$3,Base!$B$3:$B$5001,$A$115,Base!$AB$3:$AB$5001,"&lt;&gt;")=0,"",SUMIFS(Base!$AB$3:$AB$5001,Base!$A$3:$A$5001,J$3,Base!$B$3:$B$5001,$A$115)))</f>
        <v/>
      </c>
      <c r="K127" s="96" t="str">
        <f>IF(K$3="","",IF(COUNTIFS(Base!$A$3:$A$5001,K$3,Base!$B$3:$B$5001,$A$115,Base!$AB$3:$AB$5001,"&lt;&gt;")=0,"",SUMIFS(Base!$AB$3:$AB$5001,Base!$A$3:$A$5001,K$3,Base!$B$3:$B$5001,$A$115)))</f>
        <v/>
      </c>
      <c r="L127" s="96" t="str">
        <f>IF(L$3="","",IF(COUNTIFS(Base!$A$3:$A$5001,L$3,Base!$B$3:$B$5001,$A$115,Base!$AB$3:$AB$5001,"&lt;&gt;")=0,"",SUMIFS(Base!$AB$3:$AB$5001,Base!$A$3:$A$5001,L$3,Base!$B$3:$B$5001,$A$115)))</f>
        <v/>
      </c>
      <c r="M127" s="96" t="str">
        <f>IF(M$3="","",IF(COUNTIFS(Base!$A$3:$A$5001,M$3,Base!$B$3:$B$5001,$A$115,Base!$AB$3:$AB$5001,"&lt;&gt;")=0,"",SUMIFS(Base!$AB$3:$AB$5001,Base!$A$3:$A$5001,M$3,Base!$B$3:$B$5001,$A$115)))</f>
        <v/>
      </c>
      <c r="N127" s="96" t="str">
        <f>IF(N$3="","",IF(COUNTIFS(Base!$A$3:$A$5001,N$3,Base!$B$3:$B$5001,$A$115,Base!$AB$3:$AB$5001,"&lt;&gt;")=0,"",SUMIFS(Base!$AB$3:$AB$5001,Base!$A$3:$A$5001,N$3,Base!$B$3:$B$5001,$A$115)))</f>
        <v/>
      </c>
      <c r="O127" s="96" t="str">
        <f>IF(O$3="","",IF(COUNTIFS(Base!$A$3:$A$5001,O$3,Base!$B$3:$B$5001,$A$115,Base!$AB$3:$AB$5001,"&lt;&gt;")=0,"",SUMIFS(Base!$AB$3:$AB$5001,Base!$A$3:$A$5001,O$3,Base!$B$3:$B$5001,$A$115)))</f>
        <v/>
      </c>
      <c r="P127" s="96" t="str">
        <f>IF(P$3="","",IF(COUNTIFS(Base!$A$3:$A$5001,P$3,Base!$B$3:$B$5001,$A$115,Base!$AB$3:$AB$5001,"&lt;&gt;")=0,"",SUMIFS(Base!$AB$3:$AB$5001,Base!$A$3:$A$5001,P$3,Base!$B$3:$B$5001,$A$115)))</f>
        <v/>
      </c>
      <c r="Q127" s="96" t="str">
        <f>IF(Q$3="","",IF(COUNTIFS(Base!$A$3:$A$5001,Q$3,Base!$B$3:$B$5001,$A$115,Base!$AB$3:$AB$5001,"&lt;&gt;")=0,"",SUMIFS(Base!$AB$3:$AB$5001,Base!$A$3:$A$5001,Q$3,Base!$B$3:$B$5001,$A$115)))</f>
        <v/>
      </c>
      <c r="R127" s="96" t="str">
        <f>IF(R$3="","",IF(COUNTIFS(Base!$A$3:$A$5001,R$3,Base!$B$3:$B$5001,$A$115,Base!$AB$3:$AB$5001,"&lt;&gt;")=0,"",SUMIFS(Base!$AB$3:$AB$5001,Base!$A$3:$A$5001,R$3,Base!$B$3:$B$5001,$A$115)))</f>
        <v/>
      </c>
      <c r="S127" s="96" t="str">
        <f>IF(S$3="","",IF(COUNTIFS(Base!$A$3:$A$5001,S$3,Base!$B$3:$B$5001,$A$115,Base!$AB$3:$AB$5001,"&lt;&gt;")=0,"",SUMIFS(Base!$AB$3:$AB$5001,Base!$A$3:$A$5001,S$3,Base!$B$3:$B$5001,$A$115)))</f>
        <v/>
      </c>
      <c r="T127" s="96" t="str">
        <f>IF(T$3="","",IF(COUNTIFS(Base!$A$3:$A$5001,T$3,Base!$B$3:$B$5001,$A$115,Base!$AB$3:$AB$5001,"&lt;&gt;")=0,"",SUMIFS(Base!$AB$3:$AB$5001,Base!$A$3:$A$5001,T$3,Base!$B$3:$B$5001,$A$115)))</f>
        <v/>
      </c>
      <c r="U127" s="96" t="str">
        <f>IF(U$3="","",IF(COUNTIFS(Base!$A$3:$A$5001,U$3,Base!$B$3:$B$5001,$A$115,Base!$AB$3:$AB$5001,"&lt;&gt;")=0,"",SUMIFS(Base!$AB$3:$AB$5001,Base!$A$3:$A$5001,U$3,Base!$B$3:$B$5001,$A$115)))</f>
        <v/>
      </c>
      <c r="V127" s="96" t="str">
        <f>IF(V$3="","",IF(COUNTIFS(Base!$A$3:$A$5001,V$3,Base!$B$3:$B$5001,$A$115,Base!$AB$3:$AB$5001,"&lt;&gt;")=0,"",SUMIFS(Base!$AB$3:$AB$5001,Base!$A$3:$A$5001,V$3,Base!$B$3:$B$5001,$A$115)))</f>
        <v/>
      </c>
      <c r="W127" s="96" t="str">
        <f>IF(W$3="","",IF(COUNTIFS(Base!$A$3:$A$5001,W$3,Base!$B$3:$B$5001,$A$115,Base!$AB$3:$AB$5001,"&lt;&gt;")=0,"",SUMIFS(Base!$AB$3:$AB$5001,Base!$A$3:$A$5001,W$3,Base!$B$3:$B$5001,$A$115)))</f>
        <v/>
      </c>
      <c r="X127" s="96" t="str">
        <f>IF(X$3="","",IF(COUNTIFS(Base!$A$3:$A$5001,X$3,Base!$B$3:$B$5001,$A$115,Base!$AB$3:$AB$5001,"&lt;&gt;")=0,"",SUMIFS(Base!$AB$3:$AB$5001,Base!$A$3:$A$5001,X$3,Base!$B$3:$B$5001,$A$115)))</f>
        <v/>
      </c>
      <c r="Y127" s="96" t="str">
        <f>IF(Y$3="","",IF(COUNTIFS(Base!$A$3:$A$5001,Y$3,Base!$B$3:$B$5001,$A$115,Base!$AB$3:$AB$5001,"&lt;&gt;")=0,"",SUMIFS(Base!$AB$3:$AB$5001,Base!$A$3:$A$5001,Y$3,Base!$B$3:$B$5001,$A$115)))</f>
        <v/>
      </c>
      <c r="Z127" s="96" t="str">
        <f>IF(Z$3="","",IF(COUNTIFS(Base!$A$3:$A$5001,Z$3,Base!$B$3:$B$5001,$A$115,Base!$AB$3:$AB$5001,"&lt;&gt;")=0,"",SUMIFS(Base!$AB$3:$AB$5001,Base!$A$3:$A$5001,Z$3,Base!$B$3:$B$5001,$A$115)))</f>
        <v/>
      </c>
      <c r="AA127" s="96" t="str">
        <f>IF(AA$3="","",IF(COUNTIFS(Base!$A$3:$A$5001,AA$3,Base!$B$3:$B$5001,$A$115,Base!$AB$3:$AB$5001,"&lt;&gt;")=0,"",SUMIFS(Base!$AB$3:$AB$5001,Base!$A$3:$A$5001,AA$3,Base!$B$3:$B$5001,$A$115)))</f>
        <v/>
      </c>
      <c r="AB127" s="96" t="str">
        <f>IF(AB$3="","",IF(COUNTIFS(Base!$A$3:$A$5001,AB$3,Base!$B$3:$B$5001,$A$115,Base!$AB$3:$AB$5001,"&lt;&gt;")=0,"",SUMIFS(Base!$AB$3:$AB$5001,Base!$A$3:$A$5001,AB$3,Base!$B$3:$B$5001,$A$115)))</f>
        <v/>
      </c>
      <c r="AC127" s="96" t="str">
        <f>IF(AC$3="","",IF(COUNTIFS(Base!$A$3:$A$5001,AC$3,Base!$B$3:$B$5001,$A$115,Base!$AB$3:$AB$5001,"&lt;&gt;")=0,"",SUMIFS(Base!$AB$3:$AB$5001,Base!$A$3:$A$5001,AC$3,Base!$B$3:$B$5001,$A$115)))</f>
        <v/>
      </c>
      <c r="AD127" s="96" t="str">
        <f>IF(AD$3="","",IF(COUNTIFS(Base!$A$3:$A$5001,AD$3,Base!$B$3:$B$5001,$A$115,Base!$AB$3:$AB$5001,"&lt;&gt;")=0,"",SUMIFS(Base!$AB$3:$AB$5001,Base!$A$3:$A$5001,AD$3,Base!$B$3:$B$5001,$A$115)))</f>
        <v/>
      </c>
      <c r="AE127" s="96" t="str">
        <f>IF(AE$3="","",IF(COUNTIFS(Base!$A$3:$A$5001,AE$3,Base!$B$3:$B$5001,$A$115,Base!$AB$3:$AB$5001,"&lt;&gt;")=0,"",SUMIFS(Base!$AB$3:$AB$5001,Base!$A$3:$A$5001,AE$3,Base!$B$3:$B$5001,$A$115)))</f>
        <v/>
      </c>
      <c r="AF127" s="96" t="str">
        <f>IF(AF$3="","",IF(COUNTIFS(Base!$A$3:$A$5001,AF$3,Base!$B$3:$B$5001,$A$115,Base!$AB$3:$AB$5001,"&lt;&gt;")=0,"",SUMIFS(Base!$AB$3:$AB$5001,Base!$A$3:$A$5001,AF$3,Base!$B$3:$B$5001,$A$115)))</f>
        <v/>
      </c>
      <c r="AG127" s="96" t="str">
        <f>IF(AG$3="","",IF(COUNTIFS(Base!$A$3:$A$5001,AG$3,Base!$B$3:$B$5001,$A$115,Base!$AB$3:$AB$5001,"&lt;&gt;")=0,"",SUMIFS(Base!$AB$3:$AB$5001,Base!$A$3:$A$5001,AG$3,Base!$B$3:$B$5001,$A$115)))</f>
        <v/>
      </c>
      <c r="AH127" s="96" t="str">
        <f>IF(AH$3="","",IF(COUNTIFS(Base!$A$3:$A$5001,AH$3,Base!$B$3:$B$5001,$A$115,Base!$AB$3:$AB$5001,"&lt;&gt;")=0,"",SUMIFS(Base!$AB$3:$AB$5001,Base!$A$3:$A$5001,AH$3,Base!$B$3:$B$5001,$A$115)))</f>
        <v/>
      </c>
      <c r="AI127" s="96" t="str">
        <f>IF(AI$3="","",IF(COUNTIFS(Base!$A$3:$A$5001,AI$3,Base!$B$3:$B$5001,$A$115,Base!$AB$3:$AB$5001,"&lt;&gt;")=0,"",SUMIFS(Base!$AB$3:$AB$5001,Base!$A$3:$A$5001,AI$3,Base!$B$3:$B$5001,$A$115)))</f>
        <v/>
      </c>
      <c r="AJ127" s="97" t="str">
        <f>IF(AJ$3="","",IF(COUNTIFS(Base!$A$3:$A$5001,AJ$3,Base!$B$3:$B$5001,$A$115,Base!$AB$3:$AB$5001,"&lt;&gt;")=0,"",SUMIFS(Base!$AB$3:$AB$5001,Base!$A$3:$A$5001,AJ$3,Base!$B$3:$B$5001,$A$115)))</f>
        <v/>
      </c>
      <c r="AK127" s="98" t="str">
        <f>IF(COUNT(F127:AJ127)=0,"",SUM(F127:AJ127))</f>
        <v/>
      </c>
    </row>
    <row r="128" ht="15.75" customHeight="1">
      <c r="A128" s="118"/>
      <c r="B128" s="115"/>
      <c r="C128" s="92" t="inlineStr">
        <is>
          <t xml:space="preserve">Férias</t>
        </is>
      </c>
      <c r="D128" s="93" t="str">
        <f>IFERROR(1/(1/INDEX(calculos!$C$55:$K$83,MATCH("Férias",calculos!$A$55:$A$83,0),MATCH($A$115,calculos!$C$54:$K$54,0))),"")</f>
        <v/>
      </c>
      <c r="E128" s="94"/>
      <c r="F128" s="95" t="str">
        <f>IF(F$3="","",IF(COUNTIFS(Base!$A$3:$A$5001,F$3,Base!$B$3:$B$5001,$A$115,Base!$AC$3:$AC$5001,"&lt;&gt;")=0,"",SUMIFS(Base!$AC$3:$AC$5001,Base!$A$3:$A$5001,F$3,Base!$B$3:$B$5001,$A$115)))</f>
        <v/>
      </c>
      <c r="G128" s="96" t="str">
        <f>IF(G$3="","",IF(COUNTIFS(Base!$A$3:$A$5001,G$3,Base!$B$3:$B$5001,$A$115,Base!$AC$3:$AC$5001,"&lt;&gt;")=0,"",SUMIFS(Base!$AC$3:$AC$5001,Base!$A$3:$A$5001,G$3,Base!$B$3:$B$5001,$A$115)))</f>
        <v/>
      </c>
      <c r="H128" s="96" t="str">
        <f>IF(H$3="","",IF(COUNTIFS(Base!$A$3:$A$5001,H$3,Base!$B$3:$B$5001,$A$115,Base!$AC$3:$AC$5001,"&lt;&gt;")=0,"",SUMIFS(Base!$AC$3:$AC$5001,Base!$A$3:$A$5001,H$3,Base!$B$3:$B$5001,$A$115)))</f>
        <v/>
      </c>
      <c r="I128" s="96" t="str">
        <f>IF(I$3="","",IF(COUNTIFS(Base!$A$3:$A$5001,I$3,Base!$B$3:$B$5001,$A$115,Base!$AC$3:$AC$5001,"&lt;&gt;")=0,"",SUMIFS(Base!$AC$3:$AC$5001,Base!$A$3:$A$5001,I$3,Base!$B$3:$B$5001,$A$115)))</f>
        <v/>
      </c>
      <c r="J128" s="96" t="str">
        <f>IF(J$3="","",IF(COUNTIFS(Base!$A$3:$A$5001,J$3,Base!$B$3:$B$5001,$A$115,Base!$AC$3:$AC$5001,"&lt;&gt;")=0,"",SUMIFS(Base!$AC$3:$AC$5001,Base!$A$3:$A$5001,J$3,Base!$B$3:$B$5001,$A$115)))</f>
        <v/>
      </c>
      <c r="K128" s="96" t="str">
        <f>IF(K$3="","",IF(COUNTIFS(Base!$A$3:$A$5001,K$3,Base!$B$3:$B$5001,$A$115,Base!$AC$3:$AC$5001,"&lt;&gt;")=0,"",SUMIFS(Base!$AC$3:$AC$5001,Base!$A$3:$A$5001,K$3,Base!$B$3:$B$5001,$A$115)))</f>
        <v/>
      </c>
      <c r="L128" s="96" t="str">
        <f>IF(L$3="","",IF(COUNTIFS(Base!$A$3:$A$5001,L$3,Base!$B$3:$B$5001,$A$115,Base!$AC$3:$AC$5001,"&lt;&gt;")=0,"",SUMIFS(Base!$AC$3:$AC$5001,Base!$A$3:$A$5001,L$3,Base!$B$3:$B$5001,$A$115)))</f>
        <v/>
      </c>
      <c r="M128" s="96" t="str">
        <f>IF(M$3="","",IF(COUNTIFS(Base!$A$3:$A$5001,M$3,Base!$B$3:$B$5001,$A$115,Base!$AC$3:$AC$5001,"&lt;&gt;")=0,"",SUMIFS(Base!$AC$3:$AC$5001,Base!$A$3:$A$5001,M$3,Base!$B$3:$B$5001,$A$115)))</f>
        <v/>
      </c>
      <c r="N128" s="96" t="str">
        <f>IF(N$3="","",IF(COUNTIFS(Base!$A$3:$A$5001,N$3,Base!$B$3:$B$5001,$A$115,Base!$AC$3:$AC$5001,"&lt;&gt;")=0,"",SUMIFS(Base!$AC$3:$AC$5001,Base!$A$3:$A$5001,N$3,Base!$B$3:$B$5001,$A$115)))</f>
        <v/>
      </c>
      <c r="O128" s="96" t="str">
        <f>IF(O$3="","",IF(COUNTIFS(Base!$A$3:$A$5001,O$3,Base!$B$3:$B$5001,$A$115,Base!$AC$3:$AC$5001,"&lt;&gt;")=0,"",SUMIFS(Base!$AC$3:$AC$5001,Base!$A$3:$A$5001,O$3,Base!$B$3:$B$5001,$A$115)))</f>
        <v/>
      </c>
      <c r="P128" s="96" t="str">
        <f>IF(P$3="","",IF(COUNTIFS(Base!$A$3:$A$5001,P$3,Base!$B$3:$B$5001,$A$115,Base!$AC$3:$AC$5001,"&lt;&gt;")=0,"",SUMIFS(Base!$AC$3:$AC$5001,Base!$A$3:$A$5001,P$3,Base!$B$3:$B$5001,$A$115)))</f>
        <v/>
      </c>
      <c r="Q128" s="96" t="str">
        <f>IF(Q$3="","",IF(COUNTIFS(Base!$A$3:$A$5001,Q$3,Base!$B$3:$B$5001,$A$115,Base!$AC$3:$AC$5001,"&lt;&gt;")=0,"",SUMIFS(Base!$AC$3:$AC$5001,Base!$A$3:$A$5001,Q$3,Base!$B$3:$B$5001,$A$115)))</f>
        <v/>
      </c>
      <c r="R128" s="96" t="str">
        <f>IF(R$3="","",IF(COUNTIFS(Base!$A$3:$A$5001,R$3,Base!$B$3:$B$5001,$A$115,Base!$AC$3:$AC$5001,"&lt;&gt;")=0,"",SUMIFS(Base!$AC$3:$AC$5001,Base!$A$3:$A$5001,R$3,Base!$B$3:$B$5001,$A$115)))</f>
        <v/>
      </c>
      <c r="S128" s="96" t="str">
        <f>IF(S$3="","",IF(COUNTIFS(Base!$A$3:$A$5001,S$3,Base!$B$3:$B$5001,$A$115,Base!$AC$3:$AC$5001,"&lt;&gt;")=0,"",SUMIFS(Base!$AC$3:$AC$5001,Base!$A$3:$A$5001,S$3,Base!$B$3:$B$5001,$A$115)))</f>
        <v/>
      </c>
      <c r="T128" s="96" t="str">
        <f>IF(T$3="","",IF(COUNTIFS(Base!$A$3:$A$5001,T$3,Base!$B$3:$B$5001,$A$115,Base!$AC$3:$AC$5001,"&lt;&gt;")=0,"",SUMIFS(Base!$AC$3:$AC$5001,Base!$A$3:$A$5001,T$3,Base!$B$3:$B$5001,$A$115)))</f>
        <v/>
      </c>
      <c r="U128" s="96" t="str">
        <f>IF(U$3="","",IF(COUNTIFS(Base!$A$3:$A$5001,U$3,Base!$B$3:$B$5001,$A$115,Base!$AC$3:$AC$5001,"&lt;&gt;")=0,"",SUMIFS(Base!$AC$3:$AC$5001,Base!$A$3:$A$5001,U$3,Base!$B$3:$B$5001,$A$115)))</f>
        <v/>
      </c>
      <c r="V128" s="96" t="str">
        <f>IF(V$3="","",IF(COUNTIFS(Base!$A$3:$A$5001,V$3,Base!$B$3:$B$5001,$A$115,Base!$AC$3:$AC$5001,"&lt;&gt;")=0,"",SUMIFS(Base!$AC$3:$AC$5001,Base!$A$3:$A$5001,V$3,Base!$B$3:$B$5001,$A$115)))</f>
        <v/>
      </c>
      <c r="W128" s="96" t="str">
        <f>IF(W$3="","",IF(COUNTIFS(Base!$A$3:$A$5001,W$3,Base!$B$3:$B$5001,$A$115,Base!$AC$3:$AC$5001,"&lt;&gt;")=0,"",SUMIFS(Base!$AC$3:$AC$5001,Base!$A$3:$A$5001,W$3,Base!$B$3:$B$5001,$A$115)))</f>
        <v/>
      </c>
      <c r="X128" s="96" t="str">
        <f>IF(X$3="","",IF(COUNTIFS(Base!$A$3:$A$5001,X$3,Base!$B$3:$B$5001,$A$115,Base!$AC$3:$AC$5001,"&lt;&gt;")=0,"",SUMIFS(Base!$AC$3:$AC$5001,Base!$A$3:$A$5001,X$3,Base!$B$3:$B$5001,$A$115)))</f>
        <v/>
      </c>
      <c r="Y128" s="96" t="str">
        <f>IF(Y$3="","",IF(COUNTIFS(Base!$A$3:$A$5001,Y$3,Base!$B$3:$B$5001,$A$115,Base!$AC$3:$AC$5001,"&lt;&gt;")=0,"",SUMIFS(Base!$AC$3:$AC$5001,Base!$A$3:$A$5001,Y$3,Base!$B$3:$B$5001,$A$115)))</f>
        <v/>
      </c>
      <c r="Z128" s="96" t="str">
        <f>IF(Z$3="","",IF(COUNTIFS(Base!$A$3:$A$5001,Z$3,Base!$B$3:$B$5001,$A$115,Base!$AC$3:$AC$5001,"&lt;&gt;")=0,"",SUMIFS(Base!$AC$3:$AC$5001,Base!$A$3:$A$5001,Z$3,Base!$B$3:$B$5001,$A$115)))</f>
        <v/>
      </c>
      <c r="AA128" s="96" t="str">
        <f>IF(AA$3="","",IF(COUNTIFS(Base!$A$3:$A$5001,AA$3,Base!$B$3:$B$5001,$A$115,Base!$AC$3:$AC$5001,"&lt;&gt;")=0,"",SUMIFS(Base!$AC$3:$AC$5001,Base!$A$3:$A$5001,AA$3,Base!$B$3:$B$5001,$A$115)))</f>
        <v/>
      </c>
      <c r="AB128" s="96" t="str">
        <f>IF(AB$3="","",IF(COUNTIFS(Base!$A$3:$A$5001,AB$3,Base!$B$3:$B$5001,$A$115,Base!$AC$3:$AC$5001,"&lt;&gt;")=0,"",SUMIFS(Base!$AC$3:$AC$5001,Base!$A$3:$A$5001,AB$3,Base!$B$3:$B$5001,$A$115)))</f>
        <v/>
      </c>
      <c r="AC128" s="96" t="str">
        <f>IF(AC$3="","",IF(COUNTIFS(Base!$A$3:$A$5001,AC$3,Base!$B$3:$B$5001,$A$115,Base!$AC$3:$AC$5001,"&lt;&gt;")=0,"",SUMIFS(Base!$AC$3:$AC$5001,Base!$A$3:$A$5001,AC$3,Base!$B$3:$B$5001,$A$115)))</f>
        <v/>
      </c>
      <c r="AD128" s="96" t="str">
        <f>IF(AD$3="","",IF(COUNTIFS(Base!$A$3:$A$5001,AD$3,Base!$B$3:$B$5001,$A$115,Base!$AC$3:$AC$5001,"&lt;&gt;")=0,"",SUMIFS(Base!$AC$3:$AC$5001,Base!$A$3:$A$5001,AD$3,Base!$B$3:$B$5001,$A$115)))</f>
        <v/>
      </c>
      <c r="AE128" s="96" t="str">
        <f>IF(AE$3="","",IF(COUNTIFS(Base!$A$3:$A$5001,AE$3,Base!$B$3:$B$5001,$A$115,Base!$AC$3:$AC$5001,"&lt;&gt;")=0,"",SUMIFS(Base!$AC$3:$AC$5001,Base!$A$3:$A$5001,AE$3,Base!$B$3:$B$5001,$A$115)))</f>
        <v/>
      </c>
      <c r="AF128" s="96" t="str">
        <f>IF(AF$3="","",IF(COUNTIFS(Base!$A$3:$A$5001,AF$3,Base!$B$3:$B$5001,$A$115,Base!$AC$3:$AC$5001,"&lt;&gt;")=0,"",SUMIFS(Base!$AC$3:$AC$5001,Base!$A$3:$A$5001,AF$3,Base!$B$3:$B$5001,$A$115)))</f>
        <v/>
      </c>
      <c r="AG128" s="96" t="str">
        <f>IF(AG$3="","",IF(COUNTIFS(Base!$A$3:$A$5001,AG$3,Base!$B$3:$B$5001,$A$115,Base!$AC$3:$AC$5001,"&lt;&gt;")=0,"",SUMIFS(Base!$AC$3:$AC$5001,Base!$A$3:$A$5001,AG$3,Base!$B$3:$B$5001,$A$115)))</f>
        <v/>
      </c>
      <c r="AH128" s="96" t="str">
        <f>IF(AH$3="","",IF(COUNTIFS(Base!$A$3:$A$5001,AH$3,Base!$B$3:$B$5001,$A$115,Base!$AC$3:$AC$5001,"&lt;&gt;")=0,"",SUMIFS(Base!$AC$3:$AC$5001,Base!$A$3:$A$5001,AH$3,Base!$B$3:$B$5001,$A$115)))</f>
        <v/>
      </c>
      <c r="AI128" s="96" t="str">
        <f>IF(AI$3="","",IF(COUNTIFS(Base!$A$3:$A$5001,AI$3,Base!$B$3:$B$5001,$A$115,Base!$AC$3:$AC$5001,"&lt;&gt;")=0,"",SUMIFS(Base!$AC$3:$AC$5001,Base!$A$3:$A$5001,AI$3,Base!$B$3:$B$5001,$A$115)))</f>
        <v/>
      </c>
      <c r="AJ128" s="97" t="str">
        <f>IF(AJ$3="","",IF(COUNTIFS(Base!$A$3:$A$5001,AJ$3,Base!$B$3:$B$5001,$A$115,Base!$AC$3:$AC$5001,"&lt;&gt;")=0,"",SUMIFS(Base!$AC$3:$AC$5001,Base!$A$3:$A$5001,AJ$3,Base!$B$3:$B$5001,$A$115)))</f>
        <v/>
      </c>
      <c r="AK128" s="98" t="str">
        <f>IF(COUNT(F128:AJ128)=0,"",SUM(F128:AJ128))</f>
        <v/>
      </c>
    </row>
    <row r="129" ht="15.75" customHeight="1">
      <c r="A129" s="119"/>
      <c r="B129" s="116"/>
      <c r="C129" s="99" t="inlineStr">
        <is>
          <t xml:space="preserve">Desligamentos</t>
        </is>
      </c>
      <c r="D129" s="100" t="str">
        <f>IFERROR(1/(1/INDEX(calculos!$C$55:$K$83,MATCH("Desligamentos",calculos!$A$55:$A$83,0),MATCH($A$115,calculos!$C$54:$K$54,0))),"")</f>
        <v/>
      </c>
      <c r="E129" s="101"/>
      <c r="F129" s="102" t="str">
        <f>IF(F$3="","",IF(COUNTIFS(Base!$A$3:$A$5001,F$3,Base!$B$3:$B$5001,$A$115,Base!$AD$3:$AD$5001,"&lt;&gt;")=0,"",SUMIFS(Base!$AD$3:$AD$5001,Base!$A$3:$A$5001,F$3,Base!$B$3:$B$5001,$A$115)))</f>
        <v/>
      </c>
      <c r="G129" s="103" t="str">
        <f>IF(G$3="","",IF(COUNTIFS(Base!$A$3:$A$5001,G$3,Base!$B$3:$B$5001,$A$115,Base!$AD$3:$AD$5001,"&lt;&gt;")=0,"",SUMIFS(Base!$AD$3:$AD$5001,Base!$A$3:$A$5001,G$3,Base!$B$3:$B$5001,$A$115)))</f>
        <v/>
      </c>
      <c r="H129" s="103" t="str">
        <f>IF(H$3="","",IF(COUNTIFS(Base!$A$3:$A$5001,H$3,Base!$B$3:$B$5001,$A$115,Base!$AD$3:$AD$5001,"&lt;&gt;")=0,"",SUMIFS(Base!$AD$3:$AD$5001,Base!$A$3:$A$5001,H$3,Base!$B$3:$B$5001,$A$115)))</f>
        <v/>
      </c>
      <c r="I129" s="103" t="str">
        <f>IF(I$3="","",IF(COUNTIFS(Base!$A$3:$A$5001,I$3,Base!$B$3:$B$5001,$A$115,Base!$AD$3:$AD$5001,"&lt;&gt;")=0,"",SUMIFS(Base!$AD$3:$AD$5001,Base!$A$3:$A$5001,I$3,Base!$B$3:$B$5001,$A$115)))</f>
        <v/>
      </c>
      <c r="J129" s="103" t="str">
        <f>IF(J$3="","",IF(COUNTIFS(Base!$A$3:$A$5001,J$3,Base!$B$3:$B$5001,$A$115,Base!$AD$3:$AD$5001,"&lt;&gt;")=0,"",SUMIFS(Base!$AD$3:$AD$5001,Base!$A$3:$A$5001,J$3,Base!$B$3:$B$5001,$A$115)))</f>
        <v/>
      </c>
      <c r="K129" s="103" t="str">
        <f>IF(K$3="","",IF(COUNTIFS(Base!$A$3:$A$5001,K$3,Base!$B$3:$B$5001,$A$115,Base!$AD$3:$AD$5001,"&lt;&gt;")=0,"",SUMIFS(Base!$AD$3:$AD$5001,Base!$A$3:$A$5001,K$3,Base!$B$3:$B$5001,$A$115)))</f>
        <v/>
      </c>
      <c r="L129" s="103" t="str">
        <f>IF(L$3="","",IF(COUNTIFS(Base!$A$3:$A$5001,L$3,Base!$B$3:$B$5001,$A$115,Base!$AD$3:$AD$5001,"&lt;&gt;")=0,"",SUMIFS(Base!$AD$3:$AD$5001,Base!$A$3:$A$5001,L$3,Base!$B$3:$B$5001,$A$115)))</f>
        <v/>
      </c>
      <c r="M129" s="103" t="str">
        <f>IF(M$3="","",IF(COUNTIFS(Base!$A$3:$A$5001,M$3,Base!$B$3:$B$5001,$A$115,Base!$AD$3:$AD$5001,"&lt;&gt;")=0,"",SUMIFS(Base!$AD$3:$AD$5001,Base!$A$3:$A$5001,M$3,Base!$B$3:$B$5001,$A$115)))</f>
        <v/>
      </c>
      <c r="N129" s="103" t="str">
        <f>IF(N$3="","",IF(COUNTIFS(Base!$A$3:$A$5001,N$3,Base!$B$3:$B$5001,$A$115,Base!$AD$3:$AD$5001,"&lt;&gt;")=0,"",SUMIFS(Base!$AD$3:$AD$5001,Base!$A$3:$A$5001,N$3,Base!$B$3:$B$5001,$A$115)))</f>
        <v/>
      </c>
      <c r="O129" s="103" t="str">
        <f>IF(O$3="","",IF(COUNTIFS(Base!$A$3:$A$5001,O$3,Base!$B$3:$B$5001,$A$115,Base!$AD$3:$AD$5001,"&lt;&gt;")=0,"",SUMIFS(Base!$AD$3:$AD$5001,Base!$A$3:$A$5001,O$3,Base!$B$3:$B$5001,$A$115)))</f>
        <v/>
      </c>
      <c r="P129" s="103" t="str">
        <f>IF(P$3="","",IF(COUNTIFS(Base!$A$3:$A$5001,P$3,Base!$B$3:$B$5001,$A$115,Base!$AD$3:$AD$5001,"&lt;&gt;")=0,"",SUMIFS(Base!$AD$3:$AD$5001,Base!$A$3:$A$5001,P$3,Base!$B$3:$B$5001,$A$115)))</f>
        <v/>
      </c>
      <c r="Q129" s="103" t="str">
        <f>IF(Q$3="","",IF(COUNTIFS(Base!$A$3:$A$5001,Q$3,Base!$B$3:$B$5001,$A$115,Base!$AD$3:$AD$5001,"&lt;&gt;")=0,"",SUMIFS(Base!$AD$3:$AD$5001,Base!$A$3:$A$5001,Q$3,Base!$B$3:$B$5001,$A$115)))</f>
        <v/>
      </c>
      <c r="R129" s="103" t="str">
        <f>IF(R$3="","",IF(COUNTIFS(Base!$A$3:$A$5001,R$3,Base!$B$3:$B$5001,$A$115,Base!$AD$3:$AD$5001,"&lt;&gt;")=0,"",SUMIFS(Base!$AD$3:$AD$5001,Base!$A$3:$A$5001,R$3,Base!$B$3:$B$5001,$A$115)))</f>
        <v/>
      </c>
      <c r="S129" s="103" t="str">
        <f>IF(S$3="","",IF(COUNTIFS(Base!$A$3:$A$5001,S$3,Base!$B$3:$B$5001,$A$115,Base!$AD$3:$AD$5001,"&lt;&gt;")=0,"",SUMIFS(Base!$AD$3:$AD$5001,Base!$A$3:$A$5001,S$3,Base!$B$3:$B$5001,$A$115)))</f>
        <v/>
      </c>
      <c r="T129" s="103" t="str">
        <f>IF(T$3="","",IF(COUNTIFS(Base!$A$3:$A$5001,T$3,Base!$B$3:$B$5001,$A$115,Base!$AD$3:$AD$5001,"&lt;&gt;")=0,"",SUMIFS(Base!$AD$3:$AD$5001,Base!$A$3:$A$5001,T$3,Base!$B$3:$B$5001,$A$115)))</f>
        <v/>
      </c>
      <c r="U129" s="103" t="str">
        <f>IF(U$3="","",IF(COUNTIFS(Base!$A$3:$A$5001,U$3,Base!$B$3:$B$5001,$A$115,Base!$AD$3:$AD$5001,"&lt;&gt;")=0,"",SUMIFS(Base!$AD$3:$AD$5001,Base!$A$3:$A$5001,U$3,Base!$B$3:$B$5001,$A$115)))</f>
        <v/>
      </c>
      <c r="V129" s="103" t="str">
        <f>IF(V$3="","",IF(COUNTIFS(Base!$A$3:$A$5001,V$3,Base!$B$3:$B$5001,$A$115,Base!$AD$3:$AD$5001,"&lt;&gt;")=0,"",SUMIFS(Base!$AD$3:$AD$5001,Base!$A$3:$A$5001,V$3,Base!$B$3:$B$5001,$A$115)))</f>
        <v/>
      </c>
      <c r="W129" s="103" t="str">
        <f>IF(W$3="","",IF(COUNTIFS(Base!$A$3:$A$5001,W$3,Base!$B$3:$B$5001,$A$115,Base!$AD$3:$AD$5001,"&lt;&gt;")=0,"",SUMIFS(Base!$AD$3:$AD$5001,Base!$A$3:$A$5001,W$3,Base!$B$3:$B$5001,$A$115)))</f>
        <v/>
      </c>
      <c r="X129" s="103" t="str">
        <f>IF(X$3="","",IF(COUNTIFS(Base!$A$3:$A$5001,X$3,Base!$B$3:$B$5001,$A$115,Base!$AD$3:$AD$5001,"&lt;&gt;")=0,"",SUMIFS(Base!$AD$3:$AD$5001,Base!$A$3:$A$5001,X$3,Base!$B$3:$B$5001,$A$115)))</f>
        <v/>
      </c>
      <c r="Y129" s="103" t="str">
        <f>IF(Y$3="","",IF(COUNTIFS(Base!$A$3:$A$5001,Y$3,Base!$B$3:$B$5001,$A$115,Base!$AD$3:$AD$5001,"&lt;&gt;")=0,"",SUMIFS(Base!$AD$3:$AD$5001,Base!$A$3:$A$5001,Y$3,Base!$B$3:$B$5001,$A$115)))</f>
        <v/>
      </c>
      <c r="Z129" s="103" t="str">
        <f>IF(Z$3="","",IF(COUNTIFS(Base!$A$3:$A$5001,Z$3,Base!$B$3:$B$5001,$A$115,Base!$AD$3:$AD$5001,"&lt;&gt;")=0,"",SUMIFS(Base!$AD$3:$AD$5001,Base!$A$3:$A$5001,Z$3,Base!$B$3:$B$5001,$A$115)))</f>
        <v/>
      </c>
      <c r="AA129" s="103" t="str">
        <f>IF(AA$3="","",IF(COUNTIFS(Base!$A$3:$A$5001,AA$3,Base!$B$3:$B$5001,$A$115,Base!$AD$3:$AD$5001,"&lt;&gt;")=0,"",SUMIFS(Base!$AD$3:$AD$5001,Base!$A$3:$A$5001,AA$3,Base!$B$3:$B$5001,$A$115)))</f>
        <v/>
      </c>
      <c r="AB129" s="103" t="str">
        <f>IF(AB$3="","",IF(COUNTIFS(Base!$A$3:$A$5001,AB$3,Base!$B$3:$B$5001,$A$115,Base!$AD$3:$AD$5001,"&lt;&gt;")=0,"",SUMIFS(Base!$AD$3:$AD$5001,Base!$A$3:$A$5001,AB$3,Base!$B$3:$B$5001,$A$115)))</f>
        <v/>
      </c>
      <c r="AC129" s="103" t="str">
        <f>IF(AC$3="","",IF(COUNTIFS(Base!$A$3:$A$5001,AC$3,Base!$B$3:$B$5001,$A$115,Base!$AD$3:$AD$5001,"&lt;&gt;")=0,"",SUMIFS(Base!$AD$3:$AD$5001,Base!$A$3:$A$5001,AC$3,Base!$B$3:$B$5001,$A$115)))</f>
        <v/>
      </c>
      <c r="AD129" s="103" t="str">
        <f>IF(AD$3="","",IF(COUNTIFS(Base!$A$3:$A$5001,AD$3,Base!$B$3:$B$5001,$A$115,Base!$AD$3:$AD$5001,"&lt;&gt;")=0,"",SUMIFS(Base!$AD$3:$AD$5001,Base!$A$3:$A$5001,AD$3,Base!$B$3:$B$5001,$A$115)))</f>
        <v/>
      </c>
      <c r="AE129" s="103" t="str">
        <f>IF(AE$3="","",IF(COUNTIFS(Base!$A$3:$A$5001,AE$3,Base!$B$3:$B$5001,$A$115,Base!$AD$3:$AD$5001,"&lt;&gt;")=0,"",SUMIFS(Base!$AD$3:$AD$5001,Base!$A$3:$A$5001,AE$3,Base!$B$3:$B$5001,$A$115)))</f>
        <v/>
      </c>
      <c r="AF129" s="103" t="str">
        <f>IF(AF$3="","",IF(COUNTIFS(Base!$A$3:$A$5001,AF$3,Base!$B$3:$B$5001,$A$115,Base!$AD$3:$AD$5001,"&lt;&gt;")=0,"",SUMIFS(Base!$AD$3:$AD$5001,Base!$A$3:$A$5001,AF$3,Base!$B$3:$B$5001,$A$115)))</f>
        <v/>
      </c>
      <c r="AG129" s="103" t="str">
        <f>IF(AG$3="","",IF(COUNTIFS(Base!$A$3:$A$5001,AG$3,Base!$B$3:$B$5001,$A$115,Base!$AD$3:$AD$5001,"&lt;&gt;")=0,"",SUMIFS(Base!$AD$3:$AD$5001,Base!$A$3:$A$5001,AG$3,Base!$B$3:$B$5001,$A$115)))</f>
        <v/>
      </c>
      <c r="AH129" s="103" t="str">
        <f>IF(AH$3="","",IF(COUNTIFS(Base!$A$3:$A$5001,AH$3,Base!$B$3:$B$5001,$A$115,Base!$AD$3:$AD$5001,"&lt;&gt;")=0,"",SUMIFS(Base!$AD$3:$AD$5001,Base!$A$3:$A$5001,AH$3,Base!$B$3:$B$5001,$A$115)))</f>
        <v/>
      </c>
      <c r="AI129" s="103" t="str">
        <f>IF(AI$3="","",IF(COUNTIFS(Base!$A$3:$A$5001,AI$3,Base!$B$3:$B$5001,$A$115,Base!$AD$3:$AD$5001,"&lt;&gt;")=0,"",SUMIFS(Base!$AD$3:$AD$5001,Base!$A$3:$A$5001,AI$3,Base!$B$3:$B$5001,$A$115)))</f>
        <v/>
      </c>
      <c r="AJ129" s="104" t="str">
        <f>IF(AJ$3="","",IF(COUNTIFS(Base!$A$3:$A$5001,AJ$3,Base!$B$3:$B$5001,$A$115,Base!$AD$3:$AD$5001,"&lt;&gt;")=0,"",SUMIFS(Base!$AD$3:$AD$5001,Base!$A$3:$A$5001,AJ$3,Base!$B$3:$B$5001,$A$115)))</f>
        <v/>
      </c>
      <c r="AK129" s="100" t="str">
        <f>IF(COUNT(F129:AJ129)=0,"",SUM(F129:AJ129))</f>
        <v/>
      </c>
    </row>
    <row r="131" ht="15.75" customHeight="1">
      <c r="A131" s="117" t="inlineStr">
        <is>
          <t xml:space="preserve">OMNLIFE</t>
        </is>
      </c>
      <c r="B131" s="105" t="inlineStr">
        <is>
          <t xml:space="preserve">IN</t>
        </is>
      </c>
      <c r="C131" s="21" t="inlineStr">
        <is>
          <t xml:space="preserve">Veículos Recebidos</t>
        </is>
      </c>
      <c r="D131" s="22" t="str">
        <f>IFERROR(1/(1/INDEX(calculos!$C$55:$K$83,MATCH("IN Veículos Recebidos",calculos!$A$55:$A$83,0),MATCH($A$131,calculos!$C$54:$K$54,0))),"")</f>
        <v/>
      </c>
      <c r="E131" s="23"/>
      <c r="F131" s="24" t="str">
        <f>IF(F$3="","",IF(COUNTIFS(Base!$A$3:$A$5001,F$3,Base!$B$3:$B$5001,$A$131,Base!$C$3:$C$5001,"&lt;&gt;")=0,"",SUMIFS(Base!$C$3:$C$5001,Base!$A$3:$A$5001,F$3,Base!$B$3:$B$5001,$A$131)))</f>
        <v/>
      </c>
      <c r="G131" s="25" t="str">
        <f>IF(G$3="","",IF(COUNTIFS(Base!$A$3:$A$5001,G$3,Base!$B$3:$B$5001,$A$131,Base!$C$3:$C$5001,"&lt;&gt;")=0,"",SUMIFS(Base!$C$3:$C$5001,Base!$A$3:$A$5001,G$3,Base!$B$3:$B$5001,$A$131)))</f>
        <v/>
      </c>
      <c r="H131" s="25" t="str">
        <f>IF(H$3="","",IF(COUNTIFS(Base!$A$3:$A$5001,H$3,Base!$B$3:$B$5001,$A$131,Base!$C$3:$C$5001,"&lt;&gt;")=0,"",SUMIFS(Base!$C$3:$C$5001,Base!$A$3:$A$5001,H$3,Base!$B$3:$B$5001,$A$131)))</f>
        <v/>
      </c>
      <c r="I131" s="25" t="str">
        <f>IF(I$3="","",IF(COUNTIFS(Base!$A$3:$A$5001,I$3,Base!$B$3:$B$5001,$A$131,Base!$C$3:$C$5001,"&lt;&gt;")=0,"",SUMIFS(Base!$C$3:$C$5001,Base!$A$3:$A$5001,I$3,Base!$B$3:$B$5001,$A$131)))</f>
        <v/>
      </c>
      <c r="J131" s="25" t="str">
        <f>IF(J$3="","",IF(COUNTIFS(Base!$A$3:$A$5001,J$3,Base!$B$3:$B$5001,$A$131,Base!$C$3:$C$5001,"&lt;&gt;")=0,"",SUMIFS(Base!$C$3:$C$5001,Base!$A$3:$A$5001,J$3,Base!$B$3:$B$5001,$A$131)))</f>
        <v/>
      </c>
      <c r="K131" s="25" t="str">
        <f>IF(K$3="","",IF(COUNTIFS(Base!$A$3:$A$5001,K$3,Base!$B$3:$B$5001,$A$131,Base!$C$3:$C$5001,"&lt;&gt;")=0,"",SUMIFS(Base!$C$3:$C$5001,Base!$A$3:$A$5001,K$3,Base!$B$3:$B$5001,$A$131)))</f>
        <v/>
      </c>
      <c r="L131" s="25" t="str">
        <f>IF(L$3="","",IF(COUNTIFS(Base!$A$3:$A$5001,L$3,Base!$B$3:$B$5001,$A$131,Base!$C$3:$C$5001,"&lt;&gt;")=0,"",SUMIFS(Base!$C$3:$C$5001,Base!$A$3:$A$5001,L$3,Base!$B$3:$B$5001,$A$131)))</f>
        <v/>
      </c>
      <c r="M131" s="25" t="str">
        <f>IF(M$3="","",IF(COUNTIFS(Base!$A$3:$A$5001,M$3,Base!$B$3:$B$5001,$A$131,Base!$C$3:$C$5001,"&lt;&gt;")=0,"",SUMIFS(Base!$C$3:$C$5001,Base!$A$3:$A$5001,M$3,Base!$B$3:$B$5001,$A$131)))</f>
        <v/>
      </c>
      <c r="N131" s="25" t="str">
        <f>IF(N$3="","",IF(COUNTIFS(Base!$A$3:$A$5001,N$3,Base!$B$3:$B$5001,$A$131,Base!$C$3:$C$5001,"&lt;&gt;")=0,"",SUMIFS(Base!$C$3:$C$5001,Base!$A$3:$A$5001,N$3,Base!$B$3:$B$5001,$A$131)))</f>
        <v/>
      </c>
      <c r="O131" s="25" t="str">
        <f>IF(O$3="","",IF(COUNTIFS(Base!$A$3:$A$5001,O$3,Base!$B$3:$B$5001,$A$131,Base!$C$3:$C$5001,"&lt;&gt;")=0,"",SUMIFS(Base!$C$3:$C$5001,Base!$A$3:$A$5001,O$3,Base!$B$3:$B$5001,$A$131)))</f>
        <v/>
      </c>
      <c r="P131" s="25" t="str">
        <f>IF(P$3="","",IF(COUNTIFS(Base!$A$3:$A$5001,P$3,Base!$B$3:$B$5001,$A$131,Base!$C$3:$C$5001,"&lt;&gt;")=0,"",SUMIFS(Base!$C$3:$C$5001,Base!$A$3:$A$5001,P$3,Base!$B$3:$B$5001,$A$131)))</f>
        <v/>
      </c>
      <c r="Q131" s="25" t="str">
        <f>IF(Q$3="","",IF(COUNTIFS(Base!$A$3:$A$5001,Q$3,Base!$B$3:$B$5001,$A$131,Base!$C$3:$C$5001,"&lt;&gt;")=0,"",SUMIFS(Base!$C$3:$C$5001,Base!$A$3:$A$5001,Q$3,Base!$B$3:$B$5001,$A$131)))</f>
        <v/>
      </c>
      <c r="R131" s="25" t="str">
        <f>IF(R$3="","",IF(COUNTIFS(Base!$A$3:$A$5001,R$3,Base!$B$3:$B$5001,$A$131,Base!$C$3:$C$5001,"&lt;&gt;")=0,"",SUMIFS(Base!$C$3:$C$5001,Base!$A$3:$A$5001,R$3,Base!$B$3:$B$5001,$A$131)))</f>
        <v/>
      </c>
      <c r="S131" s="25" t="str">
        <f>IF(S$3="","",IF(COUNTIFS(Base!$A$3:$A$5001,S$3,Base!$B$3:$B$5001,$A$131,Base!$C$3:$C$5001,"&lt;&gt;")=0,"",SUMIFS(Base!$C$3:$C$5001,Base!$A$3:$A$5001,S$3,Base!$B$3:$B$5001,$A$131)))</f>
        <v/>
      </c>
      <c r="T131" s="25" t="str">
        <f>IF(T$3="","",IF(COUNTIFS(Base!$A$3:$A$5001,T$3,Base!$B$3:$B$5001,$A$131,Base!$C$3:$C$5001,"&lt;&gt;")=0,"",SUMIFS(Base!$C$3:$C$5001,Base!$A$3:$A$5001,T$3,Base!$B$3:$B$5001,$A$131)))</f>
        <v/>
      </c>
      <c r="U131" s="25" t="str">
        <f>IF(U$3="","",IF(COUNTIFS(Base!$A$3:$A$5001,U$3,Base!$B$3:$B$5001,$A$131,Base!$C$3:$C$5001,"&lt;&gt;")=0,"",SUMIFS(Base!$C$3:$C$5001,Base!$A$3:$A$5001,U$3,Base!$B$3:$B$5001,$A$131)))</f>
        <v/>
      </c>
      <c r="V131" s="25" t="str">
        <f>IF(V$3="","",IF(COUNTIFS(Base!$A$3:$A$5001,V$3,Base!$B$3:$B$5001,$A$131,Base!$C$3:$C$5001,"&lt;&gt;")=0,"",SUMIFS(Base!$C$3:$C$5001,Base!$A$3:$A$5001,V$3,Base!$B$3:$B$5001,$A$131)))</f>
        <v/>
      </c>
      <c r="W131" s="25" t="str">
        <f>IF(W$3="","",IF(COUNTIFS(Base!$A$3:$A$5001,W$3,Base!$B$3:$B$5001,$A$131,Base!$C$3:$C$5001,"&lt;&gt;")=0,"",SUMIFS(Base!$C$3:$C$5001,Base!$A$3:$A$5001,W$3,Base!$B$3:$B$5001,$A$131)))</f>
        <v/>
      </c>
      <c r="X131" s="25" t="str">
        <f>IF(X$3="","",IF(COUNTIFS(Base!$A$3:$A$5001,X$3,Base!$B$3:$B$5001,$A$131,Base!$C$3:$C$5001,"&lt;&gt;")=0,"",SUMIFS(Base!$C$3:$C$5001,Base!$A$3:$A$5001,X$3,Base!$B$3:$B$5001,$A$131)))</f>
        <v/>
      </c>
      <c r="Y131" s="25" t="str">
        <f>IF(Y$3="","",IF(COUNTIFS(Base!$A$3:$A$5001,Y$3,Base!$B$3:$B$5001,$A$131,Base!$C$3:$C$5001,"&lt;&gt;")=0,"",SUMIFS(Base!$C$3:$C$5001,Base!$A$3:$A$5001,Y$3,Base!$B$3:$B$5001,$A$131)))</f>
        <v/>
      </c>
      <c r="Z131" s="25" t="str">
        <f>IF(Z$3="","",IF(COUNTIFS(Base!$A$3:$A$5001,Z$3,Base!$B$3:$B$5001,$A$131,Base!$C$3:$C$5001,"&lt;&gt;")=0,"",SUMIFS(Base!$C$3:$C$5001,Base!$A$3:$A$5001,Z$3,Base!$B$3:$B$5001,$A$131)))</f>
        <v/>
      </c>
      <c r="AA131" s="25" t="str">
        <f>IF(AA$3="","",IF(COUNTIFS(Base!$A$3:$A$5001,AA$3,Base!$B$3:$B$5001,$A$131,Base!$C$3:$C$5001,"&lt;&gt;")=0,"",SUMIFS(Base!$C$3:$C$5001,Base!$A$3:$A$5001,AA$3,Base!$B$3:$B$5001,$A$131)))</f>
        <v/>
      </c>
      <c r="AB131" s="25" t="str">
        <f>IF(AB$3="","",IF(COUNTIFS(Base!$A$3:$A$5001,AB$3,Base!$B$3:$B$5001,$A$131,Base!$C$3:$C$5001,"&lt;&gt;")=0,"",SUMIFS(Base!$C$3:$C$5001,Base!$A$3:$A$5001,AB$3,Base!$B$3:$B$5001,$A$131)))</f>
        <v/>
      </c>
      <c r="AC131" s="25" t="str">
        <f>IF(AC$3="","",IF(COUNTIFS(Base!$A$3:$A$5001,AC$3,Base!$B$3:$B$5001,$A$131,Base!$C$3:$C$5001,"&lt;&gt;")=0,"",SUMIFS(Base!$C$3:$C$5001,Base!$A$3:$A$5001,AC$3,Base!$B$3:$B$5001,$A$131)))</f>
        <v/>
      </c>
      <c r="AD131" s="25" t="str">
        <f>IF(AD$3="","",IF(COUNTIFS(Base!$A$3:$A$5001,AD$3,Base!$B$3:$B$5001,$A$131,Base!$C$3:$C$5001,"&lt;&gt;")=0,"",SUMIFS(Base!$C$3:$C$5001,Base!$A$3:$A$5001,AD$3,Base!$B$3:$B$5001,$A$131)))</f>
        <v/>
      </c>
      <c r="AE131" s="25" t="str">
        <f>IF(AE$3="","",IF(COUNTIFS(Base!$A$3:$A$5001,AE$3,Base!$B$3:$B$5001,$A$131,Base!$C$3:$C$5001,"&lt;&gt;")=0,"",SUMIFS(Base!$C$3:$C$5001,Base!$A$3:$A$5001,AE$3,Base!$B$3:$B$5001,$A$131)))</f>
        <v/>
      </c>
      <c r="AF131" s="25" t="str">
        <f>IF(AF$3="","",IF(COUNTIFS(Base!$A$3:$A$5001,AF$3,Base!$B$3:$B$5001,$A$131,Base!$C$3:$C$5001,"&lt;&gt;")=0,"",SUMIFS(Base!$C$3:$C$5001,Base!$A$3:$A$5001,AF$3,Base!$B$3:$B$5001,$A$131)))</f>
        <v/>
      </c>
      <c r="AG131" s="25" t="str">
        <f>IF(AG$3="","",IF(COUNTIFS(Base!$A$3:$A$5001,AG$3,Base!$B$3:$B$5001,$A$131,Base!$C$3:$C$5001,"&lt;&gt;")=0,"",SUMIFS(Base!$C$3:$C$5001,Base!$A$3:$A$5001,AG$3,Base!$B$3:$B$5001,$A$131)))</f>
        <v/>
      </c>
      <c r="AH131" s="25" t="str">
        <f>IF(AH$3="","",IF(COUNTIFS(Base!$A$3:$A$5001,AH$3,Base!$B$3:$B$5001,$A$131,Base!$C$3:$C$5001,"&lt;&gt;")=0,"",SUMIFS(Base!$C$3:$C$5001,Base!$A$3:$A$5001,AH$3,Base!$B$3:$B$5001,$A$131)))</f>
        <v/>
      </c>
      <c r="AI131" s="25" t="str">
        <f>IF(AI$3="","",IF(COUNTIFS(Base!$A$3:$A$5001,AI$3,Base!$B$3:$B$5001,$A$131,Base!$C$3:$C$5001,"&lt;&gt;")=0,"",SUMIFS(Base!$C$3:$C$5001,Base!$A$3:$A$5001,AI$3,Base!$B$3:$B$5001,$A$131)))</f>
        <v/>
      </c>
      <c r="AJ131" s="26" t="str">
        <f>IF(AJ$3="","",IF(COUNTIFS(Base!$A$3:$A$5001,AJ$3,Base!$B$3:$B$5001,$A$131,Base!$C$3:$C$5001,"&lt;&gt;")=0,"",SUMIFS(Base!$C$3:$C$5001,Base!$A$3:$A$5001,AJ$3,Base!$B$3:$B$5001,$A$131)))</f>
        <v/>
      </c>
      <c r="AK131" s="27" t="str">
        <f>IF(COUNT(F131:AJ131)=0,"",SUM(F131:AJ131))</f>
        <v/>
      </c>
    </row>
    <row r="132" ht="15.75" customHeight="1">
      <c r="A132" s="118"/>
      <c r="B132" s="107"/>
      <c r="C132" s="35" t="inlineStr">
        <is>
          <t xml:space="preserve">Pallets Movimentados</t>
        </is>
      </c>
      <c r="D132" s="469" t="str">
        <f>IFERROR(1/(1/INDEX(calculos!$C$55:$K$83,MATCH("IN Pallets Movimentados",calculos!$A$55:$A$83,0),MATCH($A$131,calculos!$C$54:$K$54,0))),"")</f>
        <v/>
      </c>
      <c r="E132" s="37"/>
      <c r="F132" s="470" t="str">
        <f>IF(F$3="","",IF(COUNTIFS(Base!$A$3:$A$5001,F$3,Base!$B$3:$B$5001,$A$131,Base!$D$3:$D$5001,"&lt;&gt;")=0,"",SUMIFS(Base!$D$3:$D$5001,Base!$A$3:$A$5001,F$3,Base!$B$3:$B$5001,$A$131)))</f>
        <v/>
      </c>
      <c r="G132" s="471" t="str">
        <f>IF(G$3="","",IF(COUNTIFS(Base!$A$3:$A$5001,G$3,Base!$B$3:$B$5001,$A$131,Base!$D$3:$D$5001,"&lt;&gt;")=0,"",SUMIFS(Base!$D$3:$D$5001,Base!$A$3:$A$5001,G$3,Base!$B$3:$B$5001,$A$131)))</f>
        <v/>
      </c>
      <c r="H132" s="471" t="str">
        <f>IF(H$3="","",IF(COUNTIFS(Base!$A$3:$A$5001,H$3,Base!$B$3:$B$5001,$A$131,Base!$D$3:$D$5001,"&lt;&gt;")=0,"",SUMIFS(Base!$D$3:$D$5001,Base!$A$3:$A$5001,H$3,Base!$B$3:$B$5001,$A$131)))</f>
        <v/>
      </c>
      <c r="I132" s="471" t="str">
        <f>IF(I$3="","",IF(COUNTIFS(Base!$A$3:$A$5001,I$3,Base!$B$3:$B$5001,$A$131,Base!$D$3:$D$5001,"&lt;&gt;")=0,"",SUMIFS(Base!$D$3:$D$5001,Base!$A$3:$A$5001,I$3,Base!$B$3:$B$5001,$A$131)))</f>
        <v/>
      </c>
      <c r="J132" s="471" t="str">
        <f>IF(J$3="","",IF(COUNTIFS(Base!$A$3:$A$5001,J$3,Base!$B$3:$B$5001,$A$131,Base!$D$3:$D$5001,"&lt;&gt;")=0,"",SUMIFS(Base!$D$3:$D$5001,Base!$A$3:$A$5001,J$3,Base!$B$3:$B$5001,$A$131)))</f>
        <v/>
      </c>
      <c r="K132" s="471" t="str">
        <f>IF(K$3="","",IF(COUNTIFS(Base!$A$3:$A$5001,K$3,Base!$B$3:$B$5001,$A$131,Base!$D$3:$D$5001,"&lt;&gt;")=0,"",SUMIFS(Base!$D$3:$D$5001,Base!$A$3:$A$5001,K$3,Base!$B$3:$B$5001,$A$131)))</f>
        <v/>
      </c>
      <c r="L132" s="471" t="str">
        <f>IF(L$3="","",IF(COUNTIFS(Base!$A$3:$A$5001,L$3,Base!$B$3:$B$5001,$A$131,Base!$D$3:$D$5001,"&lt;&gt;")=0,"",SUMIFS(Base!$D$3:$D$5001,Base!$A$3:$A$5001,L$3,Base!$B$3:$B$5001,$A$131)))</f>
        <v/>
      </c>
      <c r="M132" s="471" t="str">
        <f>IF(M$3="","",IF(COUNTIFS(Base!$A$3:$A$5001,M$3,Base!$B$3:$B$5001,$A$131,Base!$D$3:$D$5001,"&lt;&gt;")=0,"",SUMIFS(Base!$D$3:$D$5001,Base!$A$3:$A$5001,M$3,Base!$B$3:$B$5001,$A$131)))</f>
        <v/>
      </c>
      <c r="N132" s="471" t="str">
        <f>IF(N$3="","",IF(COUNTIFS(Base!$A$3:$A$5001,N$3,Base!$B$3:$B$5001,$A$131,Base!$D$3:$D$5001,"&lt;&gt;")=0,"",SUMIFS(Base!$D$3:$D$5001,Base!$A$3:$A$5001,N$3,Base!$B$3:$B$5001,$A$131)))</f>
        <v/>
      </c>
      <c r="O132" s="471" t="str">
        <f>IF(O$3="","",IF(COUNTIFS(Base!$A$3:$A$5001,O$3,Base!$B$3:$B$5001,$A$131,Base!$D$3:$D$5001,"&lt;&gt;")=0,"",SUMIFS(Base!$D$3:$D$5001,Base!$A$3:$A$5001,O$3,Base!$B$3:$B$5001,$A$131)))</f>
        <v/>
      </c>
      <c r="P132" s="471" t="str">
        <f>IF(P$3="","",IF(COUNTIFS(Base!$A$3:$A$5001,P$3,Base!$B$3:$B$5001,$A$131,Base!$D$3:$D$5001,"&lt;&gt;")=0,"",SUMIFS(Base!$D$3:$D$5001,Base!$A$3:$A$5001,P$3,Base!$B$3:$B$5001,$A$131)))</f>
        <v/>
      </c>
      <c r="Q132" s="471" t="str">
        <f>IF(Q$3="","",IF(COUNTIFS(Base!$A$3:$A$5001,Q$3,Base!$B$3:$B$5001,$A$131,Base!$D$3:$D$5001,"&lt;&gt;")=0,"",SUMIFS(Base!$D$3:$D$5001,Base!$A$3:$A$5001,Q$3,Base!$B$3:$B$5001,$A$131)))</f>
        <v/>
      </c>
      <c r="R132" s="471" t="str">
        <f>IF(R$3="","",IF(COUNTIFS(Base!$A$3:$A$5001,R$3,Base!$B$3:$B$5001,$A$131,Base!$D$3:$D$5001,"&lt;&gt;")=0,"",SUMIFS(Base!$D$3:$D$5001,Base!$A$3:$A$5001,R$3,Base!$B$3:$B$5001,$A$131)))</f>
        <v/>
      </c>
      <c r="S132" s="471" t="str">
        <f>IF(S$3="","",IF(COUNTIFS(Base!$A$3:$A$5001,S$3,Base!$B$3:$B$5001,$A$131,Base!$D$3:$D$5001,"&lt;&gt;")=0,"",SUMIFS(Base!$D$3:$D$5001,Base!$A$3:$A$5001,S$3,Base!$B$3:$B$5001,$A$131)))</f>
        <v/>
      </c>
      <c r="T132" s="471" t="str">
        <f>IF(T$3="","",IF(COUNTIFS(Base!$A$3:$A$5001,T$3,Base!$B$3:$B$5001,$A$131,Base!$D$3:$D$5001,"&lt;&gt;")=0,"",SUMIFS(Base!$D$3:$D$5001,Base!$A$3:$A$5001,T$3,Base!$B$3:$B$5001,$A$131)))</f>
        <v/>
      </c>
      <c r="U132" s="471" t="str">
        <f>IF(U$3="","",IF(COUNTIFS(Base!$A$3:$A$5001,U$3,Base!$B$3:$B$5001,$A$131,Base!$D$3:$D$5001,"&lt;&gt;")=0,"",SUMIFS(Base!$D$3:$D$5001,Base!$A$3:$A$5001,U$3,Base!$B$3:$B$5001,$A$131)))</f>
        <v/>
      </c>
      <c r="V132" s="471" t="str">
        <f>IF(V$3="","",IF(COUNTIFS(Base!$A$3:$A$5001,V$3,Base!$B$3:$B$5001,$A$131,Base!$D$3:$D$5001,"&lt;&gt;")=0,"",SUMIFS(Base!$D$3:$D$5001,Base!$A$3:$A$5001,V$3,Base!$B$3:$B$5001,$A$131)))</f>
        <v/>
      </c>
      <c r="W132" s="471" t="str">
        <f>IF(W$3="","",IF(COUNTIFS(Base!$A$3:$A$5001,W$3,Base!$B$3:$B$5001,$A$131,Base!$D$3:$D$5001,"&lt;&gt;")=0,"",SUMIFS(Base!$D$3:$D$5001,Base!$A$3:$A$5001,W$3,Base!$B$3:$B$5001,$A$131)))</f>
        <v/>
      </c>
      <c r="X132" s="471" t="str">
        <f>IF(X$3="","",IF(COUNTIFS(Base!$A$3:$A$5001,X$3,Base!$B$3:$B$5001,$A$131,Base!$D$3:$D$5001,"&lt;&gt;")=0,"",SUMIFS(Base!$D$3:$D$5001,Base!$A$3:$A$5001,X$3,Base!$B$3:$B$5001,$A$131)))</f>
        <v/>
      </c>
      <c r="Y132" s="471" t="str">
        <f>IF(Y$3="","",IF(COUNTIFS(Base!$A$3:$A$5001,Y$3,Base!$B$3:$B$5001,$A$131,Base!$D$3:$D$5001,"&lt;&gt;")=0,"",SUMIFS(Base!$D$3:$D$5001,Base!$A$3:$A$5001,Y$3,Base!$B$3:$B$5001,$A$131)))</f>
        <v/>
      </c>
      <c r="Z132" s="471" t="str">
        <f>IF(Z$3="","",IF(COUNTIFS(Base!$A$3:$A$5001,Z$3,Base!$B$3:$B$5001,$A$131,Base!$D$3:$D$5001,"&lt;&gt;")=0,"",SUMIFS(Base!$D$3:$D$5001,Base!$A$3:$A$5001,Z$3,Base!$B$3:$B$5001,$A$131)))</f>
        <v/>
      </c>
      <c r="AA132" s="471" t="str">
        <f>IF(AA$3="","",IF(COUNTIFS(Base!$A$3:$A$5001,AA$3,Base!$B$3:$B$5001,$A$131,Base!$D$3:$D$5001,"&lt;&gt;")=0,"",SUMIFS(Base!$D$3:$D$5001,Base!$A$3:$A$5001,AA$3,Base!$B$3:$B$5001,$A$131)))</f>
        <v/>
      </c>
      <c r="AB132" s="471" t="str">
        <f>IF(AB$3="","",IF(COUNTIFS(Base!$A$3:$A$5001,AB$3,Base!$B$3:$B$5001,$A$131,Base!$D$3:$D$5001,"&lt;&gt;")=0,"",SUMIFS(Base!$D$3:$D$5001,Base!$A$3:$A$5001,AB$3,Base!$B$3:$B$5001,$A$131)))</f>
        <v/>
      </c>
      <c r="AC132" s="471" t="str">
        <f>IF(AC$3="","",IF(COUNTIFS(Base!$A$3:$A$5001,AC$3,Base!$B$3:$B$5001,$A$131,Base!$D$3:$D$5001,"&lt;&gt;")=0,"",SUMIFS(Base!$D$3:$D$5001,Base!$A$3:$A$5001,AC$3,Base!$B$3:$B$5001,$A$131)))</f>
        <v/>
      </c>
      <c r="AD132" s="471" t="str">
        <f>IF(AD$3="","",IF(COUNTIFS(Base!$A$3:$A$5001,AD$3,Base!$B$3:$B$5001,$A$131,Base!$D$3:$D$5001,"&lt;&gt;")=0,"",SUMIFS(Base!$D$3:$D$5001,Base!$A$3:$A$5001,AD$3,Base!$B$3:$B$5001,$A$131)))</f>
        <v/>
      </c>
      <c r="AE132" s="471" t="str">
        <f>IF(AE$3="","",IF(COUNTIFS(Base!$A$3:$A$5001,AE$3,Base!$B$3:$B$5001,$A$131,Base!$D$3:$D$5001,"&lt;&gt;")=0,"",SUMIFS(Base!$D$3:$D$5001,Base!$A$3:$A$5001,AE$3,Base!$B$3:$B$5001,$A$131)))</f>
        <v/>
      </c>
      <c r="AF132" s="471" t="str">
        <f>IF(AF$3="","",IF(COUNTIFS(Base!$A$3:$A$5001,AF$3,Base!$B$3:$B$5001,$A$131,Base!$D$3:$D$5001,"&lt;&gt;")=0,"",SUMIFS(Base!$D$3:$D$5001,Base!$A$3:$A$5001,AF$3,Base!$B$3:$B$5001,$A$131)))</f>
        <v/>
      </c>
      <c r="AG132" s="471" t="str">
        <f>IF(AG$3="","",IF(COUNTIFS(Base!$A$3:$A$5001,AG$3,Base!$B$3:$B$5001,$A$131,Base!$D$3:$D$5001,"&lt;&gt;")=0,"",SUMIFS(Base!$D$3:$D$5001,Base!$A$3:$A$5001,AG$3,Base!$B$3:$B$5001,$A$131)))</f>
        <v/>
      </c>
      <c r="AH132" s="471" t="str">
        <f>IF(AH$3="","",IF(COUNTIFS(Base!$A$3:$A$5001,AH$3,Base!$B$3:$B$5001,$A$131,Base!$D$3:$D$5001,"&lt;&gt;")=0,"",SUMIFS(Base!$D$3:$D$5001,Base!$A$3:$A$5001,AH$3,Base!$B$3:$B$5001,$A$131)))</f>
        <v/>
      </c>
      <c r="AI132" s="471" t="str">
        <f>IF(AI$3="","",IF(COUNTIFS(Base!$A$3:$A$5001,AI$3,Base!$B$3:$B$5001,$A$131,Base!$D$3:$D$5001,"&lt;&gt;")=0,"",SUMIFS(Base!$D$3:$D$5001,Base!$A$3:$A$5001,AI$3,Base!$B$3:$B$5001,$A$131)))</f>
        <v/>
      </c>
      <c r="AJ132" s="472" t="str">
        <f>IF(AJ$3="","",IF(COUNTIFS(Base!$A$3:$A$5001,AJ$3,Base!$B$3:$B$5001,$A$131,Base!$D$3:$D$5001,"&lt;&gt;")=0,"",SUMIFS(Base!$D$3:$D$5001,Base!$A$3:$A$5001,AJ$3,Base!$B$3:$B$5001,$A$131)))</f>
        <v/>
      </c>
      <c r="AK132" s="469" t="str">
        <f>IF(COUNT(F132:AJ132)=0,"",SUM(F132:AJ132))</f>
        <v/>
      </c>
    </row>
    <row r="133" ht="15.75" customHeight="1">
      <c r="A133" s="118"/>
      <c r="B133" s="108" t="inlineStr">
        <is>
          <t xml:space="preserve">OUT</t>
        </is>
      </c>
      <c r="C133" s="41" t="inlineStr">
        <is>
          <t xml:space="preserve">Veículos Expedidos</t>
        </is>
      </c>
      <c r="D133" s="42" t="str">
        <f>IFERROR(1/(1/INDEX(calculos!$C$55:$K$83,MATCH("OUT Veículos Expedidos",calculos!$A$55:$A$83,0),MATCH($A$131,calculos!$C$54:$K$54,0))),"")</f>
        <v/>
      </c>
      <c r="E133" s="43"/>
      <c r="F133" s="44" t="str">
        <f>IF(F$3="","",IF(COUNTIFS(Base!$A$3:$A$5001,F$3,Base!$B$3:$B$5001,$A$131,Base!$L$3:$L$5001,"&lt;&gt;")=0,"",SUMIFS(Base!$L$3:$L$5001,Base!$A$3:$A$5001,F$3,Base!$B$3:$B$5001,$A$131)))</f>
        <v/>
      </c>
      <c r="G133" s="45" t="str">
        <f>IF(G$3="","",IF(COUNTIFS(Base!$A$3:$A$5001,G$3,Base!$B$3:$B$5001,$A$131,Base!$L$3:$L$5001,"&lt;&gt;")=0,"",SUMIFS(Base!$L$3:$L$5001,Base!$A$3:$A$5001,G$3,Base!$B$3:$B$5001,$A$131)))</f>
        <v/>
      </c>
      <c r="H133" s="45" t="str">
        <f>IF(H$3="","",IF(COUNTIFS(Base!$A$3:$A$5001,H$3,Base!$B$3:$B$5001,$A$131,Base!$L$3:$L$5001,"&lt;&gt;")=0,"",SUMIFS(Base!$L$3:$L$5001,Base!$A$3:$A$5001,H$3,Base!$B$3:$B$5001,$A$131)))</f>
        <v/>
      </c>
      <c r="I133" s="45" t="str">
        <f>IF(I$3="","",IF(COUNTIFS(Base!$A$3:$A$5001,I$3,Base!$B$3:$B$5001,$A$131,Base!$L$3:$L$5001,"&lt;&gt;")=0,"",SUMIFS(Base!$L$3:$L$5001,Base!$A$3:$A$5001,I$3,Base!$B$3:$B$5001,$A$131)))</f>
        <v/>
      </c>
      <c r="J133" s="45" t="str">
        <f>IF(J$3="","",IF(COUNTIFS(Base!$A$3:$A$5001,J$3,Base!$B$3:$B$5001,$A$131,Base!$L$3:$L$5001,"&lt;&gt;")=0,"",SUMIFS(Base!$L$3:$L$5001,Base!$A$3:$A$5001,J$3,Base!$B$3:$B$5001,$A$131)))</f>
        <v/>
      </c>
      <c r="K133" s="45" t="str">
        <f>IF(K$3="","",IF(COUNTIFS(Base!$A$3:$A$5001,K$3,Base!$B$3:$B$5001,$A$131,Base!$L$3:$L$5001,"&lt;&gt;")=0,"",SUMIFS(Base!$L$3:$L$5001,Base!$A$3:$A$5001,K$3,Base!$B$3:$B$5001,$A$131)))</f>
        <v/>
      </c>
      <c r="L133" s="45" t="str">
        <f>IF(L$3="","",IF(COUNTIFS(Base!$A$3:$A$5001,L$3,Base!$B$3:$B$5001,$A$131,Base!$L$3:$L$5001,"&lt;&gt;")=0,"",SUMIFS(Base!$L$3:$L$5001,Base!$A$3:$A$5001,L$3,Base!$B$3:$B$5001,$A$131)))</f>
        <v/>
      </c>
      <c r="M133" s="45" t="str">
        <f>IF(M$3="","",IF(COUNTIFS(Base!$A$3:$A$5001,M$3,Base!$B$3:$B$5001,$A$131,Base!$L$3:$L$5001,"&lt;&gt;")=0,"",SUMIFS(Base!$L$3:$L$5001,Base!$A$3:$A$5001,M$3,Base!$B$3:$B$5001,$A$131)))</f>
        <v/>
      </c>
      <c r="N133" s="45" t="str">
        <f>IF(N$3="","",IF(COUNTIFS(Base!$A$3:$A$5001,N$3,Base!$B$3:$B$5001,$A$131,Base!$L$3:$L$5001,"&lt;&gt;")=0,"",SUMIFS(Base!$L$3:$L$5001,Base!$A$3:$A$5001,N$3,Base!$B$3:$B$5001,$A$131)))</f>
        <v/>
      </c>
      <c r="O133" s="45" t="str">
        <f>IF(O$3="","",IF(COUNTIFS(Base!$A$3:$A$5001,O$3,Base!$B$3:$B$5001,$A$131,Base!$L$3:$L$5001,"&lt;&gt;")=0,"",SUMIFS(Base!$L$3:$L$5001,Base!$A$3:$A$5001,O$3,Base!$B$3:$B$5001,$A$131)))</f>
        <v/>
      </c>
      <c r="P133" s="45" t="str">
        <f>IF(P$3="","",IF(COUNTIFS(Base!$A$3:$A$5001,P$3,Base!$B$3:$B$5001,$A$131,Base!$L$3:$L$5001,"&lt;&gt;")=0,"",SUMIFS(Base!$L$3:$L$5001,Base!$A$3:$A$5001,P$3,Base!$B$3:$B$5001,$A$131)))</f>
        <v/>
      </c>
      <c r="Q133" s="45" t="str">
        <f>IF(Q$3="","",IF(COUNTIFS(Base!$A$3:$A$5001,Q$3,Base!$B$3:$B$5001,$A$131,Base!$L$3:$L$5001,"&lt;&gt;")=0,"",SUMIFS(Base!$L$3:$L$5001,Base!$A$3:$A$5001,Q$3,Base!$B$3:$B$5001,$A$131)))</f>
        <v/>
      </c>
      <c r="R133" s="45" t="str">
        <f>IF(R$3="","",IF(COUNTIFS(Base!$A$3:$A$5001,R$3,Base!$B$3:$B$5001,$A$131,Base!$L$3:$L$5001,"&lt;&gt;")=0,"",SUMIFS(Base!$L$3:$L$5001,Base!$A$3:$A$5001,R$3,Base!$B$3:$B$5001,$A$131)))</f>
        <v/>
      </c>
      <c r="S133" s="45" t="str">
        <f>IF(S$3="","",IF(COUNTIFS(Base!$A$3:$A$5001,S$3,Base!$B$3:$B$5001,$A$131,Base!$L$3:$L$5001,"&lt;&gt;")=0,"",SUMIFS(Base!$L$3:$L$5001,Base!$A$3:$A$5001,S$3,Base!$B$3:$B$5001,$A$131)))</f>
        <v/>
      </c>
      <c r="T133" s="45" t="str">
        <f>IF(T$3="","",IF(COUNTIFS(Base!$A$3:$A$5001,T$3,Base!$B$3:$B$5001,$A$131,Base!$L$3:$L$5001,"&lt;&gt;")=0,"",SUMIFS(Base!$L$3:$L$5001,Base!$A$3:$A$5001,T$3,Base!$B$3:$B$5001,$A$131)))</f>
        <v/>
      </c>
      <c r="U133" s="45" t="str">
        <f>IF(U$3="","",IF(COUNTIFS(Base!$A$3:$A$5001,U$3,Base!$B$3:$B$5001,$A$131,Base!$L$3:$L$5001,"&lt;&gt;")=0,"",SUMIFS(Base!$L$3:$L$5001,Base!$A$3:$A$5001,U$3,Base!$B$3:$B$5001,$A$131)))</f>
        <v/>
      </c>
      <c r="V133" s="45" t="str">
        <f>IF(V$3="","",IF(COUNTIFS(Base!$A$3:$A$5001,V$3,Base!$B$3:$B$5001,$A$131,Base!$L$3:$L$5001,"&lt;&gt;")=0,"",SUMIFS(Base!$L$3:$L$5001,Base!$A$3:$A$5001,V$3,Base!$B$3:$B$5001,$A$131)))</f>
        <v/>
      </c>
      <c r="W133" s="45" t="str">
        <f>IF(W$3="","",IF(COUNTIFS(Base!$A$3:$A$5001,W$3,Base!$B$3:$B$5001,$A$131,Base!$L$3:$L$5001,"&lt;&gt;")=0,"",SUMIFS(Base!$L$3:$L$5001,Base!$A$3:$A$5001,W$3,Base!$B$3:$B$5001,$A$131)))</f>
        <v/>
      </c>
      <c r="X133" s="45" t="str">
        <f>IF(X$3="","",IF(COUNTIFS(Base!$A$3:$A$5001,X$3,Base!$B$3:$B$5001,$A$131,Base!$L$3:$L$5001,"&lt;&gt;")=0,"",SUMIFS(Base!$L$3:$L$5001,Base!$A$3:$A$5001,X$3,Base!$B$3:$B$5001,$A$131)))</f>
        <v/>
      </c>
      <c r="Y133" s="45" t="str">
        <f>IF(Y$3="","",IF(COUNTIFS(Base!$A$3:$A$5001,Y$3,Base!$B$3:$B$5001,$A$131,Base!$L$3:$L$5001,"&lt;&gt;")=0,"",SUMIFS(Base!$L$3:$L$5001,Base!$A$3:$A$5001,Y$3,Base!$B$3:$B$5001,$A$131)))</f>
        <v/>
      </c>
      <c r="Z133" s="45" t="str">
        <f>IF(Z$3="","",IF(COUNTIFS(Base!$A$3:$A$5001,Z$3,Base!$B$3:$B$5001,$A$131,Base!$L$3:$L$5001,"&lt;&gt;")=0,"",SUMIFS(Base!$L$3:$L$5001,Base!$A$3:$A$5001,Z$3,Base!$B$3:$B$5001,$A$131)))</f>
        <v/>
      </c>
      <c r="AA133" s="45" t="str">
        <f>IF(AA$3="","",IF(COUNTIFS(Base!$A$3:$A$5001,AA$3,Base!$B$3:$B$5001,$A$131,Base!$L$3:$L$5001,"&lt;&gt;")=0,"",SUMIFS(Base!$L$3:$L$5001,Base!$A$3:$A$5001,AA$3,Base!$B$3:$B$5001,$A$131)))</f>
        <v/>
      </c>
      <c r="AB133" s="45" t="str">
        <f>IF(AB$3="","",IF(COUNTIFS(Base!$A$3:$A$5001,AB$3,Base!$B$3:$B$5001,$A$131,Base!$L$3:$L$5001,"&lt;&gt;")=0,"",SUMIFS(Base!$L$3:$L$5001,Base!$A$3:$A$5001,AB$3,Base!$B$3:$B$5001,$A$131)))</f>
        <v/>
      </c>
      <c r="AC133" s="45" t="str">
        <f>IF(AC$3="","",IF(COUNTIFS(Base!$A$3:$A$5001,AC$3,Base!$B$3:$B$5001,$A$131,Base!$L$3:$L$5001,"&lt;&gt;")=0,"",SUMIFS(Base!$L$3:$L$5001,Base!$A$3:$A$5001,AC$3,Base!$B$3:$B$5001,$A$131)))</f>
        <v/>
      </c>
      <c r="AD133" s="45" t="str">
        <f>IF(AD$3="","",IF(COUNTIFS(Base!$A$3:$A$5001,AD$3,Base!$B$3:$B$5001,$A$131,Base!$L$3:$L$5001,"&lt;&gt;")=0,"",SUMIFS(Base!$L$3:$L$5001,Base!$A$3:$A$5001,AD$3,Base!$B$3:$B$5001,$A$131)))</f>
        <v/>
      </c>
      <c r="AE133" s="45" t="str">
        <f>IF(AE$3="","",IF(COUNTIFS(Base!$A$3:$A$5001,AE$3,Base!$B$3:$B$5001,$A$131,Base!$L$3:$L$5001,"&lt;&gt;")=0,"",SUMIFS(Base!$L$3:$L$5001,Base!$A$3:$A$5001,AE$3,Base!$B$3:$B$5001,$A$131)))</f>
        <v/>
      </c>
      <c r="AF133" s="45" t="str">
        <f>IF(AF$3="","",IF(COUNTIFS(Base!$A$3:$A$5001,AF$3,Base!$B$3:$B$5001,$A$131,Base!$L$3:$L$5001,"&lt;&gt;")=0,"",SUMIFS(Base!$L$3:$L$5001,Base!$A$3:$A$5001,AF$3,Base!$B$3:$B$5001,$A$131)))</f>
        <v/>
      </c>
      <c r="AG133" s="45" t="str">
        <f>IF(AG$3="","",IF(COUNTIFS(Base!$A$3:$A$5001,AG$3,Base!$B$3:$B$5001,$A$131,Base!$L$3:$L$5001,"&lt;&gt;")=0,"",SUMIFS(Base!$L$3:$L$5001,Base!$A$3:$A$5001,AG$3,Base!$B$3:$B$5001,$A$131)))</f>
        <v/>
      </c>
      <c r="AH133" s="45" t="str">
        <f>IF(AH$3="","",IF(COUNTIFS(Base!$A$3:$A$5001,AH$3,Base!$B$3:$B$5001,$A$131,Base!$L$3:$L$5001,"&lt;&gt;")=0,"",SUMIFS(Base!$L$3:$L$5001,Base!$A$3:$A$5001,AH$3,Base!$B$3:$B$5001,$A$131)))</f>
        <v/>
      </c>
      <c r="AI133" s="45" t="str">
        <f>IF(AI$3="","",IF(COUNTIFS(Base!$A$3:$A$5001,AI$3,Base!$B$3:$B$5001,$A$131,Base!$L$3:$L$5001,"&lt;&gt;")=0,"",SUMIFS(Base!$L$3:$L$5001,Base!$A$3:$A$5001,AI$3,Base!$B$3:$B$5001,$A$131)))</f>
        <v/>
      </c>
      <c r="AJ133" s="46" t="str">
        <f>IF(AJ$3="","",IF(COUNTIFS(Base!$A$3:$A$5001,AJ$3,Base!$B$3:$B$5001,$A$131,Base!$L$3:$L$5001,"&lt;&gt;")=0,"",SUMIFS(Base!$L$3:$L$5001,Base!$A$3:$A$5001,AJ$3,Base!$B$3:$B$5001,$A$131)))</f>
        <v/>
      </c>
      <c r="AK133" s="47" t="str">
        <f>IF(COUNT(F133:AJ133)=0,"",SUM(F133:AJ133))</f>
        <v/>
      </c>
    </row>
    <row r="134" ht="15.75" customHeight="1">
      <c r="A134" s="118"/>
      <c r="B134" s="110"/>
      <c r="C134" s="55" t="inlineStr">
        <is>
          <t xml:space="preserve">Pallets Movimentados</t>
        </is>
      </c>
      <c r="D134" s="473" t="str">
        <f>IFERROR(1/(1/INDEX(calculos!$C$55:$K$83,MATCH("OUT Pallets Movimentados",calculos!$A$55:$A$83,0),MATCH($A$131,calculos!$C$54:$K$54,0))),"")</f>
        <v/>
      </c>
      <c r="E134" s="57"/>
      <c r="F134" s="474" t="str">
        <f>IF(F$3="","",IF(COUNTIFS(Base!$A$3:$A$5001,F$3,Base!$B$3:$B$5001,$A$131,Base!$M$3:$M$5001,"&lt;&gt;")=0,"",SUMIFS(Base!$M$3:$M$5001,Base!$A$3:$A$5001,F$3,Base!$B$3:$B$5001,$A$131)))</f>
        <v/>
      </c>
      <c r="G134" s="475" t="str">
        <f>IF(G$3="","",IF(COUNTIFS(Base!$A$3:$A$5001,G$3,Base!$B$3:$B$5001,$A$131,Base!$M$3:$M$5001,"&lt;&gt;")=0,"",SUMIFS(Base!$M$3:$M$5001,Base!$A$3:$A$5001,G$3,Base!$B$3:$B$5001,$A$131)))</f>
        <v/>
      </c>
      <c r="H134" s="475" t="str">
        <f>IF(H$3="","",IF(COUNTIFS(Base!$A$3:$A$5001,H$3,Base!$B$3:$B$5001,$A$131,Base!$M$3:$M$5001,"&lt;&gt;")=0,"",SUMIFS(Base!$M$3:$M$5001,Base!$A$3:$A$5001,H$3,Base!$B$3:$B$5001,$A$131)))</f>
        <v/>
      </c>
      <c r="I134" s="475" t="str">
        <f>IF(I$3="","",IF(COUNTIFS(Base!$A$3:$A$5001,I$3,Base!$B$3:$B$5001,$A$131,Base!$M$3:$M$5001,"&lt;&gt;")=0,"",SUMIFS(Base!$M$3:$M$5001,Base!$A$3:$A$5001,I$3,Base!$B$3:$B$5001,$A$131)))</f>
        <v/>
      </c>
      <c r="J134" s="475" t="str">
        <f>IF(J$3="","",IF(COUNTIFS(Base!$A$3:$A$5001,J$3,Base!$B$3:$B$5001,$A$131,Base!$M$3:$M$5001,"&lt;&gt;")=0,"",SUMIFS(Base!$M$3:$M$5001,Base!$A$3:$A$5001,J$3,Base!$B$3:$B$5001,$A$131)))</f>
        <v/>
      </c>
      <c r="K134" s="475" t="str">
        <f>IF(K$3="","",IF(COUNTIFS(Base!$A$3:$A$5001,K$3,Base!$B$3:$B$5001,$A$131,Base!$M$3:$M$5001,"&lt;&gt;")=0,"",SUMIFS(Base!$M$3:$M$5001,Base!$A$3:$A$5001,K$3,Base!$B$3:$B$5001,$A$131)))</f>
        <v/>
      </c>
      <c r="L134" s="475" t="str">
        <f>IF(L$3="","",IF(COUNTIFS(Base!$A$3:$A$5001,L$3,Base!$B$3:$B$5001,$A$131,Base!$M$3:$M$5001,"&lt;&gt;")=0,"",SUMIFS(Base!$M$3:$M$5001,Base!$A$3:$A$5001,L$3,Base!$B$3:$B$5001,$A$131)))</f>
        <v/>
      </c>
      <c r="M134" s="475" t="str">
        <f>IF(M$3="","",IF(COUNTIFS(Base!$A$3:$A$5001,M$3,Base!$B$3:$B$5001,$A$131,Base!$M$3:$M$5001,"&lt;&gt;")=0,"",SUMIFS(Base!$M$3:$M$5001,Base!$A$3:$A$5001,M$3,Base!$B$3:$B$5001,$A$131)))</f>
        <v/>
      </c>
      <c r="N134" s="475" t="str">
        <f>IF(N$3="","",IF(COUNTIFS(Base!$A$3:$A$5001,N$3,Base!$B$3:$B$5001,$A$131,Base!$M$3:$M$5001,"&lt;&gt;")=0,"",SUMIFS(Base!$M$3:$M$5001,Base!$A$3:$A$5001,N$3,Base!$B$3:$B$5001,$A$131)))</f>
        <v/>
      </c>
      <c r="O134" s="475" t="str">
        <f>IF(O$3="","",IF(COUNTIFS(Base!$A$3:$A$5001,O$3,Base!$B$3:$B$5001,$A$131,Base!$M$3:$M$5001,"&lt;&gt;")=0,"",SUMIFS(Base!$M$3:$M$5001,Base!$A$3:$A$5001,O$3,Base!$B$3:$B$5001,$A$131)))</f>
        <v/>
      </c>
      <c r="P134" s="475" t="str">
        <f>IF(P$3="","",IF(COUNTIFS(Base!$A$3:$A$5001,P$3,Base!$B$3:$B$5001,$A$131,Base!$M$3:$M$5001,"&lt;&gt;")=0,"",SUMIFS(Base!$M$3:$M$5001,Base!$A$3:$A$5001,P$3,Base!$B$3:$B$5001,$A$131)))</f>
        <v/>
      </c>
      <c r="Q134" s="475" t="str">
        <f>IF(Q$3="","",IF(COUNTIFS(Base!$A$3:$A$5001,Q$3,Base!$B$3:$B$5001,$A$131,Base!$M$3:$M$5001,"&lt;&gt;")=0,"",SUMIFS(Base!$M$3:$M$5001,Base!$A$3:$A$5001,Q$3,Base!$B$3:$B$5001,$A$131)))</f>
        <v/>
      </c>
      <c r="R134" s="475" t="str">
        <f>IF(R$3="","",IF(COUNTIFS(Base!$A$3:$A$5001,R$3,Base!$B$3:$B$5001,$A$131,Base!$M$3:$M$5001,"&lt;&gt;")=0,"",SUMIFS(Base!$M$3:$M$5001,Base!$A$3:$A$5001,R$3,Base!$B$3:$B$5001,$A$131)))</f>
        <v/>
      </c>
      <c r="S134" s="475" t="str">
        <f>IF(S$3="","",IF(COUNTIFS(Base!$A$3:$A$5001,S$3,Base!$B$3:$B$5001,$A$131,Base!$M$3:$M$5001,"&lt;&gt;")=0,"",SUMIFS(Base!$M$3:$M$5001,Base!$A$3:$A$5001,S$3,Base!$B$3:$B$5001,$A$131)))</f>
        <v/>
      </c>
      <c r="T134" s="475" t="str">
        <f>IF(T$3="","",IF(COUNTIFS(Base!$A$3:$A$5001,T$3,Base!$B$3:$B$5001,$A$131,Base!$M$3:$M$5001,"&lt;&gt;")=0,"",SUMIFS(Base!$M$3:$M$5001,Base!$A$3:$A$5001,T$3,Base!$B$3:$B$5001,$A$131)))</f>
        <v/>
      </c>
      <c r="U134" s="475" t="str">
        <f>IF(U$3="","",IF(COUNTIFS(Base!$A$3:$A$5001,U$3,Base!$B$3:$B$5001,$A$131,Base!$M$3:$M$5001,"&lt;&gt;")=0,"",SUMIFS(Base!$M$3:$M$5001,Base!$A$3:$A$5001,U$3,Base!$B$3:$B$5001,$A$131)))</f>
        <v/>
      </c>
      <c r="V134" s="475" t="str">
        <f>IF(V$3="","",IF(COUNTIFS(Base!$A$3:$A$5001,V$3,Base!$B$3:$B$5001,$A$131,Base!$M$3:$M$5001,"&lt;&gt;")=0,"",SUMIFS(Base!$M$3:$M$5001,Base!$A$3:$A$5001,V$3,Base!$B$3:$B$5001,$A$131)))</f>
        <v/>
      </c>
      <c r="W134" s="475" t="str">
        <f>IF(W$3="","",IF(COUNTIFS(Base!$A$3:$A$5001,W$3,Base!$B$3:$B$5001,$A$131,Base!$M$3:$M$5001,"&lt;&gt;")=0,"",SUMIFS(Base!$M$3:$M$5001,Base!$A$3:$A$5001,W$3,Base!$B$3:$B$5001,$A$131)))</f>
        <v/>
      </c>
      <c r="X134" s="475" t="str">
        <f>IF(X$3="","",IF(COUNTIFS(Base!$A$3:$A$5001,X$3,Base!$B$3:$B$5001,$A$131,Base!$M$3:$M$5001,"&lt;&gt;")=0,"",SUMIFS(Base!$M$3:$M$5001,Base!$A$3:$A$5001,X$3,Base!$B$3:$B$5001,$A$131)))</f>
        <v/>
      </c>
      <c r="Y134" s="475" t="str">
        <f>IF(Y$3="","",IF(COUNTIFS(Base!$A$3:$A$5001,Y$3,Base!$B$3:$B$5001,$A$131,Base!$M$3:$M$5001,"&lt;&gt;")=0,"",SUMIFS(Base!$M$3:$M$5001,Base!$A$3:$A$5001,Y$3,Base!$B$3:$B$5001,$A$131)))</f>
        <v/>
      </c>
      <c r="Z134" s="475" t="str">
        <f>IF(Z$3="","",IF(COUNTIFS(Base!$A$3:$A$5001,Z$3,Base!$B$3:$B$5001,$A$131,Base!$M$3:$M$5001,"&lt;&gt;")=0,"",SUMIFS(Base!$M$3:$M$5001,Base!$A$3:$A$5001,Z$3,Base!$B$3:$B$5001,$A$131)))</f>
        <v/>
      </c>
      <c r="AA134" s="475" t="str">
        <f>IF(AA$3="","",IF(COUNTIFS(Base!$A$3:$A$5001,AA$3,Base!$B$3:$B$5001,$A$131,Base!$M$3:$M$5001,"&lt;&gt;")=0,"",SUMIFS(Base!$M$3:$M$5001,Base!$A$3:$A$5001,AA$3,Base!$B$3:$B$5001,$A$131)))</f>
        <v/>
      </c>
      <c r="AB134" s="475" t="str">
        <f>IF(AB$3="","",IF(COUNTIFS(Base!$A$3:$A$5001,AB$3,Base!$B$3:$B$5001,$A$131,Base!$M$3:$M$5001,"&lt;&gt;")=0,"",SUMIFS(Base!$M$3:$M$5001,Base!$A$3:$A$5001,AB$3,Base!$B$3:$B$5001,$A$131)))</f>
        <v/>
      </c>
      <c r="AC134" s="475" t="str">
        <f>IF(AC$3="","",IF(COUNTIFS(Base!$A$3:$A$5001,AC$3,Base!$B$3:$B$5001,$A$131,Base!$M$3:$M$5001,"&lt;&gt;")=0,"",SUMIFS(Base!$M$3:$M$5001,Base!$A$3:$A$5001,AC$3,Base!$B$3:$B$5001,$A$131)))</f>
        <v/>
      </c>
      <c r="AD134" s="475" t="str">
        <f>IF(AD$3="","",IF(COUNTIFS(Base!$A$3:$A$5001,AD$3,Base!$B$3:$B$5001,$A$131,Base!$M$3:$M$5001,"&lt;&gt;")=0,"",SUMIFS(Base!$M$3:$M$5001,Base!$A$3:$A$5001,AD$3,Base!$B$3:$B$5001,$A$131)))</f>
        <v/>
      </c>
      <c r="AE134" s="475" t="str">
        <f>IF(AE$3="","",IF(COUNTIFS(Base!$A$3:$A$5001,AE$3,Base!$B$3:$B$5001,$A$131,Base!$M$3:$M$5001,"&lt;&gt;")=0,"",SUMIFS(Base!$M$3:$M$5001,Base!$A$3:$A$5001,AE$3,Base!$B$3:$B$5001,$A$131)))</f>
        <v/>
      </c>
      <c r="AF134" s="475" t="str">
        <f>IF(AF$3="","",IF(COUNTIFS(Base!$A$3:$A$5001,AF$3,Base!$B$3:$B$5001,$A$131,Base!$M$3:$M$5001,"&lt;&gt;")=0,"",SUMIFS(Base!$M$3:$M$5001,Base!$A$3:$A$5001,AF$3,Base!$B$3:$B$5001,$A$131)))</f>
        <v/>
      </c>
      <c r="AG134" s="475" t="str">
        <f>IF(AG$3="","",IF(COUNTIFS(Base!$A$3:$A$5001,AG$3,Base!$B$3:$B$5001,$A$131,Base!$M$3:$M$5001,"&lt;&gt;")=0,"",SUMIFS(Base!$M$3:$M$5001,Base!$A$3:$A$5001,AG$3,Base!$B$3:$B$5001,$A$131)))</f>
        <v/>
      </c>
      <c r="AH134" s="475" t="str">
        <f>IF(AH$3="","",IF(COUNTIFS(Base!$A$3:$A$5001,AH$3,Base!$B$3:$B$5001,$A$131,Base!$M$3:$M$5001,"&lt;&gt;")=0,"",SUMIFS(Base!$M$3:$M$5001,Base!$A$3:$A$5001,AH$3,Base!$B$3:$B$5001,$A$131)))</f>
        <v/>
      </c>
      <c r="AI134" s="475" t="str">
        <f>IF(AI$3="","",IF(COUNTIFS(Base!$A$3:$A$5001,AI$3,Base!$B$3:$B$5001,$A$131,Base!$M$3:$M$5001,"&lt;&gt;")=0,"",SUMIFS(Base!$M$3:$M$5001,Base!$A$3:$A$5001,AI$3,Base!$B$3:$B$5001,$A$131)))</f>
        <v/>
      </c>
      <c r="AJ134" s="476" t="str">
        <f>IF(AJ$3="","",IF(COUNTIFS(Base!$A$3:$A$5001,AJ$3,Base!$B$3:$B$5001,$A$131,Base!$M$3:$M$5001,"&lt;&gt;")=0,"",SUMIFS(Base!$M$3:$M$5001,Base!$A$3:$A$5001,AJ$3,Base!$B$3:$B$5001,$A$131)))</f>
        <v/>
      </c>
      <c r="AK134" s="473" t="str">
        <f>IF(COUNT(F134:AJ134)=0,"",SUM(F134:AJ134))</f>
        <v/>
      </c>
    </row>
    <row r="135" ht="15.75" customHeight="1">
      <c r="A135" s="118"/>
      <c r="B135" s="111" t="inlineStr">
        <is>
          <t xml:space="preserve">NC</t>
        </is>
      </c>
      <c r="C135" s="61" t="inlineStr">
        <is>
          <t xml:space="preserve">Incidentes</t>
        </is>
      </c>
      <c r="D135" s="62" t="str">
        <f>IFERROR(1/(1/INDEX(calculos!$C$55:$K$83,MATCH("NC Incidentes",calculos!$A$55:$A$83,0),MATCH($A$131,calculos!$C$54:$K$54,0))),"")</f>
        <v/>
      </c>
      <c r="E135" s="63"/>
      <c r="F135" s="64" t="str">
        <f>IF(F$3="","",IF(COUNTIFS(Base!$A$3:$A$5001,F$3,Base!$B$3:$B$5001,$A$131,Base!$U$3:$U$5001,"&lt;&gt;")=0,"",SUMIFS(Base!$U$3:$U$5001,Base!$A$3:$A$5001,F$3,Base!$B$3:$B$5001,$A$131)))</f>
        <v/>
      </c>
      <c r="G135" s="65" t="str">
        <f>IF(G$3="","",IF(COUNTIFS(Base!$A$3:$A$5001,G$3,Base!$B$3:$B$5001,$A$131,Base!$U$3:$U$5001,"&lt;&gt;")=0,"",SUMIFS(Base!$U$3:$U$5001,Base!$A$3:$A$5001,G$3,Base!$B$3:$B$5001,$A$131)))</f>
        <v/>
      </c>
      <c r="H135" s="65" t="str">
        <f>IF(H$3="","",IF(COUNTIFS(Base!$A$3:$A$5001,H$3,Base!$B$3:$B$5001,$A$131,Base!$U$3:$U$5001,"&lt;&gt;")=0,"",SUMIFS(Base!$U$3:$U$5001,Base!$A$3:$A$5001,H$3,Base!$B$3:$B$5001,$A$131)))</f>
        <v/>
      </c>
      <c r="I135" s="65" t="str">
        <f>IF(I$3="","",IF(COUNTIFS(Base!$A$3:$A$5001,I$3,Base!$B$3:$B$5001,$A$131,Base!$U$3:$U$5001,"&lt;&gt;")=0,"",SUMIFS(Base!$U$3:$U$5001,Base!$A$3:$A$5001,I$3,Base!$B$3:$B$5001,$A$131)))</f>
        <v/>
      </c>
      <c r="J135" s="65" t="str">
        <f>IF(J$3="","",IF(COUNTIFS(Base!$A$3:$A$5001,J$3,Base!$B$3:$B$5001,$A$131,Base!$U$3:$U$5001,"&lt;&gt;")=0,"",SUMIFS(Base!$U$3:$U$5001,Base!$A$3:$A$5001,J$3,Base!$B$3:$B$5001,$A$131)))</f>
        <v/>
      </c>
      <c r="K135" s="65" t="str">
        <f>IF(K$3="","",IF(COUNTIFS(Base!$A$3:$A$5001,K$3,Base!$B$3:$B$5001,$A$131,Base!$U$3:$U$5001,"&lt;&gt;")=0,"",SUMIFS(Base!$U$3:$U$5001,Base!$A$3:$A$5001,K$3,Base!$B$3:$B$5001,$A$131)))</f>
        <v/>
      </c>
      <c r="L135" s="65" t="str">
        <f>IF(L$3="","",IF(COUNTIFS(Base!$A$3:$A$5001,L$3,Base!$B$3:$B$5001,$A$131,Base!$U$3:$U$5001,"&lt;&gt;")=0,"",SUMIFS(Base!$U$3:$U$5001,Base!$A$3:$A$5001,L$3,Base!$B$3:$B$5001,$A$131)))</f>
        <v/>
      </c>
      <c r="M135" s="65" t="str">
        <f>IF(M$3="","",IF(COUNTIFS(Base!$A$3:$A$5001,M$3,Base!$B$3:$B$5001,$A$131,Base!$U$3:$U$5001,"&lt;&gt;")=0,"",SUMIFS(Base!$U$3:$U$5001,Base!$A$3:$A$5001,M$3,Base!$B$3:$B$5001,$A$131)))</f>
        <v/>
      </c>
      <c r="N135" s="65" t="str">
        <f>IF(N$3="","",IF(COUNTIFS(Base!$A$3:$A$5001,N$3,Base!$B$3:$B$5001,$A$131,Base!$U$3:$U$5001,"&lt;&gt;")=0,"",SUMIFS(Base!$U$3:$U$5001,Base!$A$3:$A$5001,N$3,Base!$B$3:$B$5001,$A$131)))</f>
        <v/>
      </c>
      <c r="O135" s="65" t="str">
        <f>IF(O$3="","",IF(COUNTIFS(Base!$A$3:$A$5001,O$3,Base!$B$3:$B$5001,$A$131,Base!$U$3:$U$5001,"&lt;&gt;")=0,"",SUMIFS(Base!$U$3:$U$5001,Base!$A$3:$A$5001,O$3,Base!$B$3:$B$5001,$A$131)))</f>
        <v/>
      </c>
      <c r="P135" s="65" t="str">
        <f>IF(P$3="","",IF(COUNTIFS(Base!$A$3:$A$5001,P$3,Base!$B$3:$B$5001,$A$131,Base!$U$3:$U$5001,"&lt;&gt;")=0,"",SUMIFS(Base!$U$3:$U$5001,Base!$A$3:$A$5001,P$3,Base!$B$3:$B$5001,$A$131)))</f>
        <v/>
      </c>
      <c r="Q135" s="65" t="str">
        <f>IF(Q$3="","",IF(COUNTIFS(Base!$A$3:$A$5001,Q$3,Base!$B$3:$B$5001,$A$131,Base!$U$3:$U$5001,"&lt;&gt;")=0,"",SUMIFS(Base!$U$3:$U$5001,Base!$A$3:$A$5001,Q$3,Base!$B$3:$B$5001,$A$131)))</f>
        <v/>
      </c>
      <c r="R135" s="65" t="str">
        <f>IF(R$3="","",IF(COUNTIFS(Base!$A$3:$A$5001,R$3,Base!$B$3:$B$5001,$A$131,Base!$U$3:$U$5001,"&lt;&gt;")=0,"",SUMIFS(Base!$U$3:$U$5001,Base!$A$3:$A$5001,R$3,Base!$B$3:$B$5001,$A$131)))</f>
        <v/>
      </c>
      <c r="S135" s="65" t="str">
        <f>IF(S$3="","",IF(COUNTIFS(Base!$A$3:$A$5001,S$3,Base!$B$3:$B$5001,$A$131,Base!$U$3:$U$5001,"&lt;&gt;")=0,"",SUMIFS(Base!$U$3:$U$5001,Base!$A$3:$A$5001,S$3,Base!$B$3:$B$5001,$A$131)))</f>
        <v/>
      </c>
      <c r="T135" s="65" t="str">
        <f>IF(T$3="","",IF(COUNTIFS(Base!$A$3:$A$5001,T$3,Base!$B$3:$B$5001,$A$131,Base!$U$3:$U$5001,"&lt;&gt;")=0,"",SUMIFS(Base!$U$3:$U$5001,Base!$A$3:$A$5001,T$3,Base!$B$3:$B$5001,$A$131)))</f>
        <v/>
      </c>
      <c r="U135" s="65" t="str">
        <f>IF(U$3="","",IF(COUNTIFS(Base!$A$3:$A$5001,U$3,Base!$B$3:$B$5001,$A$131,Base!$U$3:$U$5001,"&lt;&gt;")=0,"",SUMIFS(Base!$U$3:$U$5001,Base!$A$3:$A$5001,U$3,Base!$B$3:$B$5001,$A$131)))</f>
        <v/>
      </c>
      <c r="V135" s="65" t="str">
        <f>IF(V$3="","",IF(COUNTIFS(Base!$A$3:$A$5001,V$3,Base!$B$3:$B$5001,$A$131,Base!$U$3:$U$5001,"&lt;&gt;")=0,"",SUMIFS(Base!$U$3:$U$5001,Base!$A$3:$A$5001,V$3,Base!$B$3:$B$5001,$A$131)))</f>
        <v/>
      </c>
      <c r="W135" s="65" t="str">
        <f>IF(W$3="","",IF(COUNTIFS(Base!$A$3:$A$5001,W$3,Base!$B$3:$B$5001,$A$131,Base!$U$3:$U$5001,"&lt;&gt;")=0,"",SUMIFS(Base!$U$3:$U$5001,Base!$A$3:$A$5001,W$3,Base!$B$3:$B$5001,$A$131)))</f>
        <v/>
      </c>
      <c r="X135" s="65" t="str">
        <f>IF(X$3="","",IF(COUNTIFS(Base!$A$3:$A$5001,X$3,Base!$B$3:$B$5001,$A$131,Base!$U$3:$U$5001,"&lt;&gt;")=0,"",SUMIFS(Base!$U$3:$U$5001,Base!$A$3:$A$5001,X$3,Base!$B$3:$B$5001,$A$131)))</f>
        <v/>
      </c>
      <c r="Y135" s="65" t="str">
        <f>IF(Y$3="","",IF(COUNTIFS(Base!$A$3:$A$5001,Y$3,Base!$B$3:$B$5001,$A$131,Base!$U$3:$U$5001,"&lt;&gt;")=0,"",SUMIFS(Base!$U$3:$U$5001,Base!$A$3:$A$5001,Y$3,Base!$B$3:$B$5001,$A$131)))</f>
        <v/>
      </c>
      <c r="Z135" s="65" t="str">
        <f>IF(Z$3="","",IF(COUNTIFS(Base!$A$3:$A$5001,Z$3,Base!$B$3:$B$5001,$A$131,Base!$U$3:$U$5001,"&lt;&gt;")=0,"",SUMIFS(Base!$U$3:$U$5001,Base!$A$3:$A$5001,Z$3,Base!$B$3:$B$5001,$A$131)))</f>
        <v/>
      </c>
      <c r="AA135" s="65" t="str">
        <f>IF(AA$3="","",IF(COUNTIFS(Base!$A$3:$A$5001,AA$3,Base!$B$3:$B$5001,$A$131,Base!$U$3:$U$5001,"&lt;&gt;")=0,"",SUMIFS(Base!$U$3:$U$5001,Base!$A$3:$A$5001,AA$3,Base!$B$3:$B$5001,$A$131)))</f>
        <v/>
      </c>
      <c r="AB135" s="65" t="str">
        <f>IF(AB$3="","",IF(COUNTIFS(Base!$A$3:$A$5001,AB$3,Base!$B$3:$B$5001,$A$131,Base!$U$3:$U$5001,"&lt;&gt;")=0,"",SUMIFS(Base!$U$3:$U$5001,Base!$A$3:$A$5001,AB$3,Base!$B$3:$B$5001,$A$131)))</f>
        <v/>
      </c>
      <c r="AC135" s="65" t="str">
        <f>IF(AC$3="","",IF(COUNTIFS(Base!$A$3:$A$5001,AC$3,Base!$B$3:$B$5001,$A$131,Base!$U$3:$U$5001,"&lt;&gt;")=0,"",SUMIFS(Base!$U$3:$U$5001,Base!$A$3:$A$5001,AC$3,Base!$B$3:$B$5001,$A$131)))</f>
        <v/>
      </c>
      <c r="AD135" s="65" t="str">
        <f>IF(AD$3="","",IF(COUNTIFS(Base!$A$3:$A$5001,AD$3,Base!$B$3:$B$5001,$A$131,Base!$U$3:$U$5001,"&lt;&gt;")=0,"",SUMIFS(Base!$U$3:$U$5001,Base!$A$3:$A$5001,AD$3,Base!$B$3:$B$5001,$A$131)))</f>
        <v/>
      </c>
      <c r="AE135" s="65" t="str">
        <f>IF(AE$3="","",IF(COUNTIFS(Base!$A$3:$A$5001,AE$3,Base!$B$3:$B$5001,$A$131,Base!$U$3:$U$5001,"&lt;&gt;")=0,"",SUMIFS(Base!$U$3:$U$5001,Base!$A$3:$A$5001,AE$3,Base!$B$3:$B$5001,$A$131)))</f>
        <v/>
      </c>
      <c r="AF135" s="65" t="str">
        <f>IF(AF$3="","",IF(COUNTIFS(Base!$A$3:$A$5001,AF$3,Base!$B$3:$B$5001,$A$131,Base!$U$3:$U$5001,"&lt;&gt;")=0,"",SUMIFS(Base!$U$3:$U$5001,Base!$A$3:$A$5001,AF$3,Base!$B$3:$B$5001,$A$131)))</f>
        <v/>
      </c>
      <c r="AG135" s="65" t="str">
        <f>IF(AG$3="","",IF(COUNTIFS(Base!$A$3:$A$5001,AG$3,Base!$B$3:$B$5001,$A$131,Base!$U$3:$U$5001,"&lt;&gt;")=0,"",SUMIFS(Base!$U$3:$U$5001,Base!$A$3:$A$5001,AG$3,Base!$B$3:$B$5001,$A$131)))</f>
        <v/>
      </c>
      <c r="AH135" s="65" t="str">
        <f>IF(AH$3="","",IF(COUNTIFS(Base!$A$3:$A$5001,AH$3,Base!$B$3:$B$5001,$A$131,Base!$U$3:$U$5001,"&lt;&gt;")=0,"",SUMIFS(Base!$U$3:$U$5001,Base!$A$3:$A$5001,AH$3,Base!$B$3:$B$5001,$A$131)))</f>
        <v/>
      </c>
      <c r="AI135" s="65" t="str">
        <f>IF(AI$3="","",IF(COUNTIFS(Base!$A$3:$A$5001,AI$3,Base!$B$3:$B$5001,$A$131,Base!$U$3:$U$5001,"&lt;&gt;")=0,"",SUMIFS(Base!$U$3:$U$5001,Base!$A$3:$A$5001,AI$3,Base!$B$3:$B$5001,$A$131)))</f>
        <v/>
      </c>
      <c r="AJ135" s="66" t="str">
        <f>IF(AJ$3="","",IF(COUNTIFS(Base!$A$3:$A$5001,AJ$3,Base!$B$3:$B$5001,$A$131,Base!$U$3:$U$5001,"&lt;&gt;")=0,"",SUMIFS(Base!$U$3:$U$5001,Base!$A$3:$A$5001,AJ$3,Base!$B$3:$B$5001,$A$131)))</f>
        <v/>
      </c>
      <c r="AK135" s="67" t="str">
        <f>IF(COUNT(F135:AJ135)=0,"",SUM(F135:AJ135))</f>
        <v/>
      </c>
    </row>
    <row r="136" ht="15.75" customHeight="1">
      <c r="A136" s="118"/>
      <c r="B136" s="112"/>
      <c r="C136" s="68" t="inlineStr">
        <is>
          <t xml:space="preserve">No show</t>
        </is>
      </c>
      <c r="D136" s="69" t="str">
        <f>IFERROR(1/(1/INDEX(calculos!$C$55:$K$83,MATCH("NC No show",calculos!$A$55:$A$83,0),MATCH($A$131,calculos!$C$54:$K$54,0))),"")</f>
        <v/>
      </c>
      <c r="E136" s="70"/>
      <c r="F136" s="71" t="str">
        <f>IF(F$3="","",IF(COUNTIFS(Base!$A$3:$A$5001,F$3,Base!$B$3:$B$5001,$A$131,Base!$V$3:$V$5001,"&lt;&gt;")=0,"",SUMIFS(Base!$V$3:$V$5001,Base!$A$3:$A$5001,F$3,Base!$B$3:$B$5001,$A$131)))</f>
        <v/>
      </c>
      <c r="G136" s="72" t="str">
        <f>IF(G$3="","",IF(COUNTIFS(Base!$A$3:$A$5001,G$3,Base!$B$3:$B$5001,$A$131,Base!$V$3:$V$5001,"&lt;&gt;")=0,"",SUMIFS(Base!$V$3:$V$5001,Base!$A$3:$A$5001,G$3,Base!$B$3:$B$5001,$A$131)))</f>
        <v/>
      </c>
      <c r="H136" s="72" t="str">
        <f>IF(H$3="","",IF(COUNTIFS(Base!$A$3:$A$5001,H$3,Base!$B$3:$B$5001,$A$131,Base!$V$3:$V$5001,"&lt;&gt;")=0,"",SUMIFS(Base!$V$3:$V$5001,Base!$A$3:$A$5001,H$3,Base!$B$3:$B$5001,$A$131)))</f>
        <v/>
      </c>
      <c r="I136" s="72" t="str">
        <f>IF(I$3="","",IF(COUNTIFS(Base!$A$3:$A$5001,I$3,Base!$B$3:$B$5001,$A$131,Base!$V$3:$V$5001,"&lt;&gt;")=0,"",SUMIFS(Base!$V$3:$V$5001,Base!$A$3:$A$5001,I$3,Base!$B$3:$B$5001,$A$131)))</f>
        <v/>
      </c>
      <c r="J136" s="72" t="str">
        <f>IF(J$3="","",IF(COUNTIFS(Base!$A$3:$A$5001,J$3,Base!$B$3:$B$5001,$A$131,Base!$V$3:$V$5001,"&lt;&gt;")=0,"",SUMIFS(Base!$V$3:$V$5001,Base!$A$3:$A$5001,J$3,Base!$B$3:$B$5001,$A$131)))</f>
        <v/>
      </c>
      <c r="K136" s="72" t="str">
        <f>IF(K$3="","",IF(COUNTIFS(Base!$A$3:$A$5001,K$3,Base!$B$3:$B$5001,$A$131,Base!$V$3:$V$5001,"&lt;&gt;")=0,"",SUMIFS(Base!$V$3:$V$5001,Base!$A$3:$A$5001,K$3,Base!$B$3:$B$5001,$A$131)))</f>
        <v/>
      </c>
      <c r="L136" s="72" t="str">
        <f>IF(L$3="","",IF(COUNTIFS(Base!$A$3:$A$5001,L$3,Base!$B$3:$B$5001,$A$131,Base!$V$3:$V$5001,"&lt;&gt;")=0,"",SUMIFS(Base!$V$3:$V$5001,Base!$A$3:$A$5001,L$3,Base!$B$3:$B$5001,$A$131)))</f>
        <v/>
      </c>
      <c r="M136" s="72" t="str">
        <f>IF(M$3="","",IF(COUNTIFS(Base!$A$3:$A$5001,M$3,Base!$B$3:$B$5001,$A$131,Base!$V$3:$V$5001,"&lt;&gt;")=0,"",SUMIFS(Base!$V$3:$V$5001,Base!$A$3:$A$5001,M$3,Base!$B$3:$B$5001,$A$131)))</f>
        <v/>
      </c>
      <c r="N136" s="72" t="str">
        <f>IF(N$3="","",IF(COUNTIFS(Base!$A$3:$A$5001,N$3,Base!$B$3:$B$5001,$A$131,Base!$V$3:$V$5001,"&lt;&gt;")=0,"",SUMIFS(Base!$V$3:$V$5001,Base!$A$3:$A$5001,N$3,Base!$B$3:$B$5001,$A$131)))</f>
        <v/>
      </c>
      <c r="O136" s="72" t="str">
        <f>IF(O$3="","",IF(COUNTIFS(Base!$A$3:$A$5001,O$3,Base!$B$3:$B$5001,$A$131,Base!$V$3:$V$5001,"&lt;&gt;")=0,"",SUMIFS(Base!$V$3:$V$5001,Base!$A$3:$A$5001,O$3,Base!$B$3:$B$5001,$A$131)))</f>
        <v/>
      </c>
      <c r="P136" s="72" t="str">
        <f>IF(P$3="","",IF(COUNTIFS(Base!$A$3:$A$5001,P$3,Base!$B$3:$B$5001,$A$131,Base!$V$3:$V$5001,"&lt;&gt;")=0,"",SUMIFS(Base!$V$3:$V$5001,Base!$A$3:$A$5001,P$3,Base!$B$3:$B$5001,$A$131)))</f>
        <v/>
      </c>
      <c r="Q136" s="72" t="str">
        <f>IF(Q$3="","",IF(COUNTIFS(Base!$A$3:$A$5001,Q$3,Base!$B$3:$B$5001,$A$131,Base!$V$3:$V$5001,"&lt;&gt;")=0,"",SUMIFS(Base!$V$3:$V$5001,Base!$A$3:$A$5001,Q$3,Base!$B$3:$B$5001,$A$131)))</f>
        <v/>
      </c>
      <c r="R136" s="72" t="str">
        <f>IF(R$3="","",IF(COUNTIFS(Base!$A$3:$A$5001,R$3,Base!$B$3:$B$5001,$A$131,Base!$V$3:$V$5001,"&lt;&gt;")=0,"",SUMIFS(Base!$V$3:$V$5001,Base!$A$3:$A$5001,R$3,Base!$B$3:$B$5001,$A$131)))</f>
        <v/>
      </c>
      <c r="S136" s="72" t="str">
        <f>IF(S$3="","",IF(COUNTIFS(Base!$A$3:$A$5001,S$3,Base!$B$3:$B$5001,$A$131,Base!$V$3:$V$5001,"&lt;&gt;")=0,"",SUMIFS(Base!$V$3:$V$5001,Base!$A$3:$A$5001,S$3,Base!$B$3:$B$5001,$A$131)))</f>
        <v/>
      </c>
      <c r="T136" s="72" t="str">
        <f>IF(T$3="","",IF(COUNTIFS(Base!$A$3:$A$5001,T$3,Base!$B$3:$B$5001,$A$131,Base!$V$3:$V$5001,"&lt;&gt;")=0,"",SUMIFS(Base!$V$3:$V$5001,Base!$A$3:$A$5001,T$3,Base!$B$3:$B$5001,$A$131)))</f>
        <v/>
      </c>
      <c r="U136" s="72" t="str">
        <f>IF(U$3="","",IF(COUNTIFS(Base!$A$3:$A$5001,U$3,Base!$B$3:$B$5001,$A$131,Base!$V$3:$V$5001,"&lt;&gt;")=0,"",SUMIFS(Base!$V$3:$V$5001,Base!$A$3:$A$5001,U$3,Base!$B$3:$B$5001,$A$131)))</f>
        <v/>
      </c>
      <c r="V136" s="72" t="str">
        <f>IF(V$3="","",IF(COUNTIFS(Base!$A$3:$A$5001,V$3,Base!$B$3:$B$5001,$A$131,Base!$V$3:$V$5001,"&lt;&gt;")=0,"",SUMIFS(Base!$V$3:$V$5001,Base!$A$3:$A$5001,V$3,Base!$B$3:$B$5001,$A$131)))</f>
        <v/>
      </c>
      <c r="W136" s="72" t="str">
        <f>IF(W$3="","",IF(COUNTIFS(Base!$A$3:$A$5001,W$3,Base!$B$3:$B$5001,$A$131,Base!$V$3:$V$5001,"&lt;&gt;")=0,"",SUMIFS(Base!$V$3:$V$5001,Base!$A$3:$A$5001,W$3,Base!$B$3:$B$5001,$A$131)))</f>
        <v/>
      </c>
      <c r="X136" s="72" t="str">
        <f>IF(X$3="","",IF(COUNTIFS(Base!$A$3:$A$5001,X$3,Base!$B$3:$B$5001,$A$131,Base!$V$3:$V$5001,"&lt;&gt;")=0,"",SUMIFS(Base!$V$3:$V$5001,Base!$A$3:$A$5001,X$3,Base!$B$3:$B$5001,$A$131)))</f>
        <v/>
      </c>
      <c r="Y136" s="72" t="str">
        <f>IF(Y$3="","",IF(COUNTIFS(Base!$A$3:$A$5001,Y$3,Base!$B$3:$B$5001,$A$131,Base!$V$3:$V$5001,"&lt;&gt;")=0,"",SUMIFS(Base!$V$3:$V$5001,Base!$A$3:$A$5001,Y$3,Base!$B$3:$B$5001,$A$131)))</f>
        <v/>
      </c>
      <c r="Z136" s="72" t="str">
        <f>IF(Z$3="","",IF(COUNTIFS(Base!$A$3:$A$5001,Z$3,Base!$B$3:$B$5001,$A$131,Base!$V$3:$V$5001,"&lt;&gt;")=0,"",SUMIFS(Base!$V$3:$V$5001,Base!$A$3:$A$5001,Z$3,Base!$B$3:$B$5001,$A$131)))</f>
        <v/>
      </c>
      <c r="AA136" s="72" t="str">
        <f>IF(AA$3="","",IF(COUNTIFS(Base!$A$3:$A$5001,AA$3,Base!$B$3:$B$5001,$A$131,Base!$V$3:$V$5001,"&lt;&gt;")=0,"",SUMIFS(Base!$V$3:$V$5001,Base!$A$3:$A$5001,AA$3,Base!$B$3:$B$5001,$A$131)))</f>
        <v/>
      </c>
      <c r="AB136" s="72" t="str">
        <f>IF(AB$3="","",IF(COUNTIFS(Base!$A$3:$A$5001,AB$3,Base!$B$3:$B$5001,$A$131,Base!$V$3:$V$5001,"&lt;&gt;")=0,"",SUMIFS(Base!$V$3:$V$5001,Base!$A$3:$A$5001,AB$3,Base!$B$3:$B$5001,$A$131)))</f>
        <v/>
      </c>
      <c r="AC136" s="72" t="str">
        <f>IF(AC$3="","",IF(COUNTIFS(Base!$A$3:$A$5001,AC$3,Base!$B$3:$B$5001,$A$131,Base!$V$3:$V$5001,"&lt;&gt;")=0,"",SUMIFS(Base!$V$3:$V$5001,Base!$A$3:$A$5001,AC$3,Base!$B$3:$B$5001,$A$131)))</f>
        <v/>
      </c>
      <c r="AD136" s="72" t="str">
        <f>IF(AD$3="","",IF(COUNTIFS(Base!$A$3:$A$5001,AD$3,Base!$B$3:$B$5001,$A$131,Base!$V$3:$V$5001,"&lt;&gt;")=0,"",SUMIFS(Base!$V$3:$V$5001,Base!$A$3:$A$5001,AD$3,Base!$B$3:$B$5001,$A$131)))</f>
        <v/>
      </c>
      <c r="AE136" s="72" t="str">
        <f>IF(AE$3="","",IF(COUNTIFS(Base!$A$3:$A$5001,AE$3,Base!$B$3:$B$5001,$A$131,Base!$V$3:$V$5001,"&lt;&gt;")=0,"",SUMIFS(Base!$V$3:$V$5001,Base!$A$3:$A$5001,AE$3,Base!$B$3:$B$5001,$A$131)))</f>
        <v/>
      </c>
      <c r="AF136" s="72" t="str">
        <f>IF(AF$3="","",IF(COUNTIFS(Base!$A$3:$A$5001,AF$3,Base!$B$3:$B$5001,$A$131,Base!$V$3:$V$5001,"&lt;&gt;")=0,"",SUMIFS(Base!$V$3:$V$5001,Base!$A$3:$A$5001,AF$3,Base!$B$3:$B$5001,$A$131)))</f>
        <v/>
      </c>
      <c r="AG136" s="72" t="str">
        <f>IF(AG$3="","",IF(COUNTIFS(Base!$A$3:$A$5001,AG$3,Base!$B$3:$B$5001,$A$131,Base!$V$3:$V$5001,"&lt;&gt;")=0,"",SUMIFS(Base!$V$3:$V$5001,Base!$A$3:$A$5001,AG$3,Base!$B$3:$B$5001,$A$131)))</f>
        <v/>
      </c>
      <c r="AH136" s="72" t="str">
        <f>IF(AH$3="","",IF(COUNTIFS(Base!$A$3:$A$5001,AH$3,Base!$B$3:$B$5001,$A$131,Base!$V$3:$V$5001,"&lt;&gt;")=0,"",SUMIFS(Base!$V$3:$V$5001,Base!$A$3:$A$5001,AH$3,Base!$B$3:$B$5001,$A$131)))</f>
        <v/>
      </c>
      <c r="AI136" s="72" t="str">
        <f>IF(AI$3="","",IF(COUNTIFS(Base!$A$3:$A$5001,AI$3,Base!$B$3:$B$5001,$A$131,Base!$V$3:$V$5001,"&lt;&gt;")=0,"",SUMIFS(Base!$V$3:$V$5001,Base!$A$3:$A$5001,AI$3,Base!$B$3:$B$5001,$A$131)))</f>
        <v/>
      </c>
      <c r="AJ136" s="73" t="str">
        <f>IF(AJ$3="","",IF(COUNTIFS(Base!$A$3:$A$5001,AJ$3,Base!$B$3:$B$5001,$A$131,Base!$V$3:$V$5001,"&lt;&gt;")=0,"",SUMIFS(Base!$V$3:$V$5001,Base!$A$3:$A$5001,AJ$3,Base!$B$3:$B$5001,$A$131)))</f>
        <v/>
      </c>
      <c r="AK136" s="74" t="str">
        <f>IF(COUNT(F136:AJ136)=0,"",SUM(F136:AJ136))</f>
        <v/>
      </c>
    </row>
    <row r="137" ht="15.75" customHeight="1">
      <c r="A137" s="118"/>
      <c r="B137" s="113"/>
      <c r="C137" s="75" t="inlineStr">
        <is>
          <t xml:space="preserve">Backlog</t>
        </is>
      </c>
      <c r="D137" s="76" t="str">
        <f>IFERROR(1/(1/INDEX(calculos!$C$55:$K$83,MATCH("NC Backlog",calculos!$A$55:$A$83,0),MATCH($A$131,calculos!$C$54:$K$54,0))),"")</f>
        <v/>
      </c>
      <c r="E137" s="77"/>
      <c r="F137" s="78" t="str">
        <f>IF(F$3="","",IF(COUNTIFS(Base!$A$3:$A$5001,F$3,Base!$B$3:$B$5001,$A$131,Base!$W$3:$W$5001,"&lt;&gt;")=0,"",SUMIFS(Base!$W$3:$W$5001,Base!$A$3:$A$5001,F$3,Base!$B$3:$B$5001,$A$131)))</f>
        <v/>
      </c>
      <c r="G137" s="79" t="str">
        <f>IF(G$3="","",IF(COUNTIFS(Base!$A$3:$A$5001,G$3,Base!$B$3:$B$5001,$A$131,Base!$W$3:$W$5001,"&lt;&gt;")=0,"",SUMIFS(Base!$W$3:$W$5001,Base!$A$3:$A$5001,G$3,Base!$B$3:$B$5001,$A$131)))</f>
        <v/>
      </c>
      <c r="H137" s="79" t="str">
        <f>IF(H$3="","",IF(COUNTIFS(Base!$A$3:$A$5001,H$3,Base!$B$3:$B$5001,$A$131,Base!$W$3:$W$5001,"&lt;&gt;")=0,"",SUMIFS(Base!$W$3:$W$5001,Base!$A$3:$A$5001,H$3,Base!$B$3:$B$5001,$A$131)))</f>
        <v/>
      </c>
      <c r="I137" s="79" t="str">
        <f>IF(I$3="","",IF(COUNTIFS(Base!$A$3:$A$5001,I$3,Base!$B$3:$B$5001,$A$131,Base!$W$3:$W$5001,"&lt;&gt;")=0,"",SUMIFS(Base!$W$3:$W$5001,Base!$A$3:$A$5001,I$3,Base!$B$3:$B$5001,$A$131)))</f>
        <v/>
      </c>
      <c r="J137" s="79" t="str">
        <f>IF(J$3="","",IF(COUNTIFS(Base!$A$3:$A$5001,J$3,Base!$B$3:$B$5001,$A$131,Base!$W$3:$W$5001,"&lt;&gt;")=0,"",SUMIFS(Base!$W$3:$W$5001,Base!$A$3:$A$5001,J$3,Base!$B$3:$B$5001,$A$131)))</f>
        <v/>
      </c>
      <c r="K137" s="79" t="str">
        <f>IF(K$3="","",IF(COUNTIFS(Base!$A$3:$A$5001,K$3,Base!$B$3:$B$5001,$A$131,Base!$W$3:$W$5001,"&lt;&gt;")=0,"",SUMIFS(Base!$W$3:$W$5001,Base!$A$3:$A$5001,K$3,Base!$B$3:$B$5001,$A$131)))</f>
        <v/>
      </c>
      <c r="L137" s="79" t="str">
        <f>IF(L$3="","",IF(COUNTIFS(Base!$A$3:$A$5001,L$3,Base!$B$3:$B$5001,$A$131,Base!$W$3:$W$5001,"&lt;&gt;")=0,"",SUMIFS(Base!$W$3:$W$5001,Base!$A$3:$A$5001,L$3,Base!$B$3:$B$5001,$A$131)))</f>
        <v/>
      </c>
      <c r="M137" s="79" t="str">
        <f>IF(M$3="","",IF(COUNTIFS(Base!$A$3:$A$5001,M$3,Base!$B$3:$B$5001,$A$131,Base!$W$3:$W$5001,"&lt;&gt;")=0,"",SUMIFS(Base!$W$3:$W$5001,Base!$A$3:$A$5001,M$3,Base!$B$3:$B$5001,$A$131)))</f>
        <v/>
      </c>
      <c r="N137" s="79" t="str">
        <f>IF(N$3="","",IF(COUNTIFS(Base!$A$3:$A$5001,N$3,Base!$B$3:$B$5001,$A$131,Base!$W$3:$W$5001,"&lt;&gt;")=0,"",SUMIFS(Base!$W$3:$W$5001,Base!$A$3:$A$5001,N$3,Base!$B$3:$B$5001,$A$131)))</f>
        <v/>
      </c>
      <c r="O137" s="79" t="str">
        <f>IF(O$3="","",IF(COUNTIFS(Base!$A$3:$A$5001,O$3,Base!$B$3:$B$5001,$A$131,Base!$W$3:$W$5001,"&lt;&gt;")=0,"",SUMIFS(Base!$W$3:$W$5001,Base!$A$3:$A$5001,O$3,Base!$B$3:$B$5001,$A$131)))</f>
        <v/>
      </c>
      <c r="P137" s="79" t="str">
        <f>IF(P$3="","",IF(COUNTIFS(Base!$A$3:$A$5001,P$3,Base!$B$3:$B$5001,$A$131,Base!$W$3:$W$5001,"&lt;&gt;")=0,"",SUMIFS(Base!$W$3:$W$5001,Base!$A$3:$A$5001,P$3,Base!$B$3:$B$5001,$A$131)))</f>
        <v/>
      </c>
      <c r="Q137" s="79" t="str">
        <f>IF(Q$3="","",IF(COUNTIFS(Base!$A$3:$A$5001,Q$3,Base!$B$3:$B$5001,$A$131,Base!$W$3:$W$5001,"&lt;&gt;")=0,"",SUMIFS(Base!$W$3:$W$5001,Base!$A$3:$A$5001,Q$3,Base!$B$3:$B$5001,$A$131)))</f>
        <v/>
      </c>
      <c r="R137" s="79" t="str">
        <f>IF(R$3="","",IF(COUNTIFS(Base!$A$3:$A$5001,R$3,Base!$B$3:$B$5001,$A$131,Base!$W$3:$W$5001,"&lt;&gt;")=0,"",SUMIFS(Base!$W$3:$W$5001,Base!$A$3:$A$5001,R$3,Base!$B$3:$B$5001,$A$131)))</f>
        <v/>
      </c>
      <c r="S137" s="79" t="str">
        <f>IF(S$3="","",IF(COUNTIFS(Base!$A$3:$A$5001,S$3,Base!$B$3:$B$5001,$A$131,Base!$W$3:$W$5001,"&lt;&gt;")=0,"",SUMIFS(Base!$W$3:$W$5001,Base!$A$3:$A$5001,S$3,Base!$B$3:$B$5001,$A$131)))</f>
        <v/>
      </c>
      <c r="T137" s="79" t="str">
        <f>IF(T$3="","",IF(COUNTIFS(Base!$A$3:$A$5001,T$3,Base!$B$3:$B$5001,$A$131,Base!$W$3:$W$5001,"&lt;&gt;")=0,"",SUMIFS(Base!$W$3:$W$5001,Base!$A$3:$A$5001,T$3,Base!$B$3:$B$5001,$A$131)))</f>
        <v/>
      </c>
      <c r="U137" s="79" t="str">
        <f>IF(U$3="","",IF(COUNTIFS(Base!$A$3:$A$5001,U$3,Base!$B$3:$B$5001,$A$131,Base!$W$3:$W$5001,"&lt;&gt;")=0,"",SUMIFS(Base!$W$3:$W$5001,Base!$A$3:$A$5001,U$3,Base!$B$3:$B$5001,$A$131)))</f>
        <v/>
      </c>
      <c r="V137" s="79" t="str">
        <f>IF(V$3="","",IF(COUNTIFS(Base!$A$3:$A$5001,V$3,Base!$B$3:$B$5001,$A$131,Base!$W$3:$W$5001,"&lt;&gt;")=0,"",SUMIFS(Base!$W$3:$W$5001,Base!$A$3:$A$5001,V$3,Base!$B$3:$B$5001,$A$131)))</f>
        <v/>
      </c>
      <c r="W137" s="79" t="str">
        <f>IF(W$3="","",IF(COUNTIFS(Base!$A$3:$A$5001,W$3,Base!$B$3:$B$5001,$A$131,Base!$W$3:$W$5001,"&lt;&gt;")=0,"",SUMIFS(Base!$W$3:$W$5001,Base!$A$3:$A$5001,W$3,Base!$B$3:$B$5001,$A$131)))</f>
        <v/>
      </c>
      <c r="X137" s="79" t="str">
        <f>IF(X$3="","",IF(COUNTIFS(Base!$A$3:$A$5001,X$3,Base!$B$3:$B$5001,$A$131,Base!$W$3:$W$5001,"&lt;&gt;")=0,"",SUMIFS(Base!$W$3:$W$5001,Base!$A$3:$A$5001,X$3,Base!$B$3:$B$5001,$A$131)))</f>
        <v/>
      </c>
      <c r="Y137" s="79" t="str">
        <f>IF(Y$3="","",IF(COUNTIFS(Base!$A$3:$A$5001,Y$3,Base!$B$3:$B$5001,$A$131,Base!$W$3:$W$5001,"&lt;&gt;")=0,"",SUMIFS(Base!$W$3:$W$5001,Base!$A$3:$A$5001,Y$3,Base!$B$3:$B$5001,$A$131)))</f>
        <v/>
      </c>
      <c r="Z137" s="79" t="str">
        <f>IF(Z$3="","",IF(COUNTIFS(Base!$A$3:$A$5001,Z$3,Base!$B$3:$B$5001,$A$131,Base!$W$3:$W$5001,"&lt;&gt;")=0,"",SUMIFS(Base!$W$3:$W$5001,Base!$A$3:$A$5001,Z$3,Base!$B$3:$B$5001,$A$131)))</f>
        <v/>
      </c>
      <c r="AA137" s="79" t="str">
        <f>IF(AA$3="","",IF(COUNTIFS(Base!$A$3:$A$5001,AA$3,Base!$B$3:$B$5001,$A$131,Base!$W$3:$W$5001,"&lt;&gt;")=0,"",SUMIFS(Base!$W$3:$W$5001,Base!$A$3:$A$5001,AA$3,Base!$B$3:$B$5001,$A$131)))</f>
        <v/>
      </c>
      <c r="AB137" s="79" t="str">
        <f>IF(AB$3="","",IF(COUNTIFS(Base!$A$3:$A$5001,AB$3,Base!$B$3:$B$5001,$A$131,Base!$W$3:$W$5001,"&lt;&gt;")=0,"",SUMIFS(Base!$W$3:$W$5001,Base!$A$3:$A$5001,AB$3,Base!$B$3:$B$5001,$A$131)))</f>
        <v/>
      </c>
      <c r="AC137" s="79" t="str">
        <f>IF(AC$3="","",IF(COUNTIFS(Base!$A$3:$A$5001,AC$3,Base!$B$3:$B$5001,$A$131,Base!$W$3:$W$5001,"&lt;&gt;")=0,"",SUMIFS(Base!$W$3:$W$5001,Base!$A$3:$A$5001,AC$3,Base!$B$3:$B$5001,$A$131)))</f>
        <v/>
      </c>
      <c r="AD137" s="79" t="str">
        <f>IF(AD$3="","",IF(COUNTIFS(Base!$A$3:$A$5001,AD$3,Base!$B$3:$B$5001,$A$131,Base!$W$3:$W$5001,"&lt;&gt;")=0,"",SUMIFS(Base!$W$3:$W$5001,Base!$A$3:$A$5001,AD$3,Base!$B$3:$B$5001,$A$131)))</f>
        <v/>
      </c>
      <c r="AE137" s="79" t="str">
        <f>IF(AE$3="","",IF(COUNTIFS(Base!$A$3:$A$5001,AE$3,Base!$B$3:$B$5001,$A$131,Base!$W$3:$W$5001,"&lt;&gt;")=0,"",SUMIFS(Base!$W$3:$W$5001,Base!$A$3:$A$5001,AE$3,Base!$B$3:$B$5001,$A$131)))</f>
        <v/>
      </c>
      <c r="AF137" s="79" t="str">
        <f>IF(AF$3="","",IF(COUNTIFS(Base!$A$3:$A$5001,AF$3,Base!$B$3:$B$5001,$A$131,Base!$W$3:$W$5001,"&lt;&gt;")=0,"",SUMIFS(Base!$W$3:$W$5001,Base!$A$3:$A$5001,AF$3,Base!$B$3:$B$5001,$A$131)))</f>
        <v/>
      </c>
      <c r="AG137" s="79" t="str">
        <f>IF(AG$3="","",IF(COUNTIFS(Base!$A$3:$A$5001,AG$3,Base!$B$3:$B$5001,$A$131,Base!$W$3:$W$5001,"&lt;&gt;")=0,"",SUMIFS(Base!$W$3:$W$5001,Base!$A$3:$A$5001,AG$3,Base!$B$3:$B$5001,$A$131)))</f>
        <v/>
      </c>
      <c r="AH137" s="79" t="str">
        <f>IF(AH$3="","",IF(COUNTIFS(Base!$A$3:$A$5001,AH$3,Base!$B$3:$B$5001,$A$131,Base!$W$3:$W$5001,"&lt;&gt;")=0,"",SUMIFS(Base!$W$3:$W$5001,Base!$A$3:$A$5001,AH$3,Base!$B$3:$B$5001,$A$131)))</f>
        <v/>
      </c>
      <c r="AI137" s="79" t="str">
        <f>IF(AI$3="","",IF(COUNTIFS(Base!$A$3:$A$5001,AI$3,Base!$B$3:$B$5001,$A$131,Base!$W$3:$W$5001,"&lt;&gt;")=0,"",SUMIFS(Base!$W$3:$W$5001,Base!$A$3:$A$5001,AI$3,Base!$B$3:$B$5001,$A$131)))</f>
        <v/>
      </c>
      <c r="AJ137" s="80" t="str">
        <f>IF(AJ$3="","",IF(COUNTIFS(Base!$A$3:$A$5001,AJ$3,Base!$B$3:$B$5001,$A$131,Base!$W$3:$W$5001,"&lt;&gt;")=0,"",SUMIFS(Base!$W$3:$W$5001,Base!$A$3:$A$5001,AJ$3,Base!$B$3:$B$5001,$A$131)))</f>
        <v/>
      </c>
      <c r="AK137" s="76" t="str">
        <f>IFERROR(LOOKUP(9.99E+307,F137:AJ137),"")</f>
        <v/>
      </c>
    </row>
    <row r="138" ht="15.75" customHeight="1">
      <c r="A138" s="118"/>
      <c r="B138" s="105" t="inlineStr">
        <is>
          <t xml:space="preserve">OCUPAÇÃO (P.P)</t>
        </is>
      </c>
      <c r="C138" s="21" t="inlineStr">
        <is>
          <t xml:space="preserve">Posições Disponíveis</t>
        </is>
      </c>
      <c r="D138" s="22" t="str">
        <f>IFERROR(1/(1/INDEX(calculos!$C$55:$K$83,MATCH("Posições Disponíveis",calculos!$A$55:$A$83,0),MATCH($A$131,calculos!$C$54:$K$54,0))),"")</f>
        <v/>
      </c>
      <c r="E138" s="23"/>
      <c r="F138" s="24" t="str">
        <f>IF(F$3="","",IF(COUNTIFS(Base!$A$3:$A$5001,F$3,Base!$B$3:$B$5001,$A$131,Base!$X$3:$X$5001,"&lt;&gt;")=0,"",SUMIFS(Base!$X$3:$X$5001,Base!$A$3:$A$5001,F$3,Base!$B$3:$B$5001,$A$131)))</f>
        <v/>
      </c>
      <c r="G138" s="25" t="str">
        <f>IF(G$3="","",IF(COUNTIFS(Base!$A$3:$A$5001,G$3,Base!$B$3:$B$5001,$A$131,Base!$X$3:$X$5001,"&lt;&gt;")=0,"",SUMIFS(Base!$X$3:$X$5001,Base!$A$3:$A$5001,G$3,Base!$B$3:$B$5001,$A$131)))</f>
        <v/>
      </c>
      <c r="H138" s="25" t="str">
        <f>IF(H$3="","",IF(COUNTIFS(Base!$A$3:$A$5001,H$3,Base!$B$3:$B$5001,$A$131,Base!$X$3:$X$5001,"&lt;&gt;")=0,"",SUMIFS(Base!$X$3:$X$5001,Base!$A$3:$A$5001,H$3,Base!$B$3:$B$5001,$A$131)))</f>
        <v/>
      </c>
      <c r="I138" s="25" t="str">
        <f>IF(I$3="","",IF(COUNTIFS(Base!$A$3:$A$5001,I$3,Base!$B$3:$B$5001,$A$131,Base!$X$3:$X$5001,"&lt;&gt;")=0,"",SUMIFS(Base!$X$3:$X$5001,Base!$A$3:$A$5001,I$3,Base!$B$3:$B$5001,$A$131)))</f>
        <v/>
      </c>
      <c r="J138" s="25" t="str">
        <f>IF(J$3="","",IF(COUNTIFS(Base!$A$3:$A$5001,J$3,Base!$B$3:$B$5001,$A$131,Base!$X$3:$X$5001,"&lt;&gt;")=0,"",SUMIFS(Base!$X$3:$X$5001,Base!$A$3:$A$5001,J$3,Base!$B$3:$B$5001,$A$131)))</f>
        <v/>
      </c>
      <c r="K138" s="25" t="str">
        <f>IF(K$3="","",IF(COUNTIFS(Base!$A$3:$A$5001,K$3,Base!$B$3:$B$5001,$A$131,Base!$X$3:$X$5001,"&lt;&gt;")=0,"",SUMIFS(Base!$X$3:$X$5001,Base!$A$3:$A$5001,K$3,Base!$B$3:$B$5001,$A$131)))</f>
        <v/>
      </c>
      <c r="L138" s="25" t="str">
        <f>IF(L$3="","",IF(COUNTIFS(Base!$A$3:$A$5001,L$3,Base!$B$3:$B$5001,$A$131,Base!$X$3:$X$5001,"&lt;&gt;")=0,"",SUMIFS(Base!$X$3:$X$5001,Base!$A$3:$A$5001,L$3,Base!$B$3:$B$5001,$A$131)))</f>
        <v/>
      </c>
      <c r="M138" s="25" t="str">
        <f>IF(M$3="","",IF(COUNTIFS(Base!$A$3:$A$5001,M$3,Base!$B$3:$B$5001,$A$131,Base!$X$3:$X$5001,"&lt;&gt;")=0,"",SUMIFS(Base!$X$3:$X$5001,Base!$A$3:$A$5001,M$3,Base!$B$3:$B$5001,$A$131)))</f>
        <v/>
      </c>
      <c r="N138" s="25" t="str">
        <f>IF(N$3="","",IF(COUNTIFS(Base!$A$3:$A$5001,N$3,Base!$B$3:$B$5001,$A$131,Base!$X$3:$X$5001,"&lt;&gt;")=0,"",SUMIFS(Base!$X$3:$X$5001,Base!$A$3:$A$5001,N$3,Base!$B$3:$B$5001,$A$131)))</f>
        <v/>
      </c>
      <c r="O138" s="25" t="str">
        <f>IF(O$3="","",IF(COUNTIFS(Base!$A$3:$A$5001,O$3,Base!$B$3:$B$5001,$A$131,Base!$X$3:$X$5001,"&lt;&gt;")=0,"",SUMIFS(Base!$X$3:$X$5001,Base!$A$3:$A$5001,O$3,Base!$B$3:$B$5001,$A$131)))</f>
        <v/>
      </c>
      <c r="P138" s="25" t="str">
        <f>IF(P$3="","",IF(COUNTIFS(Base!$A$3:$A$5001,P$3,Base!$B$3:$B$5001,$A$131,Base!$X$3:$X$5001,"&lt;&gt;")=0,"",SUMIFS(Base!$X$3:$X$5001,Base!$A$3:$A$5001,P$3,Base!$B$3:$B$5001,$A$131)))</f>
        <v/>
      </c>
      <c r="Q138" s="25" t="str">
        <f>IF(Q$3="","",IF(COUNTIFS(Base!$A$3:$A$5001,Q$3,Base!$B$3:$B$5001,$A$131,Base!$X$3:$X$5001,"&lt;&gt;")=0,"",SUMIFS(Base!$X$3:$X$5001,Base!$A$3:$A$5001,Q$3,Base!$B$3:$B$5001,$A$131)))</f>
        <v/>
      </c>
      <c r="R138" s="25" t="str">
        <f>IF(R$3="","",IF(COUNTIFS(Base!$A$3:$A$5001,R$3,Base!$B$3:$B$5001,$A$131,Base!$X$3:$X$5001,"&lt;&gt;")=0,"",SUMIFS(Base!$X$3:$X$5001,Base!$A$3:$A$5001,R$3,Base!$B$3:$B$5001,$A$131)))</f>
        <v/>
      </c>
      <c r="S138" s="25" t="str">
        <f>IF(S$3="","",IF(COUNTIFS(Base!$A$3:$A$5001,S$3,Base!$B$3:$B$5001,$A$131,Base!$X$3:$X$5001,"&lt;&gt;")=0,"",SUMIFS(Base!$X$3:$X$5001,Base!$A$3:$A$5001,S$3,Base!$B$3:$B$5001,$A$131)))</f>
        <v/>
      </c>
      <c r="T138" s="25" t="str">
        <f>IF(T$3="","",IF(COUNTIFS(Base!$A$3:$A$5001,T$3,Base!$B$3:$B$5001,$A$131,Base!$X$3:$X$5001,"&lt;&gt;")=0,"",SUMIFS(Base!$X$3:$X$5001,Base!$A$3:$A$5001,T$3,Base!$B$3:$B$5001,$A$131)))</f>
        <v/>
      </c>
      <c r="U138" s="25" t="str">
        <f>IF(U$3="","",IF(COUNTIFS(Base!$A$3:$A$5001,U$3,Base!$B$3:$B$5001,$A$131,Base!$X$3:$X$5001,"&lt;&gt;")=0,"",SUMIFS(Base!$X$3:$X$5001,Base!$A$3:$A$5001,U$3,Base!$B$3:$B$5001,$A$131)))</f>
        <v/>
      </c>
      <c r="V138" s="25" t="str">
        <f>IF(V$3="","",IF(COUNTIFS(Base!$A$3:$A$5001,V$3,Base!$B$3:$B$5001,$A$131,Base!$X$3:$X$5001,"&lt;&gt;")=0,"",SUMIFS(Base!$X$3:$X$5001,Base!$A$3:$A$5001,V$3,Base!$B$3:$B$5001,$A$131)))</f>
        <v/>
      </c>
      <c r="W138" s="25" t="str">
        <f>IF(W$3="","",IF(COUNTIFS(Base!$A$3:$A$5001,W$3,Base!$B$3:$B$5001,$A$131,Base!$X$3:$X$5001,"&lt;&gt;")=0,"",SUMIFS(Base!$X$3:$X$5001,Base!$A$3:$A$5001,W$3,Base!$B$3:$B$5001,$A$131)))</f>
        <v/>
      </c>
      <c r="X138" s="25" t="str">
        <f>IF(X$3="","",IF(COUNTIFS(Base!$A$3:$A$5001,X$3,Base!$B$3:$B$5001,$A$131,Base!$X$3:$X$5001,"&lt;&gt;")=0,"",SUMIFS(Base!$X$3:$X$5001,Base!$A$3:$A$5001,X$3,Base!$B$3:$B$5001,$A$131)))</f>
        <v/>
      </c>
      <c r="Y138" s="25" t="str">
        <f>IF(Y$3="","",IF(COUNTIFS(Base!$A$3:$A$5001,Y$3,Base!$B$3:$B$5001,$A$131,Base!$X$3:$X$5001,"&lt;&gt;")=0,"",SUMIFS(Base!$X$3:$X$5001,Base!$A$3:$A$5001,Y$3,Base!$B$3:$B$5001,$A$131)))</f>
        <v/>
      </c>
      <c r="Z138" s="25" t="str">
        <f>IF(Z$3="","",IF(COUNTIFS(Base!$A$3:$A$5001,Z$3,Base!$B$3:$B$5001,$A$131,Base!$X$3:$X$5001,"&lt;&gt;")=0,"",SUMIFS(Base!$X$3:$X$5001,Base!$A$3:$A$5001,Z$3,Base!$B$3:$B$5001,$A$131)))</f>
        <v/>
      </c>
      <c r="AA138" s="25" t="str">
        <f>IF(AA$3="","",IF(COUNTIFS(Base!$A$3:$A$5001,AA$3,Base!$B$3:$B$5001,$A$131,Base!$X$3:$X$5001,"&lt;&gt;")=0,"",SUMIFS(Base!$X$3:$X$5001,Base!$A$3:$A$5001,AA$3,Base!$B$3:$B$5001,$A$131)))</f>
        <v/>
      </c>
      <c r="AB138" s="25" t="str">
        <f>IF(AB$3="","",IF(COUNTIFS(Base!$A$3:$A$5001,AB$3,Base!$B$3:$B$5001,$A$131,Base!$X$3:$X$5001,"&lt;&gt;")=0,"",SUMIFS(Base!$X$3:$X$5001,Base!$A$3:$A$5001,AB$3,Base!$B$3:$B$5001,$A$131)))</f>
        <v/>
      </c>
      <c r="AC138" s="25" t="str">
        <f>IF(AC$3="","",IF(COUNTIFS(Base!$A$3:$A$5001,AC$3,Base!$B$3:$B$5001,$A$131,Base!$X$3:$X$5001,"&lt;&gt;")=0,"",SUMIFS(Base!$X$3:$X$5001,Base!$A$3:$A$5001,AC$3,Base!$B$3:$B$5001,$A$131)))</f>
        <v/>
      </c>
      <c r="AD138" s="25" t="str">
        <f>IF(AD$3="","",IF(COUNTIFS(Base!$A$3:$A$5001,AD$3,Base!$B$3:$B$5001,$A$131,Base!$X$3:$X$5001,"&lt;&gt;")=0,"",SUMIFS(Base!$X$3:$X$5001,Base!$A$3:$A$5001,AD$3,Base!$B$3:$B$5001,$A$131)))</f>
        <v/>
      </c>
      <c r="AE138" s="25" t="str">
        <f>IF(AE$3="","",IF(COUNTIFS(Base!$A$3:$A$5001,AE$3,Base!$B$3:$B$5001,$A$131,Base!$X$3:$X$5001,"&lt;&gt;")=0,"",SUMIFS(Base!$X$3:$X$5001,Base!$A$3:$A$5001,AE$3,Base!$B$3:$B$5001,$A$131)))</f>
        <v/>
      </c>
      <c r="AF138" s="25" t="str">
        <f>IF(AF$3="","",IF(COUNTIFS(Base!$A$3:$A$5001,AF$3,Base!$B$3:$B$5001,$A$131,Base!$X$3:$X$5001,"&lt;&gt;")=0,"",SUMIFS(Base!$X$3:$X$5001,Base!$A$3:$A$5001,AF$3,Base!$B$3:$B$5001,$A$131)))</f>
        <v/>
      </c>
      <c r="AG138" s="25" t="str">
        <f>IF(AG$3="","",IF(COUNTIFS(Base!$A$3:$A$5001,AG$3,Base!$B$3:$B$5001,$A$131,Base!$X$3:$X$5001,"&lt;&gt;")=0,"",SUMIFS(Base!$X$3:$X$5001,Base!$A$3:$A$5001,AG$3,Base!$B$3:$B$5001,$A$131)))</f>
        <v/>
      </c>
      <c r="AH138" s="25" t="str">
        <f>IF(AH$3="","",IF(COUNTIFS(Base!$A$3:$A$5001,AH$3,Base!$B$3:$B$5001,$A$131,Base!$X$3:$X$5001,"&lt;&gt;")=0,"",SUMIFS(Base!$X$3:$X$5001,Base!$A$3:$A$5001,AH$3,Base!$B$3:$B$5001,$A$131)))</f>
        <v/>
      </c>
      <c r="AI138" s="25" t="str">
        <f>IF(AI$3="","",IF(COUNTIFS(Base!$A$3:$A$5001,AI$3,Base!$B$3:$B$5001,$A$131,Base!$X$3:$X$5001,"&lt;&gt;")=0,"",SUMIFS(Base!$X$3:$X$5001,Base!$A$3:$A$5001,AI$3,Base!$B$3:$B$5001,$A$131)))</f>
        <v/>
      </c>
      <c r="AJ138" s="26" t="str">
        <f>IF(AJ$3="","",IF(COUNTIFS(Base!$A$3:$A$5001,AJ$3,Base!$B$3:$B$5001,$A$131,Base!$X$3:$X$5001,"&lt;&gt;")=0,"",SUMIFS(Base!$X$3:$X$5001,Base!$A$3:$A$5001,AJ$3,Base!$B$3:$B$5001,$A$131)))</f>
        <v/>
      </c>
      <c r="AK138" s="27" t="str">
        <f>IFERROR(LOOKUP(9.99E+307,F138:AJ138),"")</f>
        <v/>
      </c>
    </row>
    <row r="139" ht="15.75" customHeight="1">
      <c r="A139" s="118"/>
      <c r="B139" s="106"/>
      <c r="C139" s="28" t="inlineStr">
        <is>
          <t xml:space="preserve">Posições Ocupadas</t>
        </is>
      </c>
      <c r="D139" s="29" t="str">
        <f>IFERROR(1/(1/INDEX(calculos!$C$55:$K$83,MATCH("Posições Ocupadas",calculos!$A$55:$A$83,0),MATCH($A$131,calculos!$C$54:$K$54,0))),"")</f>
        <v/>
      </c>
      <c r="E139" s="30"/>
      <c r="F139" s="31" t="str">
        <f>IF(F$3="","",IF(COUNTIFS(Base!$A$3:$A$5001,F$3,Base!$B$3:$B$5001,$A$131,Base!$Y$3:$Y$5001,"&lt;&gt;")=0,"",SUMIFS(Base!$Y$3:$Y$5001,Base!$A$3:$A$5001,F$3,Base!$B$3:$B$5001,$A$131)))</f>
        <v/>
      </c>
      <c r="G139" s="32" t="str">
        <f>IF(G$3="","",IF(COUNTIFS(Base!$A$3:$A$5001,G$3,Base!$B$3:$B$5001,$A$131,Base!$Y$3:$Y$5001,"&lt;&gt;")=0,"",SUMIFS(Base!$Y$3:$Y$5001,Base!$A$3:$A$5001,G$3,Base!$B$3:$B$5001,$A$131)))</f>
        <v/>
      </c>
      <c r="H139" s="32" t="str">
        <f>IF(H$3="","",IF(COUNTIFS(Base!$A$3:$A$5001,H$3,Base!$B$3:$B$5001,$A$131,Base!$Y$3:$Y$5001,"&lt;&gt;")=0,"",SUMIFS(Base!$Y$3:$Y$5001,Base!$A$3:$A$5001,H$3,Base!$B$3:$B$5001,$A$131)))</f>
        <v/>
      </c>
      <c r="I139" s="32" t="str">
        <f>IF(I$3="","",IF(COUNTIFS(Base!$A$3:$A$5001,I$3,Base!$B$3:$B$5001,$A$131,Base!$Y$3:$Y$5001,"&lt;&gt;")=0,"",SUMIFS(Base!$Y$3:$Y$5001,Base!$A$3:$A$5001,I$3,Base!$B$3:$B$5001,$A$131)))</f>
        <v/>
      </c>
      <c r="J139" s="32" t="str">
        <f>IF(J$3="","",IF(COUNTIFS(Base!$A$3:$A$5001,J$3,Base!$B$3:$B$5001,$A$131,Base!$Y$3:$Y$5001,"&lt;&gt;")=0,"",SUMIFS(Base!$Y$3:$Y$5001,Base!$A$3:$A$5001,J$3,Base!$B$3:$B$5001,$A$131)))</f>
        <v/>
      </c>
      <c r="K139" s="32" t="str">
        <f>IF(K$3="","",IF(COUNTIFS(Base!$A$3:$A$5001,K$3,Base!$B$3:$B$5001,$A$131,Base!$Y$3:$Y$5001,"&lt;&gt;")=0,"",SUMIFS(Base!$Y$3:$Y$5001,Base!$A$3:$A$5001,K$3,Base!$B$3:$B$5001,$A$131)))</f>
        <v/>
      </c>
      <c r="L139" s="32" t="str">
        <f>IF(L$3="","",IF(COUNTIFS(Base!$A$3:$A$5001,L$3,Base!$B$3:$B$5001,$A$131,Base!$Y$3:$Y$5001,"&lt;&gt;")=0,"",SUMIFS(Base!$Y$3:$Y$5001,Base!$A$3:$A$5001,L$3,Base!$B$3:$B$5001,$A$131)))</f>
        <v/>
      </c>
      <c r="M139" s="32" t="str">
        <f>IF(M$3="","",IF(COUNTIFS(Base!$A$3:$A$5001,M$3,Base!$B$3:$B$5001,$A$131,Base!$Y$3:$Y$5001,"&lt;&gt;")=0,"",SUMIFS(Base!$Y$3:$Y$5001,Base!$A$3:$A$5001,M$3,Base!$B$3:$B$5001,$A$131)))</f>
        <v/>
      </c>
      <c r="N139" s="32" t="str">
        <f>IF(N$3="","",IF(COUNTIFS(Base!$A$3:$A$5001,N$3,Base!$B$3:$B$5001,$A$131,Base!$Y$3:$Y$5001,"&lt;&gt;")=0,"",SUMIFS(Base!$Y$3:$Y$5001,Base!$A$3:$A$5001,N$3,Base!$B$3:$B$5001,$A$131)))</f>
        <v/>
      </c>
      <c r="O139" s="32" t="str">
        <f>IF(O$3="","",IF(COUNTIFS(Base!$A$3:$A$5001,O$3,Base!$B$3:$B$5001,$A$131,Base!$Y$3:$Y$5001,"&lt;&gt;")=0,"",SUMIFS(Base!$Y$3:$Y$5001,Base!$A$3:$A$5001,O$3,Base!$B$3:$B$5001,$A$131)))</f>
        <v/>
      </c>
      <c r="P139" s="32" t="str">
        <f>IF(P$3="","",IF(COUNTIFS(Base!$A$3:$A$5001,P$3,Base!$B$3:$B$5001,$A$131,Base!$Y$3:$Y$5001,"&lt;&gt;")=0,"",SUMIFS(Base!$Y$3:$Y$5001,Base!$A$3:$A$5001,P$3,Base!$B$3:$B$5001,$A$131)))</f>
        <v/>
      </c>
      <c r="Q139" s="32" t="str">
        <f>IF(Q$3="","",IF(COUNTIFS(Base!$A$3:$A$5001,Q$3,Base!$B$3:$B$5001,$A$131,Base!$Y$3:$Y$5001,"&lt;&gt;")=0,"",SUMIFS(Base!$Y$3:$Y$5001,Base!$A$3:$A$5001,Q$3,Base!$B$3:$B$5001,$A$131)))</f>
        <v/>
      </c>
      <c r="R139" s="32" t="str">
        <f>IF(R$3="","",IF(COUNTIFS(Base!$A$3:$A$5001,R$3,Base!$B$3:$B$5001,$A$131,Base!$Y$3:$Y$5001,"&lt;&gt;")=0,"",SUMIFS(Base!$Y$3:$Y$5001,Base!$A$3:$A$5001,R$3,Base!$B$3:$B$5001,$A$131)))</f>
        <v/>
      </c>
      <c r="S139" s="32" t="str">
        <f>IF(S$3="","",IF(COUNTIFS(Base!$A$3:$A$5001,S$3,Base!$B$3:$B$5001,$A$131,Base!$Y$3:$Y$5001,"&lt;&gt;")=0,"",SUMIFS(Base!$Y$3:$Y$5001,Base!$A$3:$A$5001,S$3,Base!$B$3:$B$5001,$A$131)))</f>
        <v/>
      </c>
      <c r="T139" s="32" t="str">
        <f>IF(T$3="","",IF(COUNTIFS(Base!$A$3:$A$5001,T$3,Base!$B$3:$B$5001,$A$131,Base!$Y$3:$Y$5001,"&lt;&gt;")=0,"",SUMIFS(Base!$Y$3:$Y$5001,Base!$A$3:$A$5001,T$3,Base!$B$3:$B$5001,$A$131)))</f>
        <v/>
      </c>
      <c r="U139" s="32" t="str">
        <f>IF(U$3="","",IF(COUNTIFS(Base!$A$3:$A$5001,U$3,Base!$B$3:$B$5001,$A$131,Base!$Y$3:$Y$5001,"&lt;&gt;")=0,"",SUMIFS(Base!$Y$3:$Y$5001,Base!$A$3:$A$5001,U$3,Base!$B$3:$B$5001,$A$131)))</f>
        <v/>
      </c>
      <c r="V139" s="32" t="str">
        <f>IF(V$3="","",IF(COUNTIFS(Base!$A$3:$A$5001,V$3,Base!$B$3:$B$5001,$A$131,Base!$Y$3:$Y$5001,"&lt;&gt;")=0,"",SUMIFS(Base!$Y$3:$Y$5001,Base!$A$3:$A$5001,V$3,Base!$B$3:$B$5001,$A$131)))</f>
        <v/>
      </c>
      <c r="W139" s="32" t="str">
        <f>IF(W$3="","",IF(COUNTIFS(Base!$A$3:$A$5001,W$3,Base!$B$3:$B$5001,$A$131,Base!$Y$3:$Y$5001,"&lt;&gt;")=0,"",SUMIFS(Base!$Y$3:$Y$5001,Base!$A$3:$A$5001,W$3,Base!$B$3:$B$5001,$A$131)))</f>
        <v/>
      </c>
      <c r="X139" s="32" t="str">
        <f>IF(X$3="","",IF(COUNTIFS(Base!$A$3:$A$5001,X$3,Base!$B$3:$B$5001,$A$131,Base!$Y$3:$Y$5001,"&lt;&gt;")=0,"",SUMIFS(Base!$Y$3:$Y$5001,Base!$A$3:$A$5001,X$3,Base!$B$3:$B$5001,$A$131)))</f>
        <v/>
      </c>
      <c r="Y139" s="32" t="str">
        <f>IF(Y$3="","",IF(COUNTIFS(Base!$A$3:$A$5001,Y$3,Base!$B$3:$B$5001,$A$131,Base!$Y$3:$Y$5001,"&lt;&gt;")=0,"",SUMIFS(Base!$Y$3:$Y$5001,Base!$A$3:$A$5001,Y$3,Base!$B$3:$B$5001,$A$131)))</f>
        <v/>
      </c>
      <c r="Z139" s="32" t="str">
        <f>IF(Z$3="","",IF(COUNTIFS(Base!$A$3:$A$5001,Z$3,Base!$B$3:$B$5001,$A$131,Base!$Y$3:$Y$5001,"&lt;&gt;")=0,"",SUMIFS(Base!$Y$3:$Y$5001,Base!$A$3:$A$5001,Z$3,Base!$B$3:$B$5001,$A$131)))</f>
        <v/>
      </c>
      <c r="AA139" s="32" t="str">
        <f>IF(AA$3="","",IF(COUNTIFS(Base!$A$3:$A$5001,AA$3,Base!$B$3:$B$5001,$A$131,Base!$Y$3:$Y$5001,"&lt;&gt;")=0,"",SUMIFS(Base!$Y$3:$Y$5001,Base!$A$3:$A$5001,AA$3,Base!$B$3:$B$5001,$A$131)))</f>
        <v/>
      </c>
      <c r="AB139" s="32" t="str">
        <f>IF(AB$3="","",IF(COUNTIFS(Base!$A$3:$A$5001,AB$3,Base!$B$3:$B$5001,$A$131,Base!$Y$3:$Y$5001,"&lt;&gt;")=0,"",SUMIFS(Base!$Y$3:$Y$5001,Base!$A$3:$A$5001,AB$3,Base!$B$3:$B$5001,$A$131)))</f>
        <v/>
      </c>
      <c r="AC139" s="32" t="str">
        <f>IF(AC$3="","",IF(COUNTIFS(Base!$A$3:$A$5001,AC$3,Base!$B$3:$B$5001,$A$131,Base!$Y$3:$Y$5001,"&lt;&gt;")=0,"",SUMIFS(Base!$Y$3:$Y$5001,Base!$A$3:$A$5001,AC$3,Base!$B$3:$B$5001,$A$131)))</f>
        <v/>
      </c>
      <c r="AD139" s="32" t="str">
        <f>IF(AD$3="","",IF(COUNTIFS(Base!$A$3:$A$5001,AD$3,Base!$B$3:$B$5001,$A$131,Base!$Y$3:$Y$5001,"&lt;&gt;")=0,"",SUMIFS(Base!$Y$3:$Y$5001,Base!$A$3:$A$5001,AD$3,Base!$B$3:$B$5001,$A$131)))</f>
        <v/>
      </c>
      <c r="AE139" s="32" t="str">
        <f>IF(AE$3="","",IF(COUNTIFS(Base!$A$3:$A$5001,AE$3,Base!$B$3:$B$5001,$A$131,Base!$Y$3:$Y$5001,"&lt;&gt;")=0,"",SUMIFS(Base!$Y$3:$Y$5001,Base!$A$3:$A$5001,AE$3,Base!$B$3:$B$5001,$A$131)))</f>
        <v/>
      </c>
      <c r="AF139" s="32" t="str">
        <f>IF(AF$3="","",IF(COUNTIFS(Base!$A$3:$A$5001,AF$3,Base!$B$3:$B$5001,$A$131,Base!$Y$3:$Y$5001,"&lt;&gt;")=0,"",SUMIFS(Base!$Y$3:$Y$5001,Base!$A$3:$A$5001,AF$3,Base!$B$3:$B$5001,$A$131)))</f>
        <v/>
      </c>
      <c r="AG139" s="32" t="str">
        <f>IF(AG$3="","",IF(COUNTIFS(Base!$A$3:$A$5001,AG$3,Base!$B$3:$B$5001,$A$131,Base!$Y$3:$Y$5001,"&lt;&gt;")=0,"",SUMIFS(Base!$Y$3:$Y$5001,Base!$A$3:$A$5001,AG$3,Base!$B$3:$B$5001,$A$131)))</f>
        <v/>
      </c>
      <c r="AH139" s="32" t="str">
        <f>IF(AH$3="","",IF(COUNTIFS(Base!$A$3:$A$5001,AH$3,Base!$B$3:$B$5001,$A$131,Base!$Y$3:$Y$5001,"&lt;&gt;")=0,"",SUMIFS(Base!$Y$3:$Y$5001,Base!$A$3:$A$5001,AH$3,Base!$B$3:$B$5001,$A$131)))</f>
        <v/>
      </c>
      <c r="AI139" s="32" t="str">
        <f>IF(AI$3="","",IF(COUNTIFS(Base!$A$3:$A$5001,AI$3,Base!$B$3:$B$5001,$A$131,Base!$Y$3:$Y$5001,"&lt;&gt;")=0,"",SUMIFS(Base!$Y$3:$Y$5001,Base!$A$3:$A$5001,AI$3,Base!$B$3:$B$5001,$A$131)))</f>
        <v/>
      </c>
      <c r="AJ139" s="33" t="str">
        <f>IF(AJ$3="","",IF(COUNTIFS(Base!$A$3:$A$5001,AJ$3,Base!$B$3:$B$5001,$A$131,Base!$Y$3:$Y$5001,"&lt;&gt;")=0,"",SUMIFS(Base!$Y$3:$Y$5001,Base!$A$3:$A$5001,AJ$3,Base!$B$3:$B$5001,$A$131)))</f>
        <v/>
      </c>
      <c r="AK139" s="34" t="str">
        <f>IFERROR(LOOKUP(9.99E+307,F139:AJ139),"")</f>
        <v/>
      </c>
    </row>
    <row r="140" ht="15.75" customHeight="1">
      <c r="A140" s="118"/>
      <c r="B140" s="107"/>
      <c r="C140" s="35" t="inlineStr">
        <is>
          <t xml:space="preserve">Taxa de Ocupação</t>
        </is>
      </c>
      <c r="D140" s="81" t="str">
        <f>IFERROR(1/(1/INDEX(calculos!$C$55:$K$83,MATCH("Taxa de Ocupação",calculos!$A$55:$A$83,0),MATCH($A$131,calculos!$C$54:$K$54,0))),"")</f>
        <v/>
      </c>
      <c r="E140" s="37"/>
      <c r="F140" s="82" t="str">
        <f>IF(AND(ISNUMBER(F138),ISNUMBER(F139)),IF(F138&gt;0,F139/F138,""),"")</f>
        <v/>
      </c>
      <c r="G140" s="83" t="str">
        <f>IF(AND(ISNUMBER(G138),ISNUMBER(G139)),IF(G138&gt;0,G139/G138,""),"")</f>
        <v/>
      </c>
      <c r="H140" s="83" t="str">
        <f>IF(AND(ISNUMBER(H138),ISNUMBER(H139)),IF(H138&gt;0,H139/H138,""),"")</f>
        <v/>
      </c>
      <c r="I140" s="83" t="str">
        <f>IF(AND(ISNUMBER(I138),ISNUMBER(I139)),IF(I138&gt;0,I139/I138,""),"")</f>
        <v/>
      </c>
      <c r="J140" s="83" t="str">
        <f>IF(AND(ISNUMBER(J138),ISNUMBER(J139)),IF(J138&gt;0,J139/J138,""),"")</f>
        <v/>
      </c>
      <c r="K140" s="83" t="str">
        <f>IF(AND(ISNUMBER(K138),ISNUMBER(K139)),IF(K138&gt;0,K139/K138,""),"")</f>
        <v/>
      </c>
      <c r="L140" s="83" t="str">
        <f>IF(AND(ISNUMBER(L138),ISNUMBER(L139)),IF(L138&gt;0,L139/L138,""),"")</f>
        <v/>
      </c>
      <c r="M140" s="83" t="str">
        <f>IF(AND(ISNUMBER(M138),ISNUMBER(M139)),IF(M138&gt;0,M139/M138,""),"")</f>
        <v/>
      </c>
      <c r="N140" s="83" t="str">
        <f>IF(AND(ISNUMBER(N138),ISNUMBER(N139)),IF(N138&gt;0,N139/N138,""),"")</f>
        <v/>
      </c>
      <c r="O140" s="83" t="str">
        <f>IF(AND(ISNUMBER(O138),ISNUMBER(O139)),IF(O138&gt;0,O139/O138,""),"")</f>
        <v/>
      </c>
      <c r="P140" s="83" t="str">
        <f>IF(AND(ISNUMBER(P138),ISNUMBER(P139)),IF(P138&gt;0,P139/P138,""),"")</f>
        <v/>
      </c>
      <c r="Q140" s="83" t="str">
        <f>IF(AND(ISNUMBER(Q138),ISNUMBER(Q139)),IF(Q138&gt;0,Q139/Q138,""),"")</f>
        <v/>
      </c>
      <c r="R140" s="83" t="str">
        <f>IF(AND(ISNUMBER(R138),ISNUMBER(R139)),IF(R138&gt;0,R139/R138,""),"")</f>
        <v/>
      </c>
      <c r="S140" s="83" t="str">
        <f>IF(AND(ISNUMBER(S138),ISNUMBER(S139)),IF(S138&gt;0,S139/S138,""),"")</f>
        <v/>
      </c>
      <c r="T140" s="83" t="str">
        <f>IF(AND(ISNUMBER(T138),ISNUMBER(T139)),IF(T138&gt;0,T139/T138,""),"")</f>
        <v/>
      </c>
      <c r="U140" s="83" t="str">
        <f>IF(AND(ISNUMBER(U138),ISNUMBER(U139)),IF(U138&gt;0,U139/U138,""),"")</f>
        <v/>
      </c>
      <c r="V140" s="83" t="str">
        <f>IF(AND(ISNUMBER(V138),ISNUMBER(V139)),IF(V138&gt;0,V139/V138,""),"")</f>
        <v/>
      </c>
      <c r="W140" s="83" t="str">
        <f>IF(AND(ISNUMBER(W138),ISNUMBER(W139)),IF(W138&gt;0,W139/W138,""),"")</f>
        <v/>
      </c>
      <c r="X140" s="83" t="str">
        <f>IF(AND(ISNUMBER(X138),ISNUMBER(X139)),IF(X138&gt;0,X139/X138,""),"")</f>
        <v/>
      </c>
      <c r="Y140" s="83" t="str">
        <f>IF(AND(ISNUMBER(Y138),ISNUMBER(Y139)),IF(Y138&gt;0,Y139/Y138,""),"")</f>
        <v/>
      </c>
      <c r="Z140" s="83" t="str">
        <f>IF(AND(ISNUMBER(Z138),ISNUMBER(Z139)),IF(Z138&gt;0,Z139/Z138,""),"")</f>
        <v/>
      </c>
      <c r="AA140" s="83" t="str">
        <f>IF(AND(ISNUMBER(AA138),ISNUMBER(AA139)),IF(AA138&gt;0,AA139/AA138,""),"")</f>
        <v/>
      </c>
      <c r="AB140" s="83" t="str">
        <f>IF(AND(ISNUMBER(AB138),ISNUMBER(AB139)),IF(AB138&gt;0,AB139/AB138,""),"")</f>
        <v/>
      </c>
      <c r="AC140" s="83" t="str">
        <f>IF(AND(ISNUMBER(AC138),ISNUMBER(AC139)),IF(AC138&gt;0,AC139/AC138,""),"")</f>
        <v/>
      </c>
      <c r="AD140" s="83" t="str">
        <f>IF(AND(ISNUMBER(AD138),ISNUMBER(AD139)),IF(AD138&gt;0,AD139/AD138,""),"")</f>
        <v/>
      </c>
      <c r="AE140" s="83" t="str">
        <f>IF(AND(ISNUMBER(AE138),ISNUMBER(AE139)),IF(AE138&gt;0,AE139/AE138,""),"")</f>
        <v/>
      </c>
      <c r="AF140" s="83" t="str">
        <f>IF(AND(ISNUMBER(AF138),ISNUMBER(AF139)),IF(AF138&gt;0,AF139/AF138,""),"")</f>
        <v/>
      </c>
      <c r="AG140" s="83" t="str">
        <f>IF(AND(ISNUMBER(AG138),ISNUMBER(AG139)),IF(AG138&gt;0,AG139/AG138,""),"")</f>
        <v/>
      </c>
      <c r="AH140" s="83" t="str">
        <f>IF(AND(ISNUMBER(AH138),ISNUMBER(AH139)),IF(AH138&gt;0,AH139/AH138,""),"")</f>
        <v/>
      </c>
      <c r="AI140" s="83" t="str">
        <f>IF(AND(ISNUMBER(AI138),ISNUMBER(AI139)),IF(AI138&gt;0,AI139/AI138,""),"")</f>
        <v/>
      </c>
      <c r="AJ140" s="84" t="str">
        <f>IF(AND(ISNUMBER(AJ138),ISNUMBER(AJ139)),IF(AJ138&gt;0,AJ139/AJ138,""),"")</f>
        <v/>
      </c>
      <c r="AK140" s="81" t="str">
        <f>IF(AND(ISNUMBER(AK138),ISNUMBER(AK139)),IF(AK138&gt;0,AK139/AK138,""),"")</f>
        <v/>
      </c>
    </row>
    <row r="141" ht="15.75" customHeight="1">
      <c r="A141" s="118"/>
      <c r="B141" s="114" t="inlineStr">
        <is>
          <t xml:space="preserve">GENTE</t>
        </is>
      </c>
      <c r="C141" s="85" t="inlineStr">
        <is>
          <t xml:space="preserve">Efetivo</t>
        </is>
      </c>
      <c r="D141" s="86" t="str">
        <f>IFERROR(1/(1/INDEX(calculos!$C$55:$K$83,MATCH("Efetivo",calculos!$A$55:$A$83,0),MATCH($A$131,calculos!$C$54:$K$54,0))),"")</f>
        <v/>
      </c>
      <c r="E141" s="87"/>
      <c r="F141" s="88" t="str">
        <f>IF(F$3="","",IF(COUNTIFS(Base!$A$3:$A$5001,F$3,Base!$B$3:$B$5001,$A$131,Base!$Z$3:$Z$5001,"&lt;&gt;")=0,"",SUMIFS(Base!$Z$3:$Z$5001,Base!$A$3:$A$5001,F$3,Base!$B$3:$B$5001,$A$131)))</f>
        <v/>
      </c>
      <c r="G141" s="89" t="str">
        <f>IF(G$3="","",IF(COUNTIFS(Base!$A$3:$A$5001,G$3,Base!$B$3:$B$5001,$A$131,Base!$Z$3:$Z$5001,"&lt;&gt;")=0,"",SUMIFS(Base!$Z$3:$Z$5001,Base!$A$3:$A$5001,G$3,Base!$B$3:$B$5001,$A$131)))</f>
        <v/>
      </c>
      <c r="H141" s="89" t="str">
        <f>IF(H$3="","",IF(COUNTIFS(Base!$A$3:$A$5001,H$3,Base!$B$3:$B$5001,$A$131,Base!$Z$3:$Z$5001,"&lt;&gt;")=0,"",SUMIFS(Base!$Z$3:$Z$5001,Base!$A$3:$A$5001,H$3,Base!$B$3:$B$5001,$A$131)))</f>
        <v/>
      </c>
      <c r="I141" s="89" t="str">
        <f>IF(I$3="","",IF(COUNTIFS(Base!$A$3:$A$5001,I$3,Base!$B$3:$B$5001,$A$131,Base!$Z$3:$Z$5001,"&lt;&gt;")=0,"",SUMIFS(Base!$Z$3:$Z$5001,Base!$A$3:$A$5001,I$3,Base!$B$3:$B$5001,$A$131)))</f>
        <v/>
      </c>
      <c r="J141" s="89" t="str">
        <f>IF(J$3="","",IF(COUNTIFS(Base!$A$3:$A$5001,J$3,Base!$B$3:$B$5001,$A$131,Base!$Z$3:$Z$5001,"&lt;&gt;")=0,"",SUMIFS(Base!$Z$3:$Z$5001,Base!$A$3:$A$5001,J$3,Base!$B$3:$B$5001,$A$131)))</f>
        <v/>
      </c>
      <c r="K141" s="89" t="str">
        <f>IF(K$3="","",IF(COUNTIFS(Base!$A$3:$A$5001,K$3,Base!$B$3:$B$5001,$A$131,Base!$Z$3:$Z$5001,"&lt;&gt;")=0,"",SUMIFS(Base!$Z$3:$Z$5001,Base!$A$3:$A$5001,K$3,Base!$B$3:$B$5001,$A$131)))</f>
        <v/>
      </c>
      <c r="L141" s="89" t="str">
        <f>IF(L$3="","",IF(COUNTIFS(Base!$A$3:$A$5001,L$3,Base!$B$3:$B$5001,$A$131,Base!$Z$3:$Z$5001,"&lt;&gt;")=0,"",SUMIFS(Base!$Z$3:$Z$5001,Base!$A$3:$A$5001,L$3,Base!$B$3:$B$5001,$A$131)))</f>
        <v/>
      </c>
      <c r="M141" s="89" t="str">
        <f>IF(M$3="","",IF(COUNTIFS(Base!$A$3:$A$5001,M$3,Base!$B$3:$B$5001,$A$131,Base!$Z$3:$Z$5001,"&lt;&gt;")=0,"",SUMIFS(Base!$Z$3:$Z$5001,Base!$A$3:$A$5001,M$3,Base!$B$3:$B$5001,$A$131)))</f>
        <v/>
      </c>
      <c r="N141" s="89" t="str">
        <f>IF(N$3="","",IF(COUNTIFS(Base!$A$3:$A$5001,N$3,Base!$B$3:$B$5001,$A$131,Base!$Z$3:$Z$5001,"&lt;&gt;")=0,"",SUMIFS(Base!$Z$3:$Z$5001,Base!$A$3:$A$5001,N$3,Base!$B$3:$B$5001,$A$131)))</f>
        <v/>
      </c>
      <c r="O141" s="89" t="str">
        <f>IF(O$3="","",IF(COUNTIFS(Base!$A$3:$A$5001,O$3,Base!$B$3:$B$5001,$A$131,Base!$Z$3:$Z$5001,"&lt;&gt;")=0,"",SUMIFS(Base!$Z$3:$Z$5001,Base!$A$3:$A$5001,O$3,Base!$B$3:$B$5001,$A$131)))</f>
        <v/>
      </c>
      <c r="P141" s="89" t="str">
        <f>IF(P$3="","",IF(COUNTIFS(Base!$A$3:$A$5001,P$3,Base!$B$3:$B$5001,$A$131,Base!$Z$3:$Z$5001,"&lt;&gt;")=0,"",SUMIFS(Base!$Z$3:$Z$5001,Base!$A$3:$A$5001,P$3,Base!$B$3:$B$5001,$A$131)))</f>
        <v/>
      </c>
      <c r="Q141" s="89" t="str">
        <f>IF(Q$3="","",IF(COUNTIFS(Base!$A$3:$A$5001,Q$3,Base!$B$3:$B$5001,$A$131,Base!$Z$3:$Z$5001,"&lt;&gt;")=0,"",SUMIFS(Base!$Z$3:$Z$5001,Base!$A$3:$A$5001,Q$3,Base!$B$3:$B$5001,$A$131)))</f>
        <v/>
      </c>
      <c r="R141" s="89" t="str">
        <f>IF(R$3="","",IF(COUNTIFS(Base!$A$3:$A$5001,R$3,Base!$B$3:$B$5001,$A$131,Base!$Z$3:$Z$5001,"&lt;&gt;")=0,"",SUMIFS(Base!$Z$3:$Z$5001,Base!$A$3:$A$5001,R$3,Base!$B$3:$B$5001,$A$131)))</f>
        <v/>
      </c>
      <c r="S141" s="89" t="str">
        <f>IF(S$3="","",IF(COUNTIFS(Base!$A$3:$A$5001,S$3,Base!$B$3:$B$5001,$A$131,Base!$Z$3:$Z$5001,"&lt;&gt;")=0,"",SUMIFS(Base!$Z$3:$Z$5001,Base!$A$3:$A$5001,S$3,Base!$B$3:$B$5001,$A$131)))</f>
        <v/>
      </c>
      <c r="T141" s="89" t="str">
        <f>IF(T$3="","",IF(COUNTIFS(Base!$A$3:$A$5001,T$3,Base!$B$3:$B$5001,$A$131,Base!$Z$3:$Z$5001,"&lt;&gt;")=0,"",SUMIFS(Base!$Z$3:$Z$5001,Base!$A$3:$A$5001,T$3,Base!$B$3:$B$5001,$A$131)))</f>
        <v/>
      </c>
      <c r="U141" s="89" t="str">
        <f>IF(U$3="","",IF(COUNTIFS(Base!$A$3:$A$5001,U$3,Base!$B$3:$B$5001,$A$131,Base!$Z$3:$Z$5001,"&lt;&gt;")=0,"",SUMIFS(Base!$Z$3:$Z$5001,Base!$A$3:$A$5001,U$3,Base!$B$3:$B$5001,$A$131)))</f>
        <v/>
      </c>
      <c r="V141" s="89" t="str">
        <f>IF(V$3="","",IF(COUNTIFS(Base!$A$3:$A$5001,V$3,Base!$B$3:$B$5001,$A$131,Base!$Z$3:$Z$5001,"&lt;&gt;")=0,"",SUMIFS(Base!$Z$3:$Z$5001,Base!$A$3:$A$5001,V$3,Base!$B$3:$B$5001,$A$131)))</f>
        <v/>
      </c>
      <c r="W141" s="89" t="str">
        <f>IF(W$3="","",IF(COUNTIFS(Base!$A$3:$A$5001,W$3,Base!$B$3:$B$5001,$A$131,Base!$Z$3:$Z$5001,"&lt;&gt;")=0,"",SUMIFS(Base!$Z$3:$Z$5001,Base!$A$3:$A$5001,W$3,Base!$B$3:$B$5001,$A$131)))</f>
        <v/>
      </c>
      <c r="X141" s="89" t="str">
        <f>IF(X$3="","",IF(COUNTIFS(Base!$A$3:$A$5001,X$3,Base!$B$3:$B$5001,$A$131,Base!$Z$3:$Z$5001,"&lt;&gt;")=0,"",SUMIFS(Base!$Z$3:$Z$5001,Base!$A$3:$A$5001,X$3,Base!$B$3:$B$5001,$A$131)))</f>
        <v/>
      </c>
      <c r="Y141" s="89" t="str">
        <f>IF(Y$3="","",IF(COUNTIFS(Base!$A$3:$A$5001,Y$3,Base!$B$3:$B$5001,$A$131,Base!$Z$3:$Z$5001,"&lt;&gt;")=0,"",SUMIFS(Base!$Z$3:$Z$5001,Base!$A$3:$A$5001,Y$3,Base!$B$3:$B$5001,$A$131)))</f>
        <v/>
      </c>
      <c r="Z141" s="89" t="str">
        <f>IF(Z$3="","",IF(COUNTIFS(Base!$A$3:$A$5001,Z$3,Base!$B$3:$B$5001,$A$131,Base!$Z$3:$Z$5001,"&lt;&gt;")=0,"",SUMIFS(Base!$Z$3:$Z$5001,Base!$A$3:$A$5001,Z$3,Base!$B$3:$B$5001,$A$131)))</f>
        <v/>
      </c>
      <c r="AA141" s="89" t="str">
        <f>IF(AA$3="","",IF(COUNTIFS(Base!$A$3:$A$5001,AA$3,Base!$B$3:$B$5001,$A$131,Base!$Z$3:$Z$5001,"&lt;&gt;")=0,"",SUMIFS(Base!$Z$3:$Z$5001,Base!$A$3:$A$5001,AA$3,Base!$B$3:$B$5001,$A$131)))</f>
        <v/>
      </c>
      <c r="AB141" s="89" t="str">
        <f>IF(AB$3="","",IF(COUNTIFS(Base!$A$3:$A$5001,AB$3,Base!$B$3:$B$5001,$A$131,Base!$Z$3:$Z$5001,"&lt;&gt;")=0,"",SUMIFS(Base!$Z$3:$Z$5001,Base!$A$3:$A$5001,AB$3,Base!$B$3:$B$5001,$A$131)))</f>
        <v/>
      </c>
      <c r="AC141" s="89" t="str">
        <f>IF(AC$3="","",IF(COUNTIFS(Base!$A$3:$A$5001,AC$3,Base!$B$3:$B$5001,$A$131,Base!$Z$3:$Z$5001,"&lt;&gt;")=0,"",SUMIFS(Base!$Z$3:$Z$5001,Base!$A$3:$A$5001,AC$3,Base!$B$3:$B$5001,$A$131)))</f>
        <v/>
      </c>
      <c r="AD141" s="89" t="str">
        <f>IF(AD$3="","",IF(COUNTIFS(Base!$A$3:$A$5001,AD$3,Base!$B$3:$B$5001,$A$131,Base!$Z$3:$Z$5001,"&lt;&gt;")=0,"",SUMIFS(Base!$Z$3:$Z$5001,Base!$A$3:$A$5001,AD$3,Base!$B$3:$B$5001,$A$131)))</f>
        <v/>
      </c>
      <c r="AE141" s="89" t="str">
        <f>IF(AE$3="","",IF(COUNTIFS(Base!$A$3:$A$5001,AE$3,Base!$B$3:$B$5001,$A$131,Base!$Z$3:$Z$5001,"&lt;&gt;")=0,"",SUMIFS(Base!$Z$3:$Z$5001,Base!$A$3:$A$5001,AE$3,Base!$B$3:$B$5001,$A$131)))</f>
        <v/>
      </c>
      <c r="AF141" s="89" t="str">
        <f>IF(AF$3="","",IF(COUNTIFS(Base!$A$3:$A$5001,AF$3,Base!$B$3:$B$5001,$A$131,Base!$Z$3:$Z$5001,"&lt;&gt;")=0,"",SUMIFS(Base!$Z$3:$Z$5001,Base!$A$3:$A$5001,AF$3,Base!$B$3:$B$5001,$A$131)))</f>
        <v/>
      </c>
      <c r="AG141" s="89" t="str">
        <f>IF(AG$3="","",IF(COUNTIFS(Base!$A$3:$A$5001,AG$3,Base!$B$3:$B$5001,$A$131,Base!$Z$3:$Z$5001,"&lt;&gt;")=0,"",SUMIFS(Base!$Z$3:$Z$5001,Base!$A$3:$A$5001,AG$3,Base!$B$3:$B$5001,$A$131)))</f>
        <v/>
      </c>
      <c r="AH141" s="89" t="str">
        <f>IF(AH$3="","",IF(COUNTIFS(Base!$A$3:$A$5001,AH$3,Base!$B$3:$B$5001,$A$131,Base!$Z$3:$Z$5001,"&lt;&gt;")=0,"",SUMIFS(Base!$Z$3:$Z$5001,Base!$A$3:$A$5001,AH$3,Base!$B$3:$B$5001,$A$131)))</f>
        <v/>
      </c>
      <c r="AI141" s="89" t="str">
        <f>IF(AI$3="","",IF(COUNTIFS(Base!$A$3:$A$5001,AI$3,Base!$B$3:$B$5001,$A$131,Base!$Z$3:$Z$5001,"&lt;&gt;")=0,"",SUMIFS(Base!$Z$3:$Z$5001,Base!$A$3:$A$5001,AI$3,Base!$B$3:$B$5001,$A$131)))</f>
        <v/>
      </c>
      <c r="AJ141" s="90" t="str">
        <f>IF(AJ$3="","",IF(COUNTIFS(Base!$A$3:$A$5001,AJ$3,Base!$B$3:$B$5001,$A$131,Base!$Z$3:$Z$5001,"&lt;&gt;")=0,"",SUMIFS(Base!$Z$3:$Z$5001,Base!$A$3:$A$5001,AJ$3,Base!$B$3:$B$5001,$A$131)))</f>
        <v/>
      </c>
      <c r="AK141" s="91" t="str">
        <f>IFERROR(LOOKUP(9.99E+307,F141:AJ141),"")</f>
        <v/>
      </c>
    </row>
    <row r="142" ht="15.75" customHeight="1">
      <c r="A142" s="118"/>
      <c r="B142" s="115"/>
      <c r="C142" s="92" t="inlineStr">
        <is>
          <t xml:space="preserve">Falta</t>
        </is>
      </c>
      <c r="D142" s="93" t="str">
        <f>IFERROR(1/(1/INDEX(calculos!$C$55:$K$83,MATCH("Falta",calculos!$A$55:$A$83,0),MATCH($A$131,calculos!$C$54:$K$54,0))),"")</f>
        <v/>
      </c>
      <c r="E142" s="94"/>
      <c r="F142" s="95" t="str">
        <f>IF(F$3="","",IF(COUNTIFS(Base!$A$3:$A$5001,F$3,Base!$B$3:$B$5001,$A$131,Base!$AA$3:$AA$5001,"&lt;&gt;")=0,"",SUMIFS(Base!$AA$3:$AA$5001,Base!$A$3:$A$5001,F$3,Base!$B$3:$B$5001,$A$131)))</f>
        <v/>
      </c>
      <c r="G142" s="96" t="str">
        <f>IF(G$3="","",IF(COUNTIFS(Base!$A$3:$A$5001,G$3,Base!$B$3:$B$5001,$A$131,Base!$AA$3:$AA$5001,"&lt;&gt;")=0,"",SUMIFS(Base!$AA$3:$AA$5001,Base!$A$3:$A$5001,G$3,Base!$B$3:$B$5001,$A$131)))</f>
        <v/>
      </c>
      <c r="H142" s="96" t="str">
        <f>IF(H$3="","",IF(COUNTIFS(Base!$A$3:$A$5001,H$3,Base!$B$3:$B$5001,$A$131,Base!$AA$3:$AA$5001,"&lt;&gt;")=0,"",SUMIFS(Base!$AA$3:$AA$5001,Base!$A$3:$A$5001,H$3,Base!$B$3:$B$5001,$A$131)))</f>
        <v/>
      </c>
      <c r="I142" s="96" t="str">
        <f>IF(I$3="","",IF(COUNTIFS(Base!$A$3:$A$5001,I$3,Base!$B$3:$B$5001,$A$131,Base!$AA$3:$AA$5001,"&lt;&gt;")=0,"",SUMIFS(Base!$AA$3:$AA$5001,Base!$A$3:$A$5001,I$3,Base!$B$3:$B$5001,$A$131)))</f>
        <v/>
      </c>
      <c r="J142" s="96" t="str">
        <f>IF(J$3="","",IF(COUNTIFS(Base!$A$3:$A$5001,J$3,Base!$B$3:$B$5001,$A$131,Base!$AA$3:$AA$5001,"&lt;&gt;")=0,"",SUMIFS(Base!$AA$3:$AA$5001,Base!$A$3:$A$5001,J$3,Base!$B$3:$B$5001,$A$131)))</f>
        <v/>
      </c>
      <c r="K142" s="96" t="str">
        <f>IF(K$3="","",IF(COUNTIFS(Base!$A$3:$A$5001,K$3,Base!$B$3:$B$5001,$A$131,Base!$AA$3:$AA$5001,"&lt;&gt;")=0,"",SUMIFS(Base!$AA$3:$AA$5001,Base!$A$3:$A$5001,K$3,Base!$B$3:$B$5001,$A$131)))</f>
        <v/>
      </c>
      <c r="L142" s="96" t="str">
        <f>IF(L$3="","",IF(COUNTIFS(Base!$A$3:$A$5001,L$3,Base!$B$3:$B$5001,$A$131,Base!$AA$3:$AA$5001,"&lt;&gt;")=0,"",SUMIFS(Base!$AA$3:$AA$5001,Base!$A$3:$A$5001,L$3,Base!$B$3:$B$5001,$A$131)))</f>
        <v/>
      </c>
      <c r="M142" s="96" t="str">
        <f>IF(M$3="","",IF(COUNTIFS(Base!$A$3:$A$5001,M$3,Base!$B$3:$B$5001,$A$131,Base!$AA$3:$AA$5001,"&lt;&gt;")=0,"",SUMIFS(Base!$AA$3:$AA$5001,Base!$A$3:$A$5001,M$3,Base!$B$3:$B$5001,$A$131)))</f>
        <v/>
      </c>
      <c r="N142" s="96" t="str">
        <f>IF(N$3="","",IF(COUNTIFS(Base!$A$3:$A$5001,N$3,Base!$B$3:$B$5001,$A$131,Base!$AA$3:$AA$5001,"&lt;&gt;")=0,"",SUMIFS(Base!$AA$3:$AA$5001,Base!$A$3:$A$5001,N$3,Base!$B$3:$B$5001,$A$131)))</f>
        <v/>
      </c>
      <c r="O142" s="96" t="str">
        <f>IF(O$3="","",IF(COUNTIFS(Base!$A$3:$A$5001,O$3,Base!$B$3:$B$5001,$A$131,Base!$AA$3:$AA$5001,"&lt;&gt;")=0,"",SUMIFS(Base!$AA$3:$AA$5001,Base!$A$3:$A$5001,O$3,Base!$B$3:$B$5001,$A$131)))</f>
        <v/>
      </c>
      <c r="P142" s="96" t="str">
        <f>IF(P$3="","",IF(COUNTIFS(Base!$A$3:$A$5001,P$3,Base!$B$3:$B$5001,$A$131,Base!$AA$3:$AA$5001,"&lt;&gt;")=0,"",SUMIFS(Base!$AA$3:$AA$5001,Base!$A$3:$A$5001,P$3,Base!$B$3:$B$5001,$A$131)))</f>
        <v/>
      </c>
      <c r="Q142" s="96" t="str">
        <f>IF(Q$3="","",IF(COUNTIFS(Base!$A$3:$A$5001,Q$3,Base!$B$3:$B$5001,$A$131,Base!$AA$3:$AA$5001,"&lt;&gt;")=0,"",SUMIFS(Base!$AA$3:$AA$5001,Base!$A$3:$A$5001,Q$3,Base!$B$3:$B$5001,$A$131)))</f>
        <v/>
      </c>
      <c r="R142" s="96" t="str">
        <f>IF(R$3="","",IF(COUNTIFS(Base!$A$3:$A$5001,R$3,Base!$B$3:$B$5001,$A$131,Base!$AA$3:$AA$5001,"&lt;&gt;")=0,"",SUMIFS(Base!$AA$3:$AA$5001,Base!$A$3:$A$5001,R$3,Base!$B$3:$B$5001,$A$131)))</f>
        <v/>
      </c>
      <c r="S142" s="96" t="str">
        <f>IF(S$3="","",IF(COUNTIFS(Base!$A$3:$A$5001,S$3,Base!$B$3:$B$5001,$A$131,Base!$AA$3:$AA$5001,"&lt;&gt;")=0,"",SUMIFS(Base!$AA$3:$AA$5001,Base!$A$3:$A$5001,S$3,Base!$B$3:$B$5001,$A$131)))</f>
        <v/>
      </c>
      <c r="T142" s="96" t="str">
        <f>IF(T$3="","",IF(COUNTIFS(Base!$A$3:$A$5001,T$3,Base!$B$3:$B$5001,$A$131,Base!$AA$3:$AA$5001,"&lt;&gt;")=0,"",SUMIFS(Base!$AA$3:$AA$5001,Base!$A$3:$A$5001,T$3,Base!$B$3:$B$5001,$A$131)))</f>
        <v/>
      </c>
      <c r="U142" s="96" t="str">
        <f>IF(U$3="","",IF(COUNTIFS(Base!$A$3:$A$5001,U$3,Base!$B$3:$B$5001,$A$131,Base!$AA$3:$AA$5001,"&lt;&gt;")=0,"",SUMIFS(Base!$AA$3:$AA$5001,Base!$A$3:$A$5001,U$3,Base!$B$3:$B$5001,$A$131)))</f>
        <v/>
      </c>
      <c r="V142" s="96" t="str">
        <f>IF(V$3="","",IF(COUNTIFS(Base!$A$3:$A$5001,V$3,Base!$B$3:$B$5001,$A$131,Base!$AA$3:$AA$5001,"&lt;&gt;")=0,"",SUMIFS(Base!$AA$3:$AA$5001,Base!$A$3:$A$5001,V$3,Base!$B$3:$B$5001,$A$131)))</f>
        <v/>
      </c>
      <c r="W142" s="96" t="str">
        <f>IF(W$3="","",IF(COUNTIFS(Base!$A$3:$A$5001,W$3,Base!$B$3:$B$5001,$A$131,Base!$AA$3:$AA$5001,"&lt;&gt;")=0,"",SUMIFS(Base!$AA$3:$AA$5001,Base!$A$3:$A$5001,W$3,Base!$B$3:$B$5001,$A$131)))</f>
        <v/>
      </c>
      <c r="X142" s="96" t="str">
        <f>IF(X$3="","",IF(COUNTIFS(Base!$A$3:$A$5001,X$3,Base!$B$3:$B$5001,$A$131,Base!$AA$3:$AA$5001,"&lt;&gt;")=0,"",SUMIFS(Base!$AA$3:$AA$5001,Base!$A$3:$A$5001,X$3,Base!$B$3:$B$5001,$A$131)))</f>
        <v/>
      </c>
      <c r="Y142" s="96" t="str">
        <f>IF(Y$3="","",IF(COUNTIFS(Base!$A$3:$A$5001,Y$3,Base!$B$3:$B$5001,$A$131,Base!$AA$3:$AA$5001,"&lt;&gt;")=0,"",SUMIFS(Base!$AA$3:$AA$5001,Base!$A$3:$A$5001,Y$3,Base!$B$3:$B$5001,$A$131)))</f>
        <v/>
      </c>
      <c r="Z142" s="96" t="str">
        <f>IF(Z$3="","",IF(COUNTIFS(Base!$A$3:$A$5001,Z$3,Base!$B$3:$B$5001,$A$131,Base!$AA$3:$AA$5001,"&lt;&gt;")=0,"",SUMIFS(Base!$AA$3:$AA$5001,Base!$A$3:$A$5001,Z$3,Base!$B$3:$B$5001,$A$131)))</f>
        <v/>
      </c>
      <c r="AA142" s="96" t="str">
        <f>IF(AA$3="","",IF(COUNTIFS(Base!$A$3:$A$5001,AA$3,Base!$B$3:$B$5001,$A$131,Base!$AA$3:$AA$5001,"&lt;&gt;")=0,"",SUMIFS(Base!$AA$3:$AA$5001,Base!$A$3:$A$5001,AA$3,Base!$B$3:$B$5001,$A$131)))</f>
        <v/>
      </c>
      <c r="AB142" s="96" t="str">
        <f>IF(AB$3="","",IF(COUNTIFS(Base!$A$3:$A$5001,AB$3,Base!$B$3:$B$5001,$A$131,Base!$AA$3:$AA$5001,"&lt;&gt;")=0,"",SUMIFS(Base!$AA$3:$AA$5001,Base!$A$3:$A$5001,AB$3,Base!$B$3:$B$5001,$A$131)))</f>
        <v/>
      </c>
      <c r="AC142" s="96" t="str">
        <f>IF(AC$3="","",IF(COUNTIFS(Base!$A$3:$A$5001,AC$3,Base!$B$3:$B$5001,$A$131,Base!$AA$3:$AA$5001,"&lt;&gt;")=0,"",SUMIFS(Base!$AA$3:$AA$5001,Base!$A$3:$A$5001,AC$3,Base!$B$3:$B$5001,$A$131)))</f>
        <v/>
      </c>
      <c r="AD142" s="96" t="str">
        <f>IF(AD$3="","",IF(COUNTIFS(Base!$A$3:$A$5001,AD$3,Base!$B$3:$B$5001,$A$131,Base!$AA$3:$AA$5001,"&lt;&gt;")=0,"",SUMIFS(Base!$AA$3:$AA$5001,Base!$A$3:$A$5001,AD$3,Base!$B$3:$B$5001,$A$131)))</f>
        <v/>
      </c>
      <c r="AE142" s="96" t="str">
        <f>IF(AE$3="","",IF(COUNTIFS(Base!$A$3:$A$5001,AE$3,Base!$B$3:$B$5001,$A$131,Base!$AA$3:$AA$5001,"&lt;&gt;")=0,"",SUMIFS(Base!$AA$3:$AA$5001,Base!$A$3:$A$5001,AE$3,Base!$B$3:$B$5001,$A$131)))</f>
        <v/>
      </c>
      <c r="AF142" s="96" t="str">
        <f>IF(AF$3="","",IF(COUNTIFS(Base!$A$3:$A$5001,AF$3,Base!$B$3:$B$5001,$A$131,Base!$AA$3:$AA$5001,"&lt;&gt;")=0,"",SUMIFS(Base!$AA$3:$AA$5001,Base!$A$3:$A$5001,AF$3,Base!$B$3:$B$5001,$A$131)))</f>
        <v/>
      </c>
      <c r="AG142" s="96" t="str">
        <f>IF(AG$3="","",IF(COUNTIFS(Base!$A$3:$A$5001,AG$3,Base!$B$3:$B$5001,$A$131,Base!$AA$3:$AA$5001,"&lt;&gt;")=0,"",SUMIFS(Base!$AA$3:$AA$5001,Base!$A$3:$A$5001,AG$3,Base!$B$3:$B$5001,$A$131)))</f>
        <v/>
      </c>
      <c r="AH142" s="96" t="str">
        <f>IF(AH$3="","",IF(COUNTIFS(Base!$A$3:$A$5001,AH$3,Base!$B$3:$B$5001,$A$131,Base!$AA$3:$AA$5001,"&lt;&gt;")=0,"",SUMIFS(Base!$AA$3:$AA$5001,Base!$A$3:$A$5001,AH$3,Base!$B$3:$B$5001,$A$131)))</f>
        <v/>
      </c>
      <c r="AI142" s="96" t="str">
        <f>IF(AI$3="","",IF(COUNTIFS(Base!$A$3:$A$5001,AI$3,Base!$B$3:$B$5001,$A$131,Base!$AA$3:$AA$5001,"&lt;&gt;")=0,"",SUMIFS(Base!$AA$3:$AA$5001,Base!$A$3:$A$5001,AI$3,Base!$B$3:$B$5001,$A$131)))</f>
        <v/>
      </c>
      <c r="AJ142" s="97" t="str">
        <f>IF(AJ$3="","",IF(COUNTIFS(Base!$A$3:$A$5001,AJ$3,Base!$B$3:$B$5001,$A$131,Base!$AA$3:$AA$5001,"&lt;&gt;")=0,"",SUMIFS(Base!$AA$3:$AA$5001,Base!$A$3:$A$5001,AJ$3,Base!$B$3:$B$5001,$A$131)))</f>
        <v/>
      </c>
      <c r="AK142" s="98" t="str">
        <f>IF(COUNT(F142:AJ142)=0,"",SUM(F142:AJ142))</f>
        <v/>
      </c>
    </row>
    <row r="143" ht="15.75" customHeight="1">
      <c r="A143" s="118"/>
      <c r="B143" s="115"/>
      <c r="C143" s="92" t="inlineStr">
        <is>
          <t xml:space="preserve">Folga</t>
        </is>
      </c>
      <c r="D143" s="93" t="str">
        <f>IFERROR(1/(1/INDEX(calculos!$C$55:$K$83,MATCH("Folga",calculos!$A$55:$A$83,0),MATCH($A$131,calculos!$C$54:$K$54,0))),"")</f>
        <v/>
      </c>
      <c r="E143" s="94"/>
      <c r="F143" s="95" t="str">
        <f>IF(F$3="","",IF(COUNTIFS(Base!$A$3:$A$5001,F$3,Base!$B$3:$B$5001,$A$131,Base!$AB$3:$AB$5001,"&lt;&gt;")=0,"",SUMIFS(Base!$AB$3:$AB$5001,Base!$A$3:$A$5001,F$3,Base!$B$3:$B$5001,$A$131)))</f>
        <v/>
      </c>
      <c r="G143" s="96" t="str">
        <f>IF(G$3="","",IF(COUNTIFS(Base!$A$3:$A$5001,G$3,Base!$B$3:$B$5001,$A$131,Base!$AB$3:$AB$5001,"&lt;&gt;")=0,"",SUMIFS(Base!$AB$3:$AB$5001,Base!$A$3:$A$5001,G$3,Base!$B$3:$B$5001,$A$131)))</f>
        <v/>
      </c>
      <c r="H143" s="96" t="str">
        <f>IF(H$3="","",IF(COUNTIFS(Base!$A$3:$A$5001,H$3,Base!$B$3:$B$5001,$A$131,Base!$AB$3:$AB$5001,"&lt;&gt;")=0,"",SUMIFS(Base!$AB$3:$AB$5001,Base!$A$3:$A$5001,H$3,Base!$B$3:$B$5001,$A$131)))</f>
        <v/>
      </c>
      <c r="I143" s="96" t="str">
        <f>IF(I$3="","",IF(COUNTIFS(Base!$A$3:$A$5001,I$3,Base!$B$3:$B$5001,$A$131,Base!$AB$3:$AB$5001,"&lt;&gt;")=0,"",SUMIFS(Base!$AB$3:$AB$5001,Base!$A$3:$A$5001,I$3,Base!$B$3:$B$5001,$A$131)))</f>
        <v/>
      </c>
      <c r="J143" s="96" t="str">
        <f>IF(J$3="","",IF(COUNTIFS(Base!$A$3:$A$5001,J$3,Base!$B$3:$B$5001,$A$131,Base!$AB$3:$AB$5001,"&lt;&gt;")=0,"",SUMIFS(Base!$AB$3:$AB$5001,Base!$A$3:$A$5001,J$3,Base!$B$3:$B$5001,$A$131)))</f>
        <v/>
      </c>
      <c r="K143" s="96" t="str">
        <f>IF(K$3="","",IF(COUNTIFS(Base!$A$3:$A$5001,K$3,Base!$B$3:$B$5001,$A$131,Base!$AB$3:$AB$5001,"&lt;&gt;")=0,"",SUMIFS(Base!$AB$3:$AB$5001,Base!$A$3:$A$5001,K$3,Base!$B$3:$B$5001,$A$131)))</f>
        <v/>
      </c>
      <c r="L143" s="96" t="str">
        <f>IF(L$3="","",IF(COUNTIFS(Base!$A$3:$A$5001,L$3,Base!$B$3:$B$5001,$A$131,Base!$AB$3:$AB$5001,"&lt;&gt;")=0,"",SUMIFS(Base!$AB$3:$AB$5001,Base!$A$3:$A$5001,L$3,Base!$B$3:$B$5001,$A$131)))</f>
        <v/>
      </c>
      <c r="M143" s="96" t="str">
        <f>IF(M$3="","",IF(COUNTIFS(Base!$A$3:$A$5001,M$3,Base!$B$3:$B$5001,$A$131,Base!$AB$3:$AB$5001,"&lt;&gt;")=0,"",SUMIFS(Base!$AB$3:$AB$5001,Base!$A$3:$A$5001,M$3,Base!$B$3:$B$5001,$A$131)))</f>
        <v/>
      </c>
      <c r="N143" s="96" t="str">
        <f>IF(N$3="","",IF(COUNTIFS(Base!$A$3:$A$5001,N$3,Base!$B$3:$B$5001,$A$131,Base!$AB$3:$AB$5001,"&lt;&gt;")=0,"",SUMIFS(Base!$AB$3:$AB$5001,Base!$A$3:$A$5001,N$3,Base!$B$3:$B$5001,$A$131)))</f>
        <v/>
      </c>
      <c r="O143" s="96" t="str">
        <f>IF(O$3="","",IF(COUNTIFS(Base!$A$3:$A$5001,O$3,Base!$B$3:$B$5001,$A$131,Base!$AB$3:$AB$5001,"&lt;&gt;")=0,"",SUMIFS(Base!$AB$3:$AB$5001,Base!$A$3:$A$5001,O$3,Base!$B$3:$B$5001,$A$131)))</f>
        <v/>
      </c>
      <c r="P143" s="96" t="str">
        <f>IF(P$3="","",IF(COUNTIFS(Base!$A$3:$A$5001,P$3,Base!$B$3:$B$5001,$A$131,Base!$AB$3:$AB$5001,"&lt;&gt;")=0,"",SUMIFS(Base!$AB$3:$AB$5001,Base!$A$3:$A$5001,P$3,Base!$B$3:$B$5001,$A$131)))</f>
        <v/>
      </c>
      <c r="Q143" s="96" t="str">
        <f>IF(Q$3="","",IF(COUNTIFS(Base!$A$3:$A$5001,Q$3,Base!$B$3:$B$5001,$A$131,Base!$AB$3:$AB$5001,"&lt;&gt;")=0,"",SUMIFS(Base!$AB$3:$AB$5001,Base!$A$3:$A$5001,Q$3,Base!$B$3:$B$5001,$A$131)))</f>
        <v/>
      </c>
      <c r="R143" s="96" t="str">
        <f>IF(R$3="","",IF(COUNTIFS(Base!$A$3:$A$5001,R$3,Base!$B$3:$B$5001,$A$131,Base!$AB$3:$AB$5001,"&lt;&gt;")=0,"",SUMIFS(Base!$AB$3:$AB$5001,Base!$A$3:$A$5001,R$3,Base!$B$3:$B$5001,$A$131)))</f>
        <v/>
      </c>
      <c r="S143" s="96" t="str">
        <f>IF(S$3="","",IF(COUNTIFS(Base!$A$3:$A$5001,S$3,Base!$B$3:$B$5001,$A$131,Base!$AB$3:$AB$5001,"&lt;&gt;")=0,"",SUMIFS(Base!$AB$3:$AB$5001,Base!$A$3:$A$5001,S$3,Base!$B$3:$B$5001,$A$131)))</f>
        <v/>
      </c>
      <c r="T143" s="96" t="str">
        <f>IF(T$3="","",IF(COUNTIFS(Base!$A$3:$A$5001,T$3,Base!$B$3:$B$5001,$A$131,Base!$AB$3:$AB$5001,"&lt;&gt;")=0,"",SUMIFS(Base!$AB$3:$AB$5001,Base!$A$3:$A$5001,T$3,Base!$B$3:$B$5001,$A$131)))</f>
        <v/>
      </c>
      <c r="U143" s="96" t="str">
        <f>IF(U$3="","",IF(COUNTIFS(Base!$A$3:$A$5001,U$3,Base!$B$3:$B$5001,$A$131,Base!$AB$3:$AB$5001,"&lt;&gt;")=0,"",SUMIFS(Base!$AB$3:$AB$5001,Base!$A$3:$A$5001,U$3,Base!$B$3:$B$5001,$A$131)))</f>
        <v/>
      </c>
      <c r="V143" s="96" t="str">
        <f>IF(V$3="","",IF(COUNTIFS(Base!$A$3:$A$5001,V$3,Base!$B$3:$B$5001,$A$131,Base!$AB$3:$AB$5001,"&lt;&gt;")=0,"",SUMIFS(Base!$AB$3:$AB$5001,Base!$A$3:$A$5001,V$3,Base!$B$3:$B$5001,$A$131)))</f>
        <v/>
      </c>
      <c r="W143" s="96" t="str">
        <f>IF(W$3="","",IF(COUNTIFS(Base!$A$3:$A$5001,W$3,Base!$B$3:$B$5001,$A$131,Base!$AB$3:$AB$5001,"&lt;&gt;")=0,"",SUMIFS(Base!$AB$3:$AB$5001,Base!$A$3:$A$5001,W$3,Base!$B$3:$B$5001,$A$131)))</f>
        <v/>
      </c>
      <c r="X143" s="96" t="str">
        <f>IF(X$3="","",IF(COUNTIFS(Base!$A$3:$A$5001,X$3,Base!$B$3:$B$5001,$A$131,Base!$AB$3:$AB$5001,"&lt;&gt;")=0,"",SUMIFS(Base!$AB$3:$AB$5001,Base!$A$3:$A$5001,X$3,Base!$B$3:$B$5001,$A$131)))</f>
        <v/>
      </c>
      <c r="Y143" s="96" t="str">
        <f>IF(Y$3="","",IF(COUNTIFS(Base!$A$3:$A$5001,Y$3,Base!$B$3:$B$5001,$A$131,Base!$AB$3:$AB$5001,"&lt;&gt;")=0,"",SUMIFS(Base!$AB$3:$AB$5001,Base!$A$3:$A$5001,Y$3,Base!$B$3:$B$5001,$A$131)))</f>
        <v/>
      </c>
      <c r="Z143" s="96" t="str">
        <f>IF(Z$3="","",IF(COUNTIFS(Base!$A$3:$A$5001,Z$3,Base!$B$3:$B$5001,$A$131,Base!$AB$3:$AB$5001,"&lt;&gt;")=0,"",SUMIFS(Base!$AB$3:$AB$5001,Base!$A$3:$A$5001,Z$3,Base!$B$3:$B$5001,$A$131)))</f>
        <v/>
      </c>
      <c r="AA143" s="96" t="str">
        <f>IF(AA$3="","",IF(COUNTIFS(Base!$A$3:$A$5001,AA$3,Base!$B$3:$B$5001,$A$131,Base!$AB$3:$AB$5001,"&lt;&gt;")=0,"",SUMIFS(Base!$AB$3:$AB$5001,Base!$A$3:$A$5001,AA$3,Base!$B$3:$B$5001,$A$131)))</f>
        <v/>
      </c>
      <c r="AB143" s="96" t="str">
        <f>IF(AB$3="","",IF(COUNTIFS(Base!$A$3:$A$5001,AB$3,Base!$B$3:$B$5001,$A$131,Base!$AB$3:$AB$5001,"&lt;&gt;")=0,"",SUMIFS(Base!$AB$3:$AB$5001,Base!$A$3:$A$5001,AB$3,Base!$B$3:$B$5001,$A$131)))</f>
        <v/>
      </c>
      <c r="AC143" s="96" t="str">
        <f>IF(AC$3="","",IF(COUNTIFS(Base!$A$3:$A$5001,AC$3,Base!$B$3:$B$5001,$A$131,Base!$AB$3:$AB$5001,"&lt;&gt;")=0,"",SUMIFS(Base!$AB$3:$AB$5001,Base!$A$3:$A$5001,AC$3,Base!$B$3:$B$5001,$A$131)))</f>
        <v/>
      </c>
      <c r="AD143" s="96" t="str">
        <f>IF(AD$3="","",IF(COUNTIFS(Base!$A$3:$A$5001,AD$3,Base!$B$3:$B$5001,$A$131,Base!$AB$3:$AB$5001,"&lt;&gt;")=0,"",SUMIFS(Base!$AB$3:$AB$5001,Base!$A$3:$A$5001,AD$3,Base!$B$3:$B$5001,$A$131)))</f>
        <v/>
      </c>
      <c r="AE143" s="96" t="str">
        <f>IF(AE$3="","",IF(COUNTIFS(Base!$A$3:$A$5001,AE$3,Base!$B$3:$B$5001,$A$131,Base!$AB$3:$AB$5001,"&lt;&gt;")=0,"",SUMIFS(Base!$AB$3:$AB$5001,Base!$A$3:$A$5001,AE$3,Base!$B$3:$B$5001,$A$131)))</f>
        <v/>
      </c>
      <c r="AF143" s="96" t="str">
        <f>IF(AF$3="","",IF(COUNTIFS(Base!$A$3:$A$5001,AF$3,Base!$B$3:$B$5001,$A$131,Base!$AB$3:$AB$5001,"&lt;&gt;")=0,"",SUMIFS(Base!$AB$3:$AB$5001,Base!$A$3:$A$5001,AF$3,Base!$B$3:$B$5001,$A$131)))</f>
        <v/>
      </c>
      <c r="AG143" s="96" t="str">
        <f>IF(AG$3="","",IF(COUNTIFS(Base!$A$3:$A$5001,AG$3,Base!$B$3:$B$5001,$A$131,Base!$AB$3:$AB$5001,"&lt;&gt;")=0,"",SUMIFS(Base!$AB$3:$AB$5001,Base!$A$3:$A$5001,AG$3,Base!$B$3:$B$5001,$A$131)))</f>
        <v/>
      </c>
      <c r="AH143" s="96" t="str">
        <f>IF(AH$3="","",IF(COUNTIFS(Base!$A$3:$A$5001,AH$3,Base!$B$3:$B$5001,$A$131,Base!$AB$3:$AB$5001,"&lt;&gt;")=0,"",SUMIFS(Base!$AB$3:$AB$5001,Base!$A$3:$A$5001,AH$3,Base!$B$3:$B$5001,$A$131)))</f>
        <v/>
      </c>
      <c r="AI143" s="96" t="str">
        <f>IF(AI$3="","",IF(COUNTIFS(Base!$A$3:$A$5001,AI$3,Base!$B$3:$B$5001,$A$131,Base!$AB$3:$AB$5001,"&lt;&gt;")=0,"",SUMIFS(Base!$AB$3:$AB$5001,Base!$A$3:$A$5001,AI$3,Base!$B$3:$B$5001,$A$131)))</f>
        <v/>
      </c>
      <c r="AJ143" s="97" t="str">
        <f>IF(AJ$3="","",IF(COUNTIFS(Base!$A$3:$A$5001,AJ$3,Base!$B$3:$B$5001,$A$131,Base!$AB$3:$AB$5001,"&lt;&gt;")=0,"",SUMIFS(Base!$AB$3:$AB$5001,Base!$A$3:$A$5001,AJ$3,Base!$B$3:$B$5001,$A$131)))</f>
        <v/>
      </c>
      <c r="AK143" s="98" t="str">
        <f>IF(COUNT(F143:AJ143)=0,"",SUM(F143:AJ143))</f>
        <v/>
      </c>
    </row>
    <row r="144" ht="15.75" customHeight="1">
      <c r="A144" s="118"/>
      <c r="B144" s="115"/>
      <c r="C144" s="92" t="inlineStr">
        <is>
          <t xml:space="preserve">Férias</t>
        </is>
      </c>
      <c r="D144" s="93" t="str">
        <f>IFERROR(1/(1/INDEX(calculos!$C$55:$K$83,MATCH("Férias",calculos!$A$55:$A$83,0),MATCH($A$131,calculos!$C$54:$K$54,0))),"")</f>
        <v/>
      </c>
      <c r="E144" s="94"/>
      <c r="F144" s="95" t="str">
        <f>IF(F$3="","",IF(COUNTIFS(Base!$A$3:$A$5001,F$3,Base!$B$3:$B$5001,$A$131,Base!$AC$3:$AC$5001,"&lt;&gt;")=0,"",SUMIFS(Base!$AC$3:$AC$5001,Base!$A$3:$A$5001,F$3,Base!$B$3:$B$5001,$A$131)))</f>
        <v/>
      </c>
      <c r="G144" s="96" t="str">
        <f>IF(G$3="","",IF(COUNTIFS(Base!$A$3:$A$5001,G$3,Base!$B$3:$B$5001,$A$131,Base!$AC$3:$AC$5001,"&lt;&gt;")=0,"",SUMIFS(Base!$AC$3:$AC$5001,Base!$A$3:$A$5001,G$3,Base!$B$3:$B$5001,$A$131)))</f>
        <v/>
      </c>
      <c r="H144" s="96" t="str">
        <f>IF(H$3="","",IF(COUNTIFS(Base!$A$3:$A$5001,H$3,Base!$B$3:$B$5001,$A$131,Base!$AC$3:$AC$5001,"&lt;&gt;")=0,"",SUMIFS(Base!$AC$3:$AC$5001,Base!$A$3:$A$5001,H$3,Base!$B$3:$B$5001,$A$131)))</f>
        <v/>
      </c>
      <c r="I144" s="96" t="str">
        <f>IF(I$3="","",IF(COUNTIFS(Base!$A$3:$A$5001,I$3,Base!$B$3:$B$5001,$A$131,Base!$AC$3:$AC$5001,"&lt;&gt;")=0,"",SUMIFS(Base!$AC$3:$AC$5001,Base!$A$3:$A$5001,I$3,Base!$B$3:$B$5001,$A$131)))</f>
        <v/>
      </c>
      <c r="J144" s="96" t="str">
        <f>IF(J$3="","",IF(COUNTIFS(Base!$A$3:$A$5001,J$3,Base!$B$3:$B$5001,$A$131,Base!$AC$3:$AC$5001,"&lt;&gt;")=0,"",SUMIFS(Base!$AC$3:$AC$5001,Base!$A$3:$A$5001,J$3,Base!$B$3:$B$5001,$A$131)))</f>
        <v/>
      </c>
      <c r="K144" s="96" t="str">
        <f>IF(K$3="","",IF(COUNTIFS(Base!$A$3:$A$5001,K$3,Base!$B$3:$B$5001,$A$131,Base!$AC$3:$AC$5001,"&lt;&gt;")=0,"",SUMIFS(Base!$AC$3:$AC$5001,Base!$A$3:$A$5001,K$3,Base!$B$3:$B$5001,$A$131)))</f>
        <v/>
      </c>
      <c r="L144" s="96" t="str">
        <f>IF(L$3="","",IF(COUNTIFS(Base!$A$3:$A$5001,L$3,Base!$B$3:$B$5001,$A$131,Base!$AC$3:$AC$5001,"&lt;&gt;")=0,"",SUMIFS(Base!$AC$3:$AC$5001,Base!$A$3:$A$5001,L$3,Base!$B$3:$B$5001,$A$131)))</f>
        <v/>
      </c>
      <c r="M144" s="96" t="str">
        <f>IF(M$3="","",IF(COUNTIFS(Base!$A$3:$A$5001,M$3,Base!$B$3:$B$5001,$A$131,Base!$AC$3:$AC$5001,"&lt;&gt;")=0,"",SUMIFS(Base!$AC$3:$AC$5001,Base!$A$3:$A$5001,M$3,Base!$B$3:$B$5001,$A$131)))</f>
        <v/>
      </c>
      <c r="N144" s="96" t="str">
        <f>IF(N$3="","",IF(COUNTIFS(Base!$A$3:$A$5001,N$3,Base!$B$3:$B$5001,$A$131,Base!$AC$3:$AC$5001,"&lt;&gt;")=0,"",SUMIFS(Base!$AC$3:$AC$5001,Base!$A$3:$A$5001,N$3,Base!$B$3:$B$5001,$A$131)))</f>
        <v/>
      </c>
      <c r="O144" s="96" t="str">
        <f>IF(O$3="","",IF(COUNTIFS(Base!$A$3:$A$5001,O$3,Base!$B$3:$B$5001,$A$131,Base!$AC$3:$AC$5001,"&lt;&gt;")=0,"",SUMIFS(Base!$AC$3:$AC$5001,Base!$A$3:$A$5001,O$3,Base!$B$3:$B$5001,$A$131)))</f>
        <v/>
      </c>
      <c r="P144" s="96" t="str">
        <f>IF(P$3="","",IF(COUNTIFS(Base!$A$3:$A$5001,P$3,Base!$B$3:$B$5001,$A$131,Base!$AC$3:$AC$5001,"&lt;&gt;")=0,"",SUMIFS(Base!$AC$3:$AC$5001,Base!$A$3:$A$5001,P$3,Base!$B$3:$B$5001,$A$131)))</f>
        <v/>
      </c>
      <c r="Q144" s="96" t="str">
        <f>IF(Q$3="","",IF(COUNTIFS(Base!$A$3:$A$5001,Q$3,Base!$B$3:$B$5001,$A$131,Base!$AC$3:$AC$5001,"&lt;&gt;")=0,"",SUMIFS(Base!$AC$3:$AC$5001,Base!$A$3:$A$5001,Q$3,Base!$B$3:$B$5001,$A$131)))</f>
        <v/>
      </c>
      <c r="R144" s="96" t="str">
        <f>IF(R$3="","",IF(COUNTIFS(Base!$A$3:$A$5001,R$3,Base!$B$3:$B$5001,$A$131,Base!$AC$3:$AC$5001,"&lt;&gt;")=0,"",SUMIFS(Base!$AC$3:$AC$5001,Base!$A$3:$A$5001,R$3,Base!$B$3:$B$5001,$A$131)))</f>
        <v/>
      </c>
      <c r="S144" s="96" t="str">
        <f>IF(S$3="","",IF(COUNTIFS(Base!$A$3:$A$5001,S$3,Base!$B$3:$B$5001,$A$131,Base!$AC$3:$AC$5001,"&lt;&gt;")=0,"",SUMIFS(Base!$AC$3:$AC$5001,Base!$A$3:$A$5001,S$3,Base!$B$3:$B$5001,$A$131)))</f>
        <v/>
      </c>
      <c r="T144" s="96" t="str">
        <f>IF(T$3="","",IF(COUNTIFS(Base!$A$3:$A$5001,T$3,Base!$B$3:$B$5001,$A$131,Base!$AC$3:$AC$5001,"&lt;&gt;")=0,"",SUMIFS(Base!$AC$3:$AC$5001,Base!$A$3:$A$5001,T$3,Base!$B$3:$B$5001,$A$131)))</f>
        <v/>
      </c>
      <c r="U144" s="96" t="str">
        <f>IF(U$3="","",IF(COUNTIFS(Base!$A$3:$A$5001,U$3,Base!$B$3:$B$5001,$A$131,Base!$AC$3:$AC$5001,"&lt;&gt;")=0,"",SUMIFS(Base!$AC$3:$AC$5001,Base!$A$3:$A$5001,U$3,Base!$B$3:$B$5001,$A$131)))</f>
        <v/>
      </c>
      <c r="V144" s="96" t="str">
        <f>IF(V$3="","",IF(COUNTIFS(Base!$A$3:$A$5001,V$3,Base!$B$3:$B$5001,$A$131,Base!$AC$3:$AC$5001,"&lt;&gt;")=0,"",SUMIFS(Base!$AC$3:$AC$5001,Base!$A$3:$A$5001,V$3,Base!$B$3:$B$5001,$A$131)))</f>
        <v/>
      </c>
      <c r="W144" s="96" t="str">
        <f>IF(W$3="","",IF(COUNTIFS(Base!$A$3:$A$5001,W$3,Base!$B$3:$B$5001,$A$131,Base!$AC$3:$AC$5001,"&lt;&gt;")=0,"",SUMIFS(Base!$AC$3:$AC$5001,Base!$A$3:$A$5001,W$3,Base!$B$3:$B$5001,$A$131)))</f>
        <v/>
      </c>
      <c r="X144" s="96" t="str">
        <f>IF(X$3="","",IF(COUNTIFS(Base!$A$3:$A$5001,X$3,Base!$B$3:$B$5001,$A$131,Base!$AC$3:$AC$5001,"&lt;&gt;")=0,"",SUMIFS(Base!$AC$3:$AC$5001,Base!$A$3:$A$5001,X$3,Base!$B$3:$B$5001,$A$131)))</f>
        <v/>
      </c>
      <c r="Y144" s="96" t="str">
        <f>IF(Y$3="","",IF(COUNTIFS(Base!$A$3:$A$5001,Y$3,Base!$B$3:$B$5001,$A$131,Base!$AC$3:$AC$5001,"&lt;&gt;")=0,"",SUMIFS(Base!$AC$3:$AC$5001,Base!$A$3:$A$5001,Y$3,Base!$B$3:$B$5001,$A$131)))</f>
        <v/>
      </c>
      <c r="Z144" s="96" t="str">
        <f>IF(Z$3="","",IF(COUNTIFS(Base!$A$3:$A$5001,Z$3,Base!$B$3:$B$5001,$A$131,Base!$AC$3:$AC$5001,"&lt;&gt;")=0,"",SUMIFS(Base!$AC$3:$AC$5001,Base!$A$3:$A$5001,Z$3,Base!$B$3:$B$5001,$A$131)))</f>
        <v/>
      </c>
      <c r="AA144" s="96" t="str">
        <f>IF(AA$3="","",IF(COUNTIFS(Base!$A$3:$A$5001,AA$3,Base!$B$3:$B$5001,$A$131,Base!$AC$3:$AC$5001,"&lt;&gt;")=0,"",SUMIFS(Base!$AC$3:$AC$5001,Base!$A$3:$A$5001,AA$3,Base!$B$3:$B$5001,$A$131)))</f>
        <v/>
      </c>
      <c r="AB144" s="96" t="str">
        <f>IF(AB$3="","",IF(COUNTIFS(Base!$A$3:$A$5001,AB$3,Base!$B$3:$B$5001,$A$131,Base!$AC$3:$AC$5001,"&lt;&gt;")=0,"",SUMIFS(Base!$AC$3:$AC$5001,Base!$A$3:$A$5001,AB$3,Base!$B$3:$B$5001,$A$131)))</f>
        <v/>
      </c>
      <c r="AC144" s="96" t="str">
        <f>IF(AC$3="","",IF(COUNTIFS(Base!$A$3:$A$5001,AC$3,Base!$B$3:$B$5001,$A$131,Base!$AC$3:$AC$5001,"&lt;&gt;")=0,"",SUMIFS(Base!$AC$3:$AC$5001,Base!$A$3:$A$5001,AC$3,Base!$B$3:$B$5001,$A$131)))</f>
        <v/>
      </c>
      <c r="AD144" s="96" t="str">
        <f>IF(AD$3="","",IF(COUNTIFS(Base!$A$3:$A$5001,AD$3,Base!$B$3:$B$5001,$A$131,Base!$AC$3:$AC$5001,"&lt;&gt;")=0,"",SUMIFS(Base!$AC$3:$AC$5001,Base!$A$3:$A$5001,AD$3,Base!$B$3:$B$5001,$A$131)))</f>
        <v/>
      </c>
      <c r="AE144" s="96" t="str">
        <f>IF(AE$3="","",IF(COUNTIFS(Base!$A$3:$A$5001,AE$3,Base!$B$3:$B$5001,$A$131,Base!$AC$3:$AC$5001,"&lt;&gt;")=0,"",SUMIFS(Base!$AC$3:$AC$5001,Base!$A$3:$A$5001,AE$3,Base!$B$3:$B$5001,$A$131)))</f>
        <v/>
      </c>
      <c r="AF144" s="96" t="str">
        <f>IF(AF$3="","",IF(COUNTIFS(Base!$A$3:$A$5001,AF$3,Base!$B$3:$B$5001,$A$131,Base!$AC$3:$AC$5001,"&lt;&gt;")=0,"",SUMIFS(Base!$AC$3:$AC$5001,Base!$A$3:$A$5001,AF$3,Base!$B$3:$B$5001,$A$131)))</f>
        <v/>
      </c>
      <c r="AG144" s="96" t="str">
        <f>IF(AG$3="","",IF(COUNTIFS(Base!$A$3:$A$5001,AG$3,Base!$B$3:$B$5001,$A$131,Base!$AC$3:$AC$5001,"&lt;&gt;")=0,"",SUMIFS(Base!$AC$3:$AC$5001,Base!$A$3:$A$5001,AG$3,Base!$B$3:$B$5001,$A$131)))</f>
        <v/>
      </c>
      <c r="AH144" s="96" t="str">
        <f>IF(AH$3="","",IF(COUNTIFS(Base!$A$3:$A$5001,AH$3,Base!$B$3:$B$5001,$A$131,Base!$AC$3:$AC$5001,"&lt;&gt;")=0,"",SUMIFS(Base!$AC$3:$AC$5001,Base!$A$3:$A$5001,AH$3,Base!$B$3:$B$5001,$A$131)))</f>
        <v/>
      </c>
      <c r="AI144" s="96" t="str">
        <f>IF(AI$3="","",IF(COUNTIFS(Base!$A$3:$A$5001,AI$3,Base!$B$3:$B$5001,$A$131,Base!$AC$3:$AC$5001,"&lt;&gt;")=0,"",SUMIFS(Base!$AC$3:$AC$5001,Base!$A$3:$A$5001,AI$3,Base!$B$3:$B$5001,$A$131)))</f>
        <v/>
      </c>
      <c r="AJ144" s="97" t="str">
        <f>IF(AJ$3="","",IF(COUNTIFS(Base!$A$3:$A$5001,AJ$3,Base!$B$3:$B$5001,$A$131,Base!$AC$3:$AC$5001,"&lt;&gt;")=0,"",SUMIFS(Base!$AC$3:$AC$5001,Base!$A$3:$A$5001,AJ$3,Base!$B$3:$B$5001,$A$131)))</f>
        <v/>
      </c>
      <c r="AK144" s="98" t="str">
        <f>IF(COUNT(F144:AJ144)=0,"",SUM(F144:AJ144))</f>
        <v/>
      </c>
    </row>
    <row r="145" ht="15.75" customHeight="1">
      <c r="A145" s="119"/>
      <c r="B145" s="116"/>
      <c r="C145" s="99" t="inlineStr">
        <is>
          <t xml:space="preserve">Desligamentos</t>
        </is>
      </c>
      <c r="D145" s="100" t="str">
        <f>IFERROR(1/(1/INDEX(calculos!$C$55:$K$83,MATCH("Desligamentos",calculos!$A$55:$A$83,0),MATCH($A$131,calculos!$C$54:$K$54,0))),"")</f>
        <v/>
      </c>
      <c r="E145" s="101"/>
      <c r="F145" s="102" t="str">
        <f>IF(F$3="","",IF(COUNTIFS(Base!$A$3:$A$5001,F$3,Base!$B$3:$B$5001,$A$131,Base!$AD$3:$AD$5001,"&lt;&gt;")=0,"",SUMIFS(Base!$AD$3:$AD$5001,Base!$A$3:$A$5001,F$3,Base!$B$3:$B$5001,$A$131)))</f>
        <v/>
      </c>
      <c r="G145" s="103" t="str">
        <f>IF(G$3="","",IF(COUNTIFS(Base!$A$3:$A$5001,G$3,Base!$B$3:$B$5001,$A$131,Base!$AD$3:$AD$5001,"&lt;&gt;")=0,"",SUMIFS(Base!$AD$3:$AD$5001,Base!$A$3:$A$5001,G$3,Base!$B$3:$B$5001,$A$131)))</f>
        <v/>
      </c>
      <c r="H145" s="103" t="str">
        <f>IF(H$3="","",IF(COUNTIFS(Base!$A$3:$A$5001,H$3,Base!$B$3:$B$5001,$A$131,Base!$AD$3:$AD$5001,"&lt;&gt;")=0,"",SUMIFS(Base!$AD$3:$AD$5001,Base!$A$3:$A$5001,H$3,Base!$B$3:$B$5001,$A$131)))</f>
        <v/>
      </c>
      <c r="I145" s="103" t="str">
        <f>IF(I$3="","",IF(COUNTIFS(Base!$A$3:$A$5001,I$3,Base!$B$3:$B$5001,$A$131,Base!$AD$3:$AD$5001,"&lt;&gt;")=0,"",SUMIFS(Base!$AD$3:$AD$5001,Base!$A$3:$A$5001,I$3,Base!$B$3:$B$5001,$A$131)))</f>
        <v/>
      </c>
      <c r="J145" s="103" t="str">
        <f>IF(J$3="","",IF(COUNTIFS(Base!$A$3:$A$5001,J$3,Base!$B$3:$B$5001,$A$131,Base!$AD$3:$AD$5001,"&lt;&gt;")=0,"",SUMIFS(Base!$AD$3:$AD$5001,Base!$A$3:$A$5001,J$3,Base!$B$3:$B$5001,$A$131)))</f>
        <v/>
      </c>
      <c r="K145" s="103" t="str">
        <f>IF(K$3="","",IF(COUNTIFS(Base!$A$3:$A$5001,K$3,Base!$B$3:$B$5001,$A$131,Base!$AD$3:$AD$5001,"&lt;&gt;")=0,"",SUMIFS(Base!$AD$3:$AD$5001,Base!$A$3:$A$5001,K$3,Base!$B$3:$B$5001,$A$131)))</f>
        <v/>
      </c>
      <c r="L145" s="103" t="str">
        <f>IF(L$3="","",IF(COUNTIFS(Base!$A$3:$A$5001,L$3,Base!$B$3:$B$5001,$A$131,Base!$AD$3:$AD$5001,"&lt;&gt;")=0,"",SUMIFS(Base!$AD$3:$AD$5001,Base!$A$3:$A$5001,L$3,Base!$B$3:$B$5001,$A$131)))</f>
        <v/>
      </c>
      <c r="M145" s="103" t="str">
        <f>IF(M$3="","",IF(COUNTIFS(Base!$A$3:$A$5001,M$3,Base!$B$3:$B$5001,$A$131,Base!$AD$3:$AD$5001,"&lt;&gt;")=0,"",SUMIFS(Base!$AD$3:$AD$5001,Base!$A$3:$A$5001,M$3,Base!$B$3:$B$5001,$A$131)))</f>
        <v/>
      </c>
      <c r="N145" s="103" t="str">
        <f>IF(N$3="","",IF(COUNTIFS(Base!$A$3:$A$5001,N$3,Base!$B$3:$B$5001,$A$131,Base!$AD$3:$AD$5001,"&lt;&gt;")=0,"",SUMIFS(Base!$AD$3:$AD$5001,Base!$A$3:$A$5001,N$3,Base!$B$3:$B$5001,$A$131)))</f>
        <v/>
      </c>
      <c r="O145" s="103" t="str">
        <f>IF(O$3="","",IF(COUNTIFS(Base!$A$3:$A$5001,O$3,Base!$B$3:$B$5001,$A$131,Base!$AD$3:$AD$5001,"&lt;&gt;")=0,"",SUMIFS(Base!$AD$3:$AD$5001,Base!$A$3:$A$5001,O$3,Base!$B$3:$B$5001,$A$131)))</f>
        <v/>
      </c>
      <c r="P145" s="103" t="str">
        <f>IF(P$3="","",IF(COUNTIFS(Base!$A$3:$A$5001,P$3,Base!$B$3:$B$5001,$A$131,Base!$AD$3:$AD$5001,"&lt;&gt;")=0,"",SUMIFS(Base!$AD$3:$AD$5001,Base!$A$3:$A$5001,P$3,Base!$B$3:$B$5001,$A$131)))</f>
        <v/>
      </c>
      <c r="Q145" s="103" t="str">
        <f>IF(Q$3="","",IF(COUNTIFS(Base!$A$3:$A$5001,Q$3,Base!$B$3:$B$5001,$A$131,Base!$AD$3:$AD$5001,"&lt;&gt;")=0,"",SUMIFS(Base!$AD$3:$AD$5001,Base!$A$3:$A$5001,Q$3,Base!$B$3:$B$5001,$A$131)))</f>
        <v/>
      </c>
      <c r="R145" s="103" t="str">
        <f>IF(R$3="","",IF(COUNTIFS(Base!$A$3:$A$5001,R$3,Base!$B$3:$B$5001,$A$131,Base!$AD$3:$AD$5001,"&lt;&gt;")=0,"",SUMIFS(Base!$AD$3:$AD$5001,Base!$A$3:$A$5001,R$3,Base!$B$3:$B$5001,$A$131)))</f>
        <v/>
      </c>
      <c r="S145" s="103" t="str">
        <f>IF(S$3="","",IF(COUNTIFS(Base!$A$3:$A$5001,S$3,Base!$B$3:$B$5001,$A$131,Base!$AD$3:$AD$5001,"&lt;&gt;")=0,"",SUMIFS(Base!$AD$3:$AD$5001,Base!$A$3:$A$5001,S$3,Base!$B$3:$B$5001,$A$131)))</f>
        <v/>
      </c>
      <c r="T145" s="103" t="str">
        <f>IF(T$3="","",IF(COUNTIFS(Base!$A$3:$A$5001,T$3,Base!$B$3:$B$5001,$A$131,Base!$AD$3:$AD$5001,"&lt;&gt;")=0,"",SUMIFS(Base!$AD$3:$AD$5001,Base!$A$3:$A$5001,T$3,Base!$B$3:$B$5001,$A$131)))</f>
        <v/>
      </c>
      <c r="U145" s="103" t="str">
        <f>IF(U$3="","",IF(COUNTIFS(Base!$A$3:$A$5001,U$3,Base!$B$3:$B$5001,$A$131,Base!$AD$3:$AD$5001,"&lt;&gt;")=0,"",SUMIFS(Base!$AD$3:$AD$5001,Base!$A$3:$A$5001,U$3,Base!$B$3:$B$5001,$A$131)))</f>
        <v/>
      </c>
      <c r="V145" s="103" t="str">
        <f>IF(V$3="","",IF(COUNTIFS(Base!$A$3:$A$5001,V$3,Base!$B$3:$B$5001,$A$131,Base!$AD$3:$AD$5001,"&lt;&gt;")=0,"",SUMIFS(Base!$AD$3:$AD$5001,Base!$A$3:$A$5001,V$3,Base!$B$3:$B$5001,$A$131)))</f>
        <v/>
      </c>
      <c r="W145" s="103" t="str">
        <f>IF(W$3="","",IF(COUNTIFS(Base!$A$3:$A$5001,W$3,Base!$B$3:$B$5001,$A$131,Base!$AD$3:$AD$5001,"&lt;&gt;")=0,"",SUMIFS(Base!$AD$3:$AD$5001,Base!$A$3:$A$5001,W$3,Base!$B$3:$B$5001,$A$131)))</f>
        <v/>
      </c>
      <c r="X145" s="103" t="str">
        <f>IF(X$3="","",IF(COUNTIFS(Base!$A$3:$A$5001,X$3,Base!$B$3:$B$5001,$A$131,Base!$AD$3:$AD$5001,"&lt;&gt;")=0,"",SUMIFS(Base!$AD$3:$AD$5001,Base!$A$3:$A$5001,X$3,Base!$B$3:$B$5001,$A$131)))</f>
        <v/>
      </c>
      <c r="Y145" s="103" t="str">
        <f>IF(Y$3="","",IF(COUNTIFS(Base!$A$3:$A$5001,Y$3,Base!$B$3:$B$5001,$A$131,Base!$AD$3:$AD$5001,"&lt;&gt;")=0,"",SUMIFS(Base!$AD$3:$AD$5001,Base!$A$3:$A$5001,Y$3,Base!$B$3:$B$5001,$A$131)))</f>
        <v/>
      </c>
      <c r="Z145" s="103" t="str">
        <f>IF(Z$3="","",IF(COUNTIFS(Base!$A$3:$A$5001,Z$3,Base!$B$3:$B$5001,$A$131,Base!$AD$3:$AD$5001,"&lt;&gt;")=0,"",SUMIFS(Base!$AD$3:$AD$5001,Base!$A$3:$A$5001,Z$3,Base!$B$3:$B$5001,$A$131)))</f>
        <v/>
      </c>
      <c r="AA145" s="103" t="str">
        <f>IF(AA$3="","",IF(COUNTIFS(Base!$A$3:$A$5001,AA$3,Base!$B$3:$B$5001,$A$131,Base!$AD$3:$AD$5001,"&lt;&gt;")=0,"",SUMIFS(Base!$AD$3:$AD$5001,Base!$A$3:$A$5001,AA$3,Base!$B$3:$B$5001,$A$131)))</f>
        <v/>
      </c>
      <c r="AB145" s="103" t="str">
        <f>IF(AB$3="","",IF(COUNTIFS(Base!$A$3:$A$5001,AB$3,Base!$B$3:$B$5001,$A$131,Base!$AD$3:$AD$5001,"&lt;&gt;")=0,"",SUMIFS(Base!$AD$3:$AD$5001,Base!$A$3:$A$5001,AB$3,Base!$B$3:$B$5001,$A$131)))</f>
        <v/>
      </c>
      <c r="AC145" s="103" t="str">
        <f>IF(AC$3="","",IF(COUNTIFS(Base!$A$3:$A$5001,AC$3,Base!$B$3:$B$5001,$A$131,Base!$AD$3:$AD$5001,"&lt;&gt;")=0,"",SUMIFS(Base!$AD$3:$AD$5001,Base!$A$3:$A$5001,AC$3,Base!$B$3:$B$5001,$A$131)))</f>
        <v/>
      </c>
      <c r="AD145" s="103" t="str">
        <f>IF(AD$3="","",IF(COUNTIFS(Base!$A$3:$A$5001,AD$3,Base!$B$3:$B$5001,$A$131,Base!$AD$3:$AD$5001,"&lt;&gt;")=0,"",SUMIFS(Base!$AD$3:$AD$5001,Base!$A$3:$A$5001,AD$3,Base!$B$3:$B$5001,$A$131)))</f>
        <v/>
      </c>
      <c r="AE145" s="103" t="str">
        <f>IF(AE$3="","",IF(COUNTIFS(Base!$A$3:$A$5001,AE$3,Base!$B$3:$B$5001,$A$131,Base!$AD$3:$AD$5001,"&lt;&gt;")=0,"",SUMIFS(Base!$AD$3:$AD$5001,Base!$A$3:$A$5001,AE$3,Base!$B$3:$B$5001,$A$131)))</f>
        <v/>
      </c>
      <c r="AF145" s="103" t="str">
        <f>IF(AF$3="","",IF(COUNTIFS(Base!$A$3:$A$5001,AF$3,Base!$B$3:$B$5001,$A$131,Base!$AD$3:$AD$5001,"&lt;&gt;")=0,"",SUMIFS(Base!$AD$3:$AD$5001,Base!$A$3:$A$5001,AF$3,Base!$B$3:$B$5001,$A$131)))</f>
        <v/>
      </c>
      <c r="AG145" s="103" t="str">
        <f>IF(AG$3="","",IF(COUNTIFS(Base!$A$3:$A$5001,AG$3,Base!$B$3:$B$5001,$A$131,Base!$AD$3:$AD$5001,"&lt;&gt;")=0,"",SUMIFS(Base!$AD$3:$AD$5001,Base!$A$3:$A$5001,AG$3,Base!$B$3:$B$5001,$A$131)))</f>
        <v/>
      </c>
      <c r="AH145" s="103" t="str">
        <f>IF(AH$3="","",IF(COUNTIFS(Base!$A$3:$A$5001,AH$3,Base!$B$3:$B$5001,$A$131,Base!$AD$3:$AD$5001,"&lt;&gt;")=0,"",SUMIFS(Base!$AD$3:$AD$5001,Base!$A$3:$A$5001,AH$3,Base!$B$3:$B$5001,$A$131)))</f>
        <v/>
      </c>
      <c r="AI145" s="103" t="str">
        <f>IF(AI$3="","",IF(COUNTIFS(Base!$A$3:$A$5001,AI$3,Base!$B$3:$B$5001,$A$131,Base!$AD$3:$AD$5001,"&lt;&gt;")=0,"",SUMIFS(Base!$AD$3:$AD$5001,Base!$A$3:$A$5001,AI$3,Base!$B$3:$B$5001,$A$131)))</f>
        <v/>
      </c>
      <c r="AJ145" s="104" t="str">
        <f>IF(AJ$3="","",IF(COUNTIFS(Base!$A$3:$A$5001,AJ$3,Base!$B$3:$B$5001,$A$131,Base!$AD$3:$AD$5001,"&lt;&gt;")=0,"",SUMIFS(Base!$AD$3:$AD$5001,Base!$A$3:$A$5001,AJ$3,Base!$B$3:$B$5001,$A$131)))</f>
        <v/>
      </c>
      <c r="AK145" s="100" t="str">
        <f>IF(COUNT(F145:AJ145)=0,"",SUM(F145:AJ145))</f>
        <v/>
      </c>
    </row>
    <row r="147" ht="15.75" customHeight="1">
      <c r="A147" s="117" t="inlineStr">
        <is>
          <t xml:space="preserve">ALPARGATAS</t>
        </is>
      </c>
      <c r="B147" s="105" t="inlineStr">
        <is>
          <t xml:space="preserve">IN</t>
        </is>
      </c>
      <c r="C147" s="21" t="inlineStr">
        <is>
          <t xml:space="preserve">Veículos Recebidos</t>
        </is>
      </c>
      <c r="D147" s="22" t="str">
        <f>IFERROR(1/(1/INDEX(calculos!$C$55:$K$83,MATCH("IN Veículos Recebidos",calculos!$A$55:$A$83,0),MATCH($A$147,calculos!$C$54:$K$54,0))),"")</f>
        <v/>
      </c>
      <c r="E147" s="23"/>
      <c r="F147" s="24" t="str">
        <f>IF(F$3="","",IF(COUNTIFS(Base!$A$3:$A$5001,F$3,Base!$B$3:$B$5001,$A$147,Base!$C$3:$C$5001,"&lt;&gt;")=0,"",SUMIFS(Base!$C$3:$C$5001,Base!$A$3:$A$5001,F$3,Base!$B$3:$B$5001,$A$147)))</f>
        <v/>
      </c>
      <c r="G147" s="25" t="str">
        <f>IF(G$3="","",IF(COUNTIFS(Base!$A$3:$A$5001,G$3,Base!$B$3:$B$5001,$A$147,Base!$C$3:$C$5001,"&lt;&gt;")=0,"",SUMIFS(Base!$C$3:$C$5001,Base!$A$3:$A$5001,G$3,Base!$B$3:$B$5001,$A$147)))</f>
        <v/>
      </c>
      <c r="H147" s="25" t="str">
        <f>IF(H$3="","",IF(COUNTIFS(Base!$A$3:$A$5001,H$3,Base!$B$3:$B$5001,$A$147,Base!$C$3:$C$5001,"&lt;&gt;")=0,"",SUMIFS(Base!$C$3:$C$5001,Base!$A$3:$A$5001,H$3,Base!$B$3:$B$5001,$A$147)))</f>
        <v/>
      </c>
      <c r="I147" s="25" t="str">
        <f>IF(I$3="","",IF(COUNTIFS(Base!$A$3:$A$5001,I$3,Base!$B$3:$B$5001,$A$147,Base!$C$3:$C$5001,"&lt;&gt;")=0,"",SUMIFS(Base!$C$3:$C$5001,Base!$A$3:$A$5001,I$3,Base!$B$3:$B$5001,$A$147)))</f>
        <v/>
      </c>
      <c r="J147" s="25" t="str">
        <f>IF(J$3="","",IF(COUNTIFS(Base!$A$3:$A$5001,J$3,Base!$B$3:$B$5001,$A$147,Base!$C$3:$C$5001,"&lt;&gt;")=0,"",SUMIFS(Base!$C$3:$C$5001,Base!$A$3:$A$5001,J$3,Base!$B$3:$B$5001,$A$147)))</f>
        <v/>
      </c>
      <c r="K147" s="25" t="str">
        <f>IF(K$3="","",IF(COUNTIFS(Base!$A$3:$A$5001,K$3,Base!$B$3:$B$5001,$A$147,Base!$C$3:$C$5001,"&lt;&gt;")=0,"",SUMIFS(Base!$C$3:$C$5001,Base!$A$3:$A$5001,K$3,Base!$B$3:$B$5001,$A$147)))</f>
        <v/>
      </c>
      <c r="L147" s="25" t="str">
        <f>IF(L$3="","",IF(COUNTIFS(Base!$A$3:$A$5001,L$3,Base!$B$3:$B$5001,$A$147,Base!$C$3:$C$5001,"&lt;&gt;")=0,"",SUMIFS(Base!$C$3:$C$5001,Base!$A$3:$A$5001,L$3,Base!$B$3:$B$5001,$A$147)))</f>
        <v/>
      </c>
      <c r="M147" s="25" t="str">
        <f>IF(M$3="","",IF(COUNTIFS(Base!$A$3:$A$5001,M$3,Base!$B$3:$B$5001,$A$147,Base!$C$3:$C$5001,"&lt;&gt;")=0,"",SUMIFS(Base!$C$3:$C$5001,Base!$A$3:$A$5001,M$3,Base!$B$3:$B$5001,$A$147)))</f>
        <v/>
      </c>
      <c r="N147" s="25" t="str">
        <f>IF(N$3="","",IF(COUNTIFS(Base!$A$3:$A$5001,N$3,Base!$B$3:$B$5001,$A$147,Base!$C$3:$C$5001,"&lt;&gt;")=0,"",SUMIFS(Base!$C$3:$C$5001,Base!$A$3:$A$5001,N$3,Base!$B$3:$B$5001,$A$147)))</f>
        <v/>
      </c>
      <c r="O147" s="25" t="str">
        <f>IF(O$3="","",IF(COUNTIFS(Base!$A$3:$A$5001,O$3,Base!$B$3:$B$5001,$A$147,Base!$C$3:$C$5001,"&lt;&gt;")=0,"",SUMIFS(Base!$C$3:$C$5001,Base!$A$3:$A$5001,O$3,Base!$B$3:$B$5001,$A$147)))</f>
        <v/>
      </c>
      <c r="P147" s="25" t="str">
        <f>IF(P$3="","",IF(COUNTIFS(Base!$A$3:$A$5001,P$3,Base!$B$3:$B$5001,$A$147,Base!$C$3:$C$5001,"&lt;&gt;")=0,"",SUMIFS(Base!$C$3:$C$5001,Base!$A$3:$A$5001,P$3,Base!$B$3:$B$5001,$A$147)))</f>
        <v/>
      </c>
      <c r="Q147" s="25" t="str">
        <f>IF(Q$3="","",IF(COUNTIFS(Base!$A$3:$A$5001,Q$3,Base!$B$3:$B$5001,$A$147,Base!$C$3:$C$5001,"&lt;&gt;")=0,"",SUMIFS(Base!$C$3:$C$5001,Base!$A$3:$A$5001,Q$3,Base!$B$3:$B$5001,$A$147)))</f>
        <v/>
      </c>
      <c r="R147" s="25" t="str">
        <f>IF(R$3="","",IF(COUNTIFS(Base!$A$3:$A$5001,R$3,Base!$B$3:$B$5001,$A$147,Base!$C$3:$C$5001,"&lt;&gt;")=0,"",SUMIFS(Base!$C$3:$C$5001,Base!$A$3:$A$5001,R$3,Base!$B$3:$B$5001,$A$147)))</f>
        <v/>
      </c>
      <c r="S147" s="25" t="str">
        <f>IF(S$3="","",IF(COUNTIFS(Base!$A$3:$A$5001,S$3,Base!$B$3:$B$5001,$A$147,Base!$C$3:$C$5001,"&lt;&gt;")=0,"",SUMIFS(Base!$C$3:$C$5001,Base!$A$3:$A$5001,S$3,Base!$B$3:$B$5001,$A$147)))</f>
        <v/>
      </c>
      <c r="T147" s="25" t="str">
        <f>IF(T$3="","",IF(COUNTIFS(Base!$A$3:$A$5001,T$3,Base!$B$3:$B$5001,$A$147,Base!$C$3:$C$5001,"&lt;&gt;")=0,"",SUMIFS(Base!$C$3:$C$5001,Base!$A$3:$A$5001,T$3,Base!$B$3:$B$5001,$A$147)))</f>
        <v/>
      </c>
      <c r="U147" s="25" t="str">
        <f>IF(U$3="","",IF(COUNTIFS(Base!$A$3:$A$5001,U$3,Base!$B$3:$B$5001,$A$147,Base!$C$3:$C$5001,"&lt;&gt;")=0,"",SUMIFS(Base!$C$3:$C$5001,Base!$A$3:$A$5001,U$3,Base!$B$3:$B$5001,$A$147)))</f>
        <v/>
      </c>
      <c r="V147" s="25" t="str">
        <f>IF(V$3="","",IF(COUNTIFS(Base!$A$3:$A$5001,V$3,Base!$B$3:$B$5001,$A$147,Base!$C$3:$C$5001,"&lt;&gt;")=0,"",SUMIFS(Base!$C$3:$C$5001,Base!$A$3:$A$5001,V$3,Base!$B$3:$B$5001,$A$147)))</f>
        <v/>
      </c>
      <c r="W147" s="25" t="str">
        <f>IF(W$3="","",IF(COUNTIFS(Base!$A$3:$A$5001,W$3,Base!$B$3:$B$5001,$A$147,Base!$C$3:$C$5001,"&lt;&gt;")=0,"",SUMIFS(Base!$C$3:$C$5001,Base!$A$3:$A$5001,W$3,Base!$B$3:$B$5001,$A$147)))</f>
        <v/>
      </c>
      <c r="X147" s="25" t="str">
        <f>IF(X$3="","",IF(COUNTIFS(Base!$A$3:$A$5001,X$3,Base!$B$3:$B$5001,$A$147,Base!$C$3:$C$5001,"&lt;&gt;")=0,"",SUMIFS(Base!$C$3:$C$5001,Base!$A$3:$A$5001,X$3,Base!$B$3:$B$5001,$A$147)))</f>
        <v/>
      </c>
      <c r="Y147" s="25" t="str">
        <f>IF(Y$3="","",IF(COUNTIFS(Base!$A$3:$A$5001,Y$3,Base!$B$3:$B$5001,$A$147,Base!$C$3:$C$5001,"&lt;&gt;")=0,"",SUMIFS(Base!$C$3:$C$5001,Base!$A$3:$A$5001,Y$3,Base!$B$3:$B$5001,$A$147)))</f>
        <v/>
      </c>
      <c r="Z147" s="25" t="str">
        <f>IF(Z$3="","",IF(COUNTIFS(Base!$A$3:$A$5001,Z$3,Base!$B$3:$B$5001,$A$147,Base!$C$3:$C$5001,"&lt;&gt;")=0,"",SUMIFS(Base!$C$3:$C$5001,Base!$A$3:$A$5001,Z$3,Base!$B$3:$B$5001,$A$147)))</f>
        <v/>
      </c>
      <c r="AA147" s="25" t="str">
        <f>IF(AA$3="","",IF(COUNTIFS(Base!$A$3:$A$5001,AA$3,Base!$B$3:$B$5001,$A$147,Base!$C$3:$C$5001,"&lt;&gt;")=0,"",SUMIFS(Base!$C$3:$C$5001,Base!$A$3:$A$5001,AA$3,Base!$B$3:$B$5001,$A$147)))</f>
        <v/>
      </c>
      <c r="AB147" s="25" t="str">
        <f>IF(AB$3="","",IF(COUNTIFS(Base!$A$3:$A$5001,AB$3,Base!$B$3:$B$5001,$A$147,Base!$C$3:$C$5001,"&lt;&gt;")=0,"",SUMIFS(Base!$C$3:$C$5001,Base!$A$3:$A$5001,AB$3,Base!$B$3:$B$5001,$A$147)))</f>
        <v/>
      </c>
      <c r="AC147" s="25" t="str">
        <f>IF(AC$3="","",IF(COUNTIFS(Base!$A$3:$A$5001,AC$3,Base!$B$3:$B$5001,$A$147,Base!$C$3:$C$5001,"&lt;&gt;")=0,"",SUMIFS(Base!$C$3:$C$5001,Base!$A$3:$A$5001,AC$3,Base!$B$3:$B$5001,$A$147)))</f>
        <v/>
      </c>
      <c r="AD147" s="25" t="str">
        <f>IF(AD$3="","",IF(COUNTIFS(Base!$A$3:$A$5001,AD$3,Base!$B$3:$B$5001,$A$147,Base!$C$3:$C$5001,"&lt;&gt;")=0,"",SUMIFS(Base!$C$3:$C$5001,Base!$A$3:$A$5001,AD$3,Base!$B$3:$B$5001,$A$147)))</f>
        <v/>
      </c>
      <c r="AE147" s="25" t="str">
        <f>IF(AE$3="","",IF(COUNTIFS(Base!$A$3:$A$5001,AE$3,Base!$B$3:$B$5001,$A$147,Base!$C$3:$C$5001,"&lt;&gt;")=0,"",SUMIFS(Base!$C$3:$C$5001,Base!$A$3:$A$5001,AE$3,Base!$B$3:$B$5001,$A$147)))</f>
        <v/>
      </c>
      <c r="AF147" s="25" t="str">
        <f>IF(AF$3="","",IF(COUNTIFS(Base!$A$3:$A$5001,AF$3,Base!$B$3:$B$5001,$A$147,Base!$C$3:$C$5001,"&lt;&gt;")=0,"",SUMIFS(Base!$C$3:$C$5001,Base!$A$3:$A$5001,AF$3,Base!$B$3:$B$5001,$A$147)))</f>
        <v/>
      </c>
      <c r="AG147" s="25" t="str">
        <f>IF(AG$3="","",IF(COUNTIFS(Base!$A$3:$A$5001,AG$3,Base!$B$3:$B$5001,$A$147,Base!$C$3:$C$5001,"&lt;&gt;")=0,"",SUMIFS(Base!$C$3:$C$5001,Base!$A$3:$A$5001,AG$3,Base!$B$3:$B$5001,$A$147)))</f>
        <v/>
      </c>
      <c r="AH147" s="25" t="str">
        <f>IF(AH$3="","",IF(COUNTIFS(Base!$A$3:$A$5001,AH$3,Base!$B$3:$B$5001,$A$147,Base!$C$3:$C$5001,"&lt;&gt;")=0,"",SUMIFS(Base!$C$3:$C$5001,Base!$A$3:$A$5001,AH$3,Base!$B$3:$B$5001,$A$147)))</f>
        <v/>
      </c>
      <c r="AI147" s="25" t="str">
        <f>IF(AI$3="","",IF(COUNTIFS(Base!$A$3:$A$5001,AI$3,Base!$B$3:$B$5001,$A$147,Base!$C$3:$C$5001,"&lt;&gt;")=0,"",SUMIFS(Base!$C$3:$C$5001,Base!$A$3:$A$5001,AI$3,Base!$B$3:$B$5001,$A$147)))</f>
        <v/>
      </c>
      <c r="AJ147" s="26" t="str">
        <f>IF(AJ$3="","",IF(COUNTIFS(Base!$A$3:$A$5001,AJ$3,Base!$B$3:$B$5001,$A$147,Base!$C$3:$C$5001,"&lt;&gt;")=0,"",SUMIFS(Base!$C$3:$C$5001,Base!$A$3:$A$5001,AJ$3,Base!$B$3:$B$5001,$A$147)))</f>
        <v/>
      </c>
      <c r="AK147" s="27" t="str">
        <f>IF(COUNT(F147:AJ147)=0,"",SUM(F147:AJ147))</f>
        <v/>
      </c>
    </row>
    <row r="148" ht="15.75" customHeight="1">
      <c r="A148" s="118"/>
      <c r="B148" s="107"/>
      <c r="C148" s="35" t="inlineStr">
        <is>
          <t xml:space="preserve">Caixas Movimentadas</t>
        </is>
      </c>
      <c r="D148" s="469" t="str">
        <f>IFERROR(1/(1/INDEX(calculos!$C$55:$K$83,MATCH("IN Caixas Movimentadas",calculos!$A$55:$A$83,0),MATCH($A$147,calculos!$C$54:$K$54,0))),"")</f>
        <v/>
      </c>
      <c r="E148" s="37"/>
      <c r="F148" s="470" t="str">
        <f>IF(F$3="","",IF(COUNTIFS(Base!$A$3:$A$5001,F$3,Base!$B$3:$B$5001,$A$147,Base!$F$3:$F$5001,"&lt;&gt;")=0,"",SUMIFS(Base!$F$3:$F$5001,Base!$A$3:$A$5001,F$3,Base!$B$3:$B$5001,$A$147)))</f>
        <v/>
      </c>
      <c r="G148" s="471" t="str">
        <f>IF(G$3="","",IF(COUNTIFS(Base!$A$3:$A$5001,G$3,Base!$B$3:$B$5001,$A$147,Base!$F$3:$F$5001,"&lt;&gt;")=0,"",SUMIFS(Base!$F$3:$F$5001,Base!$A$3:$A$5001,G$3,Base!$B$3:$B$5001,$A$147)))</f>
        <v/>
      </c>
      <c r="H148" s="471" t="str">
        <f>IF(H$3="","",IF(COUNTIFS(Base!$A$3:$A$5001,H$3,Base!$B$3:$B$5001,$A$147,Base!$F$3:$F$5001,"&lt;&gt;")=0,"",SUMIFS(Base!$F$3:$F$5001,Base!$A$3:$A$5001,H$3,Base!$B$3:$B$5001,$A$147)))</f>
        <v/>
      </c>
      <c r="I148" s="471" t="str">
        <f>IF(I$3="","",IF(COUNTIFS(Base!$A$3:$A$5001,I$3,Base!$B$3:$B$5001,$A$147,Base!$F$3:$F$5001,"&lt;&gt;")=0,"",SUMIFS(Base!$F$3:$F$5001,Base!$A$3:$A$5001,I$3,Base!$B$3:$B$5001,$A$147)))</f>
        <v/>
      </c>
      <c r="J148" s="471" t="str">
        <f>IF(J$3="","",IF(COUNTIFS(Base!$A$3:$A$5001,J$3,Base!$B$3:$B$5001,$A$147,Base!$F$3:$F$5001,"&lt;&gt;")=0,"",SUMIFS(Base!$F$3:$F$5001,Base!$A$3:$A$5001,J$3,Base!$B$3:$B$5001,$A$147)))</f>
        <v/>
      </c>
      <c r="K148" s="471" t="str">
        <f>IF(K$3="","",IF(COUNTIFS(Base!$A$3:$A$5001,K$3,Base!$B$3:$B$5001,$A$147,Base!$F$3:$F$5001,"&lt;&gt;")=0,"",SUMIFS(Base!$F$3:$F$5001,Base!$A$3:$A$5001,K$3,Base!$B$3:$B$5001,$A$147)))</f>
        <v/>
      </c>
      <c r="L148" s="471" t="str">
        <f>IF(L$3="","",IF(COUNTIFS(Base!$A$3:$A$5001,L$3,Base!$B$3:$B$5001,$A$147,Base!$F$3:$F$5001,"&lt;&gt;")=0,"",SUMIFS(Base!$F$3:$F$5001,Base!$A$3:$A$5001,L$3,Base!$B$3:$B$5001,$A$147)))</f>
        <v/>
      </c>
      <c r="M148" s="471" t="str">
        <f>IF(M$3="","",IF(COUNTIFS(Base!$A$3:$A$5001,M$3,Base!$B$3:$B$5001,$A$147,Base!$F$3:$F$5001,"&lt;&gt;")=0,"",SUMIFS(Base!$F$3:$F$5001,Base!$A$3:$A$5001,M$3,Base!$B$3:$B$5001,$A$147)))</f>
        <v/>
      </c>
      <c r="N148" s="471" t="str">
        <f>IF(N$3="","",IF(COUNTIFS(Base!$A$3:$A$5001,N$3,Base!$B$3:$B$5001,$A$147,Base!$F$3:$F$5001,"&lt;&gt;")=0,"",SUMIFS(Base!$F$3:$F$5001,Base!$A$3:$A$5001,N$3,Base!$B$3:$B$5001,$A$147)))</f>
        <v/>
      </c>
      <c r="O148" s="471" t="str">
        <f>IF(O$3="","",IF(COUNTIFS(Base!$A$3:$A$5001,O$3,Base!$B$3:$B$5001,$A$147,Base!$F$3:$F$5001,"&lt;&gt;")=0,"",SUMIFS(Base!$F$3:$F$5001,Base!$A$3:$A$5001,O$3,Base!$B$3:$B$5001,$A$147)))</f>
        <v/>
      </c>
      <c r="P148" s="471" t="str">
        <f>IF(P$3="","",IF(COUNTIFS(Base!$A$3:$A$5001,P$3,Base!$B$3:$B$5001,$A$147,Base!$F$3:$F$5001,"&lt;&gt;")=0,"",SUMIFS(Base!$F$3:$F$5001,Base!$A$3:$A$5001,P$3,Base!$B$3:$B$5001,$A$147)))</f>
        <v/>
      </c>
      <c r="Q148" s="471" t="str">
        <f>IF(Q$3="","",IF(COUNTIFS(Base!$A$3:$A$5001,Q$3,Base!$B$3:$B$5001,$A$147,Base!$F$3:$F$5001,"&lt;&gt;")=0,"",SUMIFS(Base!$F$3:$F$5001,Base!$A$3:$A$5001,Q$3,Base!$B$3:$B$5001,$A$147)))</f>
        <v/>
      </c>
      <c r="R148" s="471" t="str">
        <f>IF(R$3="","",IF(COUNTIFS(Base!$A$3:$A$5001,R$3,Base!$B$3:$B$5001,$A$147,Base!$F$3:$F$5001,"&lt;&gt;")=0,"",SUMIFS(Base!$F$3:$F$5001,Base!$A$3:$A$5001,R$3,Base!$B$3:$B$5001,$A$147)))</f>
        <v/>
      </c>
      <c r="S148" s="471" t="str">
        <f>IF(S$3="","",IF(COUNTIFS(Base!$A$3:$A$5001,S$3,Base!$B$3:$B$5001,$A$147,Base!$F$3:$F$5001,"&lt;&gt;")=0,"",SUMIFS(Base!$F$3:$F$5001,Base!$A$3:$A$5001,S$3,Base!$B$3:$B$5001,$A$147)))</f>
        <v/>
      </c>
      <c r="T148" s="471" t="str">
        <f>IF(T$3="","",IF(COUNTIFS(Base!$A$3:$A$5001,T$3,Base!$B$3:$B$5001,$A$147,Base!$F$3:$F$5001,"&lt;&gt;")=0,"",SUMIFS(Base!$F$3:$F$5001,Base!$A$3:$A$5001,T$3,Base!$B$3:$B$5001,$A$147)))</f>
        <v/>
      </c>
      <c r="U148" s="471" t="str">
        <f>IF(U$3="","",IF(COUNTIFS(Base!$A$3:$A$5001,U$3,Base!$B$3:$B$5001,$A$147,Base!$F$3:$F$5001,"&lt;&gt;")=0,"",SUMIFS(Base!$F$3:$F$5001,Base!$A$3:$A$5001,U$3,Base!$B$3:$B$5001,$A$147)))</f>
        <v/>
      </c>
      <c r="V148" s="471" t="str">
        <f>IF(V$3="","",IF(COUNTIFS(Base!$A$3:$A$5001,V$3,Base!$B$3:$B$5001,$A$147,Base!$F$3:$F$5001,"&lt;&gt;")=0,"",SUMIFS(Base!$F$3:$F$5001,Base!$A$3:$A$5001,V$3,Base!$B$3:$B$5001,$A$147)))</f>
        <v/>
      </c>
      <c r="W148" s="471" t="str">
        <f>IF(W$3="","",IF(COUNTIFS(Base!$A$3:$A$5001,W$3,Base!$B$3:$B$5001,$A$147,Base!$F$3:$F$5001,"&lt;&gt;")=0,"",SUMIFS(Base!$F$3:$F$5001,Base!$A$3:$A$5001,W$3,Base!$B$3:$B$5001,$A$147)))</f>
        <v/>
      </c>
      <c r="X148" s="471" t="str">
        <f>IF(X$3="","",IF(COUNTIFS(Base!$A$3:$A$5001,X$3,Base!$B$3:$B$5001,$A$147,Base!$F$3:$F$5001,"&lt;&gt;")=0,"",SUMIFS(Base!$F$3:$F$5001,Base!$A$3:$A$5001,X$3,Base!$B$3:$B$5001,$A$147)))</f>
        <v/>
      </c>
      <c r="Y148" s="471" t="str">
        <f>IF(Y$3="","",IF(COUNTIFS(Base!$A$3:$A$5001,Y$3,Base!$B$3:$B$5001,$A$147,Base!$F$3:$F$5001,"&lt;&gt;")=0,"",SUMIFS(Base!$F$3:$F$5001,Base!$A$3:$A$5001,Y$3,Base!$B$3:$B$5001,$A$147)))</f>
        <v/>
      </c>
      <c r="Z148" s="471" t="str">
        <f>IF(Z$3="","",IF(COUNTIFS(Base!$A$3:$A$5001,Z$3,Base!$B$3:$B$5001,$A$147,Base!$F$3:$F$5001,"&lt;&gt;")=0,"",SUMIFS(Base!$F$3:$F$5001,Base!$A$3:$A$5001,Z$3,Base!$B$3:$B$5001,$A$147)))</f>
        <v/>
      </c>
      <c r="AA148" s="471" t="str">
        <f>IF(AA$3="","",IF(COUNTIFS(Base!$A$3:$A$5001,AA$3,Base!$B$3:$B$5001,$A$147,Base!$F$3:$F$5001,"&lt;&gt;")=0,"",SUMIFS(Base!$F$3:$F$5001,Base!$A$3:$A$5001,AA$3,Base!$B$3:$B$5001,$A$147)))</f>
        <v/>
      </c>
      <c r="AB148" s="471" t="str">
        <f>IF(AB$3="","",IF(COUNTIFS(Base!$A$3:$A$5001,AB$3,Base!$B$3:$B$5001,$A$147,Base!$F$3:$F$5001,"&lt;&gt;")=0,"",SUMIFS(Base!$F$3:$F$5001,Base!$A$3:$A$5001,AB$3,Base!$B$3:$B$5001,$A$147)))</f>
        <v/>
      </c>
      <c r="AC148" s="471" t="str">
        <f>IF(AC$3="","",IF(COUNTIFS(Base!$A$3:$A$5001,AC$3,Base!$B$3:$B$5001,$A$147,Base!$F$3:$F$5001,"&lt;&gt;")=0,"",SUMIFS(Base!$F$3:$F$5001,Base!$A$3:$A$5001,AC$3,Base!$B$3:$B$5001,$A$147)))</f>
        <v/>
      </c>
      <c r="AD148" s="471" t="str">
        <f>IF(AD$3="","",IF(COUNTIFS(Base!$A$3:$A$5001,AD$3,Base!$B$3:$B$5001,$A$147,Base!$F$3:$F$5001,"&lt;&gt;")=0,"",SUMIFS(Base!$F$3:$F$5001,Base!$A$3:$A$5001,AD$3,Base!$B$3:$B$5001,$A$147)))</f>
        <v/>
      </c>
      <c r="AE148" s="471" t="str">
        <f>IF(AE$3="","",IF(COUNTIFS(Base!$A$3:$A$5001,AE$3,Base!$B$3:$B$5001,$A$147,Base!$F$3:$F$5001,"&lt;&gt;")=0,"",SUMIFS(Base!$F$3:$F$5001,Base!$A$3:$A$5001,AE$3,Base!$B$3:$B$5001,$A$147)))</f>
        <v/>
      </c>
      <c r="AF148" s="471" t="str">
        <f>IF(AF$3="","",IF(COUNTIFS(Base!$A$3:$A$5001,AF$3,Base!$B$3:$B$5001,$A$147,Base!$F$3:$F$5001,"&lt;&gt;")=0,"",SUMIFS(Base!$F$3:$F$5001,Base!$A$3:$A$5001,AF$3,Base!$B$3:$B$5001,$A$147)))</f>
        <v/>
      </c>
      <c r="AG148" s="471" t="str">
        <f>IF(AG$3="","",IF(COUNTIFS(Base!$A$3:$A$5001,AG$3,Base!$B$3:$B$5001,$A$147,Base!$F$3:$F$5001,"&lt;&gt;")=0,"",SUMIFS(Base!$F$3:$F$5001,Base!$A$3:$A$5001,AG$3,Base!$B$3:$B$5001,$A$147)))</f>
        <v/>
      </c>
      <c r="AH148" s="471" t="str">
        <f>IF(AH$3="","",IF(COUNTIFS(Base!$A$3:$A$5001,AH$3,Base!$B$3:$B$5001,$A$147,Base!$F$3:$F$5001,"&lt;&gt;")=0,"",SUMIFS(Base!$F$3:$F$5001,Base!$A$3:$A$5001,AH$3,Base!$B$3:$B$5001,$A$147)))</f>
        <v/>
      </c>
      <c r="AI148" s="471" t="str">
        <f>IF(AI$3="","",IF(COUNTIFS(Base!$A$3:$A$5001,AI$3,Base!$B$3:$B$5001,$A$147,Base!$F$3:$F$5001,"&lt;&gt;")=0,"",SUMIFS(Base!$F$3:$F$5001,Base!$A$3:$A$5001,AI$3,Base!$B$3:$B$5001,$A$147)))</f>
        <v/>
      </c>
      <c r="AJ148" s="472" t="str">
        <f>IF(AJ$3="","",IF(COUNTIFS(Base!$A$3:$A$5001,AJ$3,Base!$B$3:$B$5001,$A$147,Base!$F$3:$F$5001,"&lt;&gt;")=0,"",SUMIFS(Base!$F$3:$F$5001,Base!$A$3:$A$5001,AJ$3,Base!$B$3:$B$5001,$A$147)))</f>
        <v/>
      </c>
      <c r="AK148" s="469" t="str">
        <f>IF(COUNT(F148:AJ148)=0,"",SUM(F148:AJ148))</f>
        <v/>
      </c>
    </row>
    <row r="149" ht="15.75" customHeight="1">
      <c r="A149" s="118"/>
      <c r="B149" s="108" t="inlineStr">
        <is>
          <t xml:space="preserve">OUT</t>
        </is>
      </c>
      <c r="C149" s="41" t="inlineStr">
        <is>
          <t xml:space="preserve">Veículos Expedidos</t>
        </is>
      </c>
      <c r="D149" s="42" t="str">
        <f>IFERROR(1/(1/INDEX(calculos!$C$55:$K$83,MATCH("OUT Veículos Expedidos",calculos!$A$55:$A$83,0),MATCH($A$147,calculos!$C$54:$K$54,0))),"")</f>
        <v/>
      </c>
      <c r="E149" s="43"/>
      <c r="F149" s="44" t="str">
        <f>IF(F$3="","",IF(COUNTIFS(Base!$A$3:$A$5001,F$3,Base!$B$3:$B$5001,$A$147,Base!$L$3:$L$5001,"&lt;&gt;")=0,"",SUMIFS(Base!$L$3:$L$5001,Base!$A$3:$A$5001,F$3,Base!$B$3:$B$5001,$A$147)))</f>
        <v/>
      </c>
      <c r="G149" s="45" t="str">
        <f>IF(G$3="","",IF(COUNTIFS(Base!$A$3:$A$5001,G$3,Base!$B$3:$B$5001,$A$147,Base!$L$3:$L$5001,"&lt;&gt;")=0,"",SUMIFS(Base!$L$3:$L$5001,Base!$A$3:$A$5001,G$3,Base!$B$3:$B$5001,$A$147)))</f>
        <v/>
      </c>
      <c r="H149" s="45" t="str">
        <f>IF(H$3="","",IF(COUNTIFS(Base!$A$3:$A$5001,H$3,Base!$B$3:$B$5001,$A$147,Base!$L$3:$L$5001,"&lt;&gt;")=0,"",SUMIFS(Base!$L$3:$L$5001,Base!$A$3:$A$5001,H$3,Base!$B$3:$B$5001,$A$147)))</f>
        <v/>
      </c>
      <c r="I149" s="45" t="str">
        <f>IF(I$3="","",IF(COUNTIFS(Base!$A$3:$A$5001,I$3,Base!$B$3:$B$5001,$A$147,Base!$L$3:$L$5001,"&lt;&gt;")=0,"",SUMIFS(Base!$L$3:$L$5001,Base!$A$3:$A$5001,I$3,Base!$B$3:$B$5001,$A$147)))</f>
        <v/>
      </c>
      <c r="J149" s="45" t="str">
        <f>IF(J$3="","",IF(COUNTIFS(Base!$A$3:$A$5001,J$3,Base!$B$3:$B$5001,$A$147,Base!$L$3:$L$5001,"&lt;&gt;")=0,"",SUMIFS(Base!$L$3:$L$5001,Base!$A$3:$A$5001,J$3,Base!$B$3:$B$5001,$A$147)))</f>
        <v/>
      </c>
      <c r="K149" s="45" t="str">
        <f>IF(K$3="","",IF(COUNTIFS(Base!$A$3:$A$5001,K$3,Base!$B$3:$B$5001,$A$147,Base!$L$3:$L$5001,"&lt;&gt;")=0,"",SUMIFS(Base!$L$3:$L$5001,Base!$A$3:$A$5001,K$3,Base!$B$3:$B$5001,$A$147)))</f>
        <v/>
      </c>
      <c r="L149" s="45" t="str">
        <f>IF(L$3="","",IF(COUNTIFS(Base!$A$3:$A$5001,L$3,Base!$B$3:$B$5001,$A$147,Base!$L$3:$L$5001,"&lt;&gt;")=0,"",SUMIFS(Base!$L$3:$L$5001,Base!$A$3:$A$5001,L$3,Base!$B$3:$B$5001,$A$147)))</f>
        <v/>
      </c>
      <c r="M149" s="45" t="str">
        <f>IF(M$3="","",IF(COUNTIFS(Base!$A$3:$A$5001,M$3,Base!$B$3:$B$5001,$A$147,Base!$L$3:$L$5001,"&lt;&gt;")=0,"",SUMIFS(Base!$L$3:$L$5001,Base!$A$3:$A$5001,M$3,Base!$B$3:$B$5001,$A$147)))</f>
        <v/>
      </c>
      <c r="N149" s="45" t="str">
        <f>IF(N$3="","",IF(COUNTIFS(Base!$A$3:$A$5001,N$3,Base!$B$3:$B$5001,$A$147,Base!$L$3:$L$5001,"&lt;&gt;")=0,"",SUMIFS(Base!$L$3:$L$5001,Base!$A$3:$A$5001,N$3,Base!$B$3:$B$5001,$A$147)))</f>
        <v/>
      </c>
      <c r="O149" s="45" t="str">
        <f>IF(O$3="","",IF(COUNTIFS(Base!$A$3:$A$5001,O$3,Base!$B$3:$B$5001,$A$147,Base!$L$3:$L$5001,"&lt;&gt;")=0,"",SUMIFS(Base!$L$3:$L$5001,Base!$A$3:$A$5001,O$3,Base!$B$3:$B$5001,$A$147)))</f>
        <v/>
      </c>
      <c r="P149" s="45" t="str">
        <f>IF(P$3="","",IF(COUNTIFS(Base!$A$3:$A$5001,P$3,Base!$B$3:$B$5001,$A$147,Base!$L$3:$L$5001,"&lt;&gt;")=0,"",SUMIFS(Base!$L$3:$L$5001,Base!$A$3:$A$5001,P$3,Base!$B$3:$B$5001,$A$147)))</f>
        <v/>
      </c>
      <c r="Q149" s="45" t="str">
        <f>IF(Q$3="","",IF(COUNTIFS(Base!$A$3:$A$5001,Q$3,Base!$B$3:$B$5001,$A$147,Base!$L$3:$L$5001,"&lt;&gt;")=0,"",SUMIFS(Base!$L$3:$L$5001,Base!$A$3:$A$5001,Q$3,Base!$B$3:$B$5001,$A$147)))</f>
        <v/>
      </c>
      <c r="R149" s="45" t="str">
        <f>IF(R$3="","",IF(COUNTIFS(Base!$A$3:$A$5001,R$3,Base!$B$3:$B$5001,$A$147,Base!$L$3:$L$5001,"&lt;&gt;")=0,"",SUMIFS(Base!$L$3:$L$5001,Base!$A$3:$A$5001,R$3,Base!$B$3:$B$5001,$A$147)))</f>
        <v/>
      </c>
      <c r="S149" s="45" t="str">
        <f>IF(S$3="","",IF(COUNTIFS(Base!$A$3:$A$5001,S$3,Base!$B$3:$B$5001,$A$147,Base!$L$3:$L$5001,"&lt;&gt;")=0,"",SUMIFS(Base!$L$3:$L$5001,Base!$A$3:$A$5001,S$3,Base!$B$3:$B$5001,$A$147)))</f>
        <v/>
      </c>
      <c r="T149" s="45" t="str">
        <f>IF(T$3="","",IF(COUNTIFS(Base!$A$3:$A$5001,T$3,Base!$B$3:$B$5001,$A$147,Base!$L$3:$L$5001,"&lt;&gt;")=0,"",SUMIFS(Base!$L$3:$L$5001,Base!$A$3:$A$5001,T$3,Base!$B$3:$B$5001,$A$147)))</f>
        <v/>
      </c>
      <c r="U149" s="45" t="str">
        <f>IF(U$3="","",IF(COUNTIFS(Base!$A$3:$A$5001,U$3,Base!$B$3:$B$5001,$A$147,Base!$L$3:$L$5001,"&lt;&gt;")=0,"",SUMIFS(Base!$L$3:$L$5001,Base!$A$3:$A$5001,U$3,Base!$B$3:$B$5001,$A$147)))</f>
        <v/>
      </c>
      <c r="V149" s="45" t="str">
        <f>IF(V$3="","",IF(COUNTIFS(Base!$A$3:$A$5001,V$3,Base!$B$3:$B$5001,$A$147,Base!$L$3:$L$5001,"&lt;&gt;")=0,"",SUMIFS(Base!$L$3:$L$5001,Base!$A$3:$A$5001,V$3,Base!$B$3:$B$5001,$A$147)))</f>
        <v/>
      </c>
      <c r="W149" s="45" t="str">
        <f>IF(W$3="","",IF(COUNTIFS(Base!$A$3:$A$5001,W$3,Base!$B$3:$B$5001,$A$147,Base!$L$3:$L$5001,"&lt;&gt;")=0,"",SUMIFS(Base!$L$3:$L$5001,Base!$A$3:$A$5001,W$3,Base!$B$3:$B$5001,$A$147)))</f>
        <v/>
      </c>
      <c r="X149" s="45" t="str">
        <f>IF(X$3="","",IF(COUNTIFS(Base!$A$3:$A$5001,X$3,Base!$B$3:$B$5001,$A$147,Base!$L$3:$L$5001,"&lt;&gt;")=0,"",SUMIFS(Base!$L$3:$L$5001,Base!$A$3:$A$5001,X$3,Base!$B$3:$B$5001,$A$147)))</f>
        <v/>
      </c>
      <c r="Y149" s="45" t="str">
        <f>IF(Y$3="","",IF(COUNTIFS(Base!$A$3:$A$5001,Y$3,Base!$B$3:$B$5001,$A$147,Base!$L$3:$L$5001,"&lt;&gt;")=0,"",SUMIFS(Base!$L$3:$L$5001,Base!$A$3:$A$5001,Y$3,Base!$B$3:$B$5001,$A$147)))</f>
        <v/>
      </c>
      <c r="Z149" s="45" t="str">
        <f>IF(Z$3="","",IF(COUNTIFS(Base!$A$3:$A$5001,Z$3,Base!$B$3:$B$5001,$A$147,Base!$L$3:$L$5001,"&lt;&gt;")=0,"",SUMIFS(Base!$L$3:$L$5001,Base!$A$3:$A$5001,Z$3,Base!$B$3:$B$5001,$A$147)))</f>
        <v/>
      </c>
      <c r="AA149" s="45" t="str">
        <f>IF(AA$3="","",IF(COUNTIFS(Base!$A$3:$A$5001,AA$3,Base!$B$3:$B$5001,$A$147,Base!$L$3:$L$5001,"&lt;&gt;")=0,"",SUMIFS(Base!$L$3:$L$5001,Base!$A$3:$A$5001,AA$3,Base!$B$3:$B$5001,$A$147)))</f>
        <v/>
      </c>
      <c r="AB149" s="45" t="str">
        <f>IF(AB$3="","",IF(COUNTIFS(Base!$A$3:$A$5001,AB$3,Base!$B$3:$B$5001,$A$147,Base!$L$3:$L$5001,"&lt;&gt;")=0,"",SUMIFS(Base!$L$3:$L$5001,Base!$A$3:$A$5001,AB$3,Base!$B$3:$B$5001,$A$147)))</f>
        <v/>
      </c>
      <c r="AC149" s="45" t="str">
        <f>IF(AC$3="","",IF(COUNTIFS(Base!$A$3:$A$5001,AC$3,Base!$B$3:$B$5001,$A$147,Base!$L$3:$L$5001,"&lt;&gt;")=0,"",SUMIFS(Base!$L$3:$L$5001,Base!$A$3:$A$5001,AC$3,Base!$B$3:$B$5001,$A$147)))</f>
        <v/>
      </c>
      <c r="AD149" s="45" t="str">
        <f>IF(AD$3="","",IF(COUNTIFS(Base!$A$3:$A$5001,AD$3,Base!$B$3:$B$5001,$A$147,Base!$L$3:$L$5001,"&lt;&gt;")=0,"",SUMIFS(Base!$L$3:$L$5001,Base!$A$3:$A$5001,AD$3,Base!$B$3:$B$5001,$A$147)))</f>
        <v/>
      </c>
      <c r="AE149" s="45" t="str">
        <f>IF(AE$3="","",IF(COUNTIFS(Base!$A$3:$A$5001,AE$3,Base!$B$3:$B$5001,$A$147,Base!$L$3:$L$5001,"&lt;&gt;")=0,"",SUMIFS(Base!$L$3:$L$5001,Base!$A$3:$A$5001,AE$3,Base!$B$3:$B$5001,$A$147)))</f>
        <v/>
      </c>
      <c r="AF149" s="45" t="str">
        <f>IF(AF$3="","",IF(COUNTIFS(Base!$A$3:$A$5001,AF$3,Base!$B$3:$B$5001,$A$147,Base!$L$3:$L$5001,"&lt;&gt;")=0,"",SUMIFS(Base!$L$3:$L$5001,Base!$A$3:$A$5001,AF$3,Base!$B$3:$B$5001,$A$147)))</f>
        <v/>
      </c>
      <c r="AG149" s="45" t="str">
        <f>IF(AG$3="","",IF(COUNTIFS(Base!$A$3:$A$5001,AG$3,Base!$B$3:$B$5001,$A$147,Base!$L$3:$L$5001,"&lt;&gt;")=0,"",SUMIFS(Base!$L$3:$L$5001,Base!$A$3:$A$5001,AG$3,Base!$B$3:$B$5001,$A$147)))</f>
        <v/>
      </c>
      <c r="AH149" s="45" t="str">
        <f>IF(AH$3="","",IF(COUNTIFS(Base!$A$3:$A$5001,AH$3,Base!$B$3:$B$5001,$A$147,Base!$L$3:$L$5001,"&lt;&gt;")=0,"",SUMIFS(Base!$L$3:$L$5001,Base!$A$3:$A$5001,AH$3,Base!$B$3:$B$5001,$A$147)))</f>
        <v/>
      </c>
      <c r="AI149" s="45" t="str">
        <f>IF(AI$3="","",IF(COUNTIFS(Base!$A$3:$A$5001,AI$3,Base!$B$3:$B$5001,$A$147,Base!$L$3:$L$5001,"&lt;&gt;")=0,"",SUMIFS(Base!$L$3:$L$5001,Base!$A$3:$A$5001,AI$3,Base!$B$3:$B$5001,$A$147)))</f>
        <v/>
      </c>
      <c r="AJ149" s="46" t="str">
        <f>IF(AJ$3="","",IF(COUNTIFS(Base!$A$3:$A$5001,AJ$3,Base!$B$3:$B$5001,$A$147,Base!$L$3:$L$5001,"&lt;&gt;")=0,"",SUMIFS(Base!$L$3:$L$5001,Base!$A$3:$A$5001,AJ$3,Base!$B$3:$B$5001,$A$147)))</f>
        <v/>
      </c>
      <c r="AK149" s="47" t="str">
        <f>IF(COUNT(F149:AJ149)=0,"",SUM(F149:AJ149))</f>
        <v/>
      </c>
    </row>
    <row r="150" ht="15.75" customHeight="1">
      <c r="A150" s="118"/>
      <c r="B150" s="110"/>
      <c r="C150" s="55" t="inlineStr">
        <is>
          <t xml:space="preserve">Caixas Expedidas</t>
        </is>
      </c>
      <c r="D150" s="473" t="str">
        <f>IFERROR(1/(1/INDEX(calculos!$C$55:$K$83,MATCH("OUT Caixas Expedidas",calculos!$A$55:$A$83,0),MATCH($A$147,calculos!$C$54:$K$54,0))),"")</f>
        <v/>
      </c>
      <c r="E150" s="57"/>
      <c r="F150" s="474" t="str">
        <f>IF(F$3="","",IF(COUNTIFS(Base!$A$3:$A$5001,F$3,Base!$B$3:$B$5001,$A$147,Base!$O$3:$O$5001,"&lt;&gt;")=0,"",SUMIFS(Base!$O$3:$O$5001,Base!$A$3:$A$5001,F$3,Base!$B$3:$B$5001,$A$147)))</f>
        <v/>
      </c>
      <c r="G150" s="475" t="str">
        <f>IF(G$3="","",IF(COUNTIFS(Base!$A$3:$A$5001,G$3,Base!$B$3:$B$5001,$A$147,Base!$O$3:$O$5001,"&lt;&gt;")=0,"",SUMIFS(Base!$O$3:$O$5001,Base!$A$3:$A$5001,G$3,Base!$B$3:$B$5001,$A$147)))</f>
        <v/>
      </c>
      <c r="H150" s="475" t="str">
        <f>IF(H$3="","",IF(COUNTIFS(Base!$A$3:$A$5001,H$3,Base!$B$3:$B$5001,$A$147,Base!$O$3:$O$5001,"&lt;&gt;")=0,"",SUMIFS(Base!$O$3:$O$5001,Base!$A$3:$A$5001,H$3,Base!$B$3:$B$5001,$A$147)))</f>
        <v/>
      </c>
      <c r="I150" s="475" t="str">
        <f>IF(I$3="","",IF(COUNTIFS(Base!$A$3:$A$5001,I$3,Base!$B$3:$B$5001,$A$147,Base!$O$3:$O$5001,"&lt;&gt;")=0,"",SUMIFS(Base!$O$3:$O$5001,Base!$A$3:$A$5001,I$3,Base!$B$3:$B$5001,$A$147)))</f>
        <v/>
      </c>
      <c r="J150" s="475" t="str">
        <f>IF(J$3="","",IF(COUNTIFS(Base!$A$3:$A$5001,J$3,Base!$B$3:$B$5001,$A$147,Base!$O$3:$O$5001,"&lt;&gt;")=0,"",SUMIFS(Base!$O$3:$O$5001,Base!$A$3:$A$5001,J$3,Base!$B$3:$B$5001,$A$147)))</f>
        <v/>
      </c>
      <c r="K150" s="475" t="str">
        <f>IF(K$3="","",IF(COUNTIFS(Base!$A$3:$A$5001,K$3,Base!$B$3:$B$5001,$A$147,Base!$O$3:$O$5001,"&lt;&gt;")=0,"",SUMIFS(Base!$O$3:$O$5001,Base!$A$3:$A$5001,K$3,Base!$B$3:$B$5001,$A$147)))</f>
        <v/>
      </c>
      <c r="L150" s="475" t="str">
        <f>IF(L$3="","",IF(COUNTIFS(Base!$A$3:$A$5001,L$3,Base!$B$3:$B$5001,$A$147,Base!$O$3:$O$5001,"&lt;&gt;")=0,"",SUMIFS(Base!$O$3:$O$5001,Base!$A$3:$A$5001,L$3,Base!$B$3:$B$5001,$A$147)))</f>
        <v/>
      </c>
      <c r="M150" s="475" t="str">
        <f>IF(M$3="","",IF(COUNTIFS(Base!$A$3:$A$5001,M$3,Base!$B$3:$B$5001,$A$147,Base!$O$3:$O$5001,"&lt;&gt;")=0,"",SUMIFS(Base!$O$3:$O$5001,Base!$A$3:$A$5001,M$3,Base!$B$3:$B$5001,$A$147)))</f>
        <v/>
      </c>
      <c r="N150" s="475" t="str">
        <f>IF(N$3="","",IF(COUNTIFS(Base!$A$3:$A$5001,N$3,Base!$B$3:$B$5001,$A$147,Base!$O$3:$O$5001,"&lt;&gt;")=0,"",SUMIFS(Base!$O$3:$O$5001,Base!$A$3:$A$5001,N$3,Base!$B$3:$B$5001,$A$147)))</f>
        <v/>
      </c>
      <c r="O150" s="475" t="str">
        <f>IF(O$3="","",IF(COUNTIFS(Base!$A$3:$A$5001,O$3,Base!$B$3:$B$5001,$A$147,Base!$O$3:$O$5001,"&lt;&gt;")=0,"",SUMIFS(Base!$O$3:$O$5001,Base!$A$3:$A$5001,O$3,Base!$B$3:$B$5001,$A$147)))</f>
        <v/>
      </c>
      <c r="P150" s="475" t="str">
        <f>IF(P$3="","",IF(COUNTIFS(Base!$A$3:$A$5001,P$3,Base!$B$3:$B$5001,$A$147,Base!$O$3:$O$5001,"&lt;&gt;")=0,"",SUMIFS(Base!$O$3:$O$5001,Base!$A$3:$A$5001,P$3,Base!$B$3:$B$5001,$A$147)))</f>
        <v/>
      </c>
      <c r="Q150" s="475" t="str">
        <f>IF(Q$3="","",IF(COUNTIFS(Base!$A$3:$A$5001,Q$3,Base!$B$3:$B$5001,$A$147,Base!$O$3:$O$5001,"&lt;&gt;")=0,"",SUMIFS(Base!$O$3:$O$5001,Base!$A$3:$A$5001,Q$3,Base!$B$3:$B$5001,$A$147)))</f>
        <v/>
      </c>
      <c r="R150" s="475" t="str">
        <f>IF(R$3="","",IF(COUNTIFS(Base!$A$3:$A$5001,R$3,Base!$B$3:$B$5001,$A$147,Base!$O$3:$O$5001,"&lt;&gt;")=0,"",SUMIFS(Base!$O$3:$O$5001,Base!$A$3:$A$5001,R$3,Base!$B$3:$B$5001,$A$147)))</f>
        <v/>
      </c>
      <c r="S150" s="475" t="str">
        <f>IF(S$3="","",IF(COUNTIFS(Base!$A$3:$A$5001,S$3,Base!$B$3:$B$5001,$A$147,Base!$O$3:$O$5001,"&lt;&gt;")=0,"",SUMIFS(Base!$O$3:$O$5001,Base!$A$3:$A$5001,S$3,Base!$B$3:$B$5001,$A$147)))</f>
        <v/>
      </c>
      <c r="T150" s="475" t="str">
        <f>IF(T$3="","",IF(COUNTIFS(Base!$A$3:$A$5001,T$3,Base!$B$3:$B$5001,$A$147,Base!$O$3:$O$5001,"&lt;&gt;")=0,"",SUMIFS(Base!$O$3:$O$5001,Base!$A$3:$A$5001,T$3,Base!$B$3:$B$5001,$A$147)))</f>
        <v/>
      </c>
      <c r="U150" s="475" t="str">
        <f>IF(U$3="","",IF(COUNTIFS(Base!$A$3:$A$5001,U$3,Base!$B$3:$B$5001,$A$147,Base!$O$3:$O$5001,"&lt;&gt;")=0,"",SUMIFS(Base!$O$3:$O$5001,Base!$A$3:$A$5001,U$3,Base!$B$3:$B$5001,$A$147)))</f>
        <v/>
      </c>
      <c r="V150" s="475" t="str">
        <f>IF(V$3="","",IF(COUNTIFS(Base!$A$3:$A$5001,V$3,Base!$B$3:$B$5001,$A$147,Base!$O$3:$O$5001,"&lt;&gt;")=0,"",SUMIFS(Base!$O$3:$O$5001,Base!$A$3:$A$5001,V$3,Base!$B$3:$B$5001,$A$147)))</f>
        <v/>
      </c>
      <c r="W150" s="475" t="str">
        <f>IF(W$3="","",IF(COUNTIFS(Base!$A$3:$A$5001,W$3,Base!$B$3:$B$5001,$A$147,Base!$O$3:$O$5001,"&lt;&gt;")=0,"",SUMIFS(Base!$O$3:$O$5001,Base!$A$3:$A$5001,W$3,Base!$B$3:$B$5001,$A$147)))</f>
        <v/>
      </c>
      <c r="X150" s="475" t="str">
        <f>IF(X$3="","",IF(COUNTIFS(Base!$A$3:$A$5001,X$3,Base!$B$3:$B$5001,$A$147,Base!$O$3:$O$5001,"&lt;&gt;")=0,"",SUMIFS(Base!$O$3:$O$5001,Base!$A$3:$A$5001,X$3,Base!$B$3:$B$5001,$A$147)))</f>
        <v/>
      </c>
      <c r="Y150" s="475" t="str">
        <f>IF(Y$3="","",IF(COUNTIFS(Base!$A$3:$A$5001,Y$3,Base!$B$3:$B$5001,$A$147,Base!$O$3:$O$5001,"&lt;&gt;")=0,"",SUMIFS(Base!$O$3:$O$5001,Base!$A$3:$A$5001,Y$3,Base!$B$3:$B$5001,$A$147)))</f>
        <v/>
      </c>
      <c r="Z150" s="475" t="str">
        <f>IF(Z$3="","",IF(COUNTIFS(Base!$A$3:$A$5001,Z$3,Base!$B$3:$B$5001,$A$147,Base!$O$3:$O$5001,"&lt;&gt;")=0,"",SUMIFS(Base!$O$3:$O$5001,Base!$A$3:$A$5001,Z$3,Base!$B$3:$B$5001,$A$147)))</f>
        <v/>
      </c>
      <c r="AA150" s="475" t="str">
        <f>IF(AA$3="","",IF(COUNTIFS(Base!$A$3:$A$5001,AA$3,Base!$B$3:$B$5001,$A$147,Base!$O$3:$O$5001,"&lt;&gt;")=0,"",SUMIFS(Base!$O$3:$O$5001,Base!$A$3:$A$5001,AA$3,Base!$B$3:$B$5001,$A$147)))</f>
        <v/>
      </c>
      <c r="AB150" s="475" t="str">
        <f>IF(AB$3="","",IF(COUNTIFS(Base!$A$3:$A$5001,AB$3,Base!$B$3:$B$5001,$A$147,Base!$O$3:$O$5001,"&lt;&gt;")=0,"",SUMIFS(Base!$O$3:$O$5001,Base!$A$3:$A$5001,AB$3,Base!$B$3:$B$5001,$A$147)))</f>
        <v/>
      </c>
      <c r="AC150" s="475" t="str">
        <f>IF(AC$3="","",IF(COUNTIFS(Base!$A$3:$A$5001,AC$3,Base!$B$3:$B$5001,$A$147,Base!$O$3:$O$5001,"&lt;&gt;")=0,"",SUMIFS(Base!$O$3:$O$5001,Base!$A$3:$A$5001,AC$3,Base!$B$3:$B$5001,$A$147)))</f>
        <v/>
      </c>
      <c r="AD150" s="475" t="str">
        <f>IF(AD$3="","",IF(COUNTIFS(Base!$A$3:$A$5001,AD$3,Base!$B$3:$B$5001,$A$147,Base!$O$3:$O$5001,"&lt;&gt;")=0,"",SUMIFS(Base!$O$3:$O$5001,Base!$A$3:$A$5001,AD$3,Base!$B$3:$B$5001,$A$147)))</f>
        <v/>
      </c>
      <c r="AE150" s="475" t="str">
        <f>IF(AE$3="","",IF(COUNTIFS(Base!$A$3:$A$5001,AE$3,Base!$B$3:$B$5001,$A$147,Base!$O$3:$O$5001,"&lt;&gt;")=0,"",SUMIFS(Base!$O$3:$O$5001,Base!$A$3:$A$5001,AE$3,Base!$B$3:$B$5001,$A$147)))</f>
        <v/>
      </c>
      <c r="AF150" s="475" t="str">
        <f>IF(AF$3="","",IF(COUNTIFS(Base!$A$3:$A$5001,AF$3,Base!$B$3:$B$5001,$A$147,Base!$O$3:$O$5001,"&lt;&gt;")=0,"",SUMIFS(Base!$O$3:$O$5001,Base!$A$3:$A$5001,AF$3,Base!$B$3:$B$5001,$A$147)))</f>
        <v/>
      </c>
      <c r="AG150" s="475" t="str">
        <f>IF(AG$3="","",IF(COUNTIFS(Base!$A$3:$A$5001,AG$3,Base!$B$3:$B$5001,$A$147,Base!$O$3:$O$5001,"&lt;&gt;")=0,"",SUMIFS(Base!$O$3:$O$5001,Base!$A$3:$A$5001,AG$3,Base!$B$3:$B$5001,$A$147)))</f>
        <v/>
      </c>
      <c r="AH150" s="475" t="str">
        <f>IF(AH$3="","",IF(COUNTIFS(Base!$A$3:$A$5001,AH$3,Base!$B$3:$B$5001,$A$147,Base!$O$3:$O$5001,"&lt;&gt;")=0,"",SUMIFS(Base!$O$3:$O$5001,Base!$A$3:$A$5001,AH$3,Base!$B$3:$B$5001,$A$147)))</f>
        <v/>
      </c>
      <c r="AI150" s="475" t="str">
        <f>IF(AI$3="","",IF(COUNTIFS(Base!$A$3:$A$5001,AI$3,Base!$B$3:$B$5001,$A$147,Base!$O$3:$O$5001,"&lt;&gt;")=0,"",SUMIFS(Base!$O$3:$O$5001,Base!$A$3:$A$5001,AI$3,Base!$B$3:$B$5001,$A$147)))</f>
        <v/>
      </c>
      <c r="AJ150" s="476" t="str">
        <f>IF(AJ$3="","",IF(COUNTIFS(Base!$A$3:$A$5001,AJ$3,Base!$B$3:$B$5001,$A$147,Base!$O$3:$O$5001,"&lt;&gt;")=0,"",SUMIFS(Base!$O$3:$O$5001,Base!$A$3:$A$5001,AJ$3,Base!$B$3:$B$5001,$A$147)))</f>
        <v/>
      </c>
      <c r="AK150" s="473" t="str">
        <f>IF(COUNT(F150:AJ150)=0,"",SUM(F150:AJ150))</f>
        <v/>
      </c>
    </row>
    <row r="151" ht="15.75" customHeight="1">
      <c r="A151" s="118"/>
      <c r="B151" s="111" t="inlineStr">
        <is>
          <t xml:space="preserve">NC</t>
        </is>
      </c>
      <c r="C151" s="61" t="inlineStr">
        <is>
          <t xml:space="preserve">Incidentes</t>
        </is>
      </c>
      <c r="D151" s="62" t="str">
        <f>IFERROR(1/(1/INDEX(calculos!$C$55:$K$83,MATCH("NC Incidentes",calculos!$A$55:$A$83,0),MATCH($A$147,calculos!$C$54:$K$54,0))),"")</f>
        <v/>
      </c>
      <c r="E151" s="63"/>
      <c r="F151" s="64" t="str">
        <f>IF(F$3="","",IF(COUNTIFS(Base!$A$3:$A$5001,F$3,Base!$B$3:$B$5001,$A$147,Base!$U$3:$U$5001,"&lt;&gt;")=0,"",SUMIFS(Base!$U$3:$U$5001,Base!$A$3:$A$5001,F$3,Base!$B$3:$B$5001,$A$147)))</f>
        <v/>
      </c>
      <c r="G151" s="65" t="str">
        <f>IF(G$3="","",IF(COUNTIFS(Base!$A$3:$A$5001,G$3,Base!$B$3:$B$5001,$A$147,Base!$U$3:$U$5001,"&lt;&gt;")=0,"",SUMIFS(Base!$U$3:$U$5001,Base!$A$3:$A$5001,G$3,Base!$B$3:$B$5001,$A$147)))</f>
        <v/>
      </c>
      <c r="H151" s="65" t="str">
        <f>IF(H$3="","",IF(COUNTIFS(Base!$A$3:$A$5001,H$3,Base!$B$3:$B$5001,$A$147,Base!$U$3:$U$5001,"&lt;&gt;")=0,"",SUMIFS(Base!$U$3:$U$5001,Base!$A$3:$A$5001,H$3,Base!$B$3:$B$5001,$A$147)))</f>
        <v/>
      </c>
      <c r="I151" s="65" t="str">
        <f>IF(I$3="","",IF(COUNTIFS(Base!$A$3:$A$5001,I$3,Base!$B$3:$B$5001,$A$147,Base!$U$3:$U$5001,"&lt;&gt;")=0,"",SUMIFS(Base!$U$3:$U$5001,Base!$A$3:$A$5001,I$3,Base!$B$3:$B$5001,$A$147)))</f>
        <v/>
      </c>
      <c r="J151" s="65" t="str">
        <f>IF(J$3="","",IF(COUNTIFS(Base!$A$3:$A$5001,J$3,Base!$B$3:$B$5001,$A$147,Base!$U$3:$U$5001,"&lt;&gt;")=0,"",SUMIFS(Base!$U$3:$U$5001,Base!$A$3:$A$5001,J$3,Base!$B$3:$B$5001,$A$147)))</f>
        <v/>
      </c>
      <c r="K151" s="65" t="str">
        <f>IF(K$3="","",IF(COUNTIFS(Base!$A$3:$A$5001,K$3,Base!$B$3:$B$5001,$A$147,Base!$U$3:$U$5001,"&lt;&gt;")=0,"",SUMIFS(Base!$U$3:$U$5001,Base!$A$3:$A$5001,K$3,Base!$B$3:$B$5001,$A$147)))</f>
        <v/>
      </c>
      <c r="L151" s="65" t="str">
        <f>IF(L$3="","",IF(COUNTIFS(Base!$A$3:$A$5001,L$3,Base!$B$3:$B$5001,$A$147,Base!$U$3:$U$5001,"&lt;&gt;")=0,"",SUMIFS(Base!$U$3:$U$5001,Base!$A$3:$A$5001,L$3,Base!$B$3:$B$5001,$A$147)))</f>
        <v/>
      </c>
      <c r="M151" s="65" t="str">
        <f>IF(M$3="","",IF(COUNTIFS(Base!$A$3:$A$5001,M$3,Base!$B$3:$B$5001,$A$147,Base!$U$3:$U$5001,"&lt;&gt;")=0,"",SUMIFS(Base!$U$3:$U$5001,Base!$A$3:$A$5001,M$3,Base!$B$3:$B$5001,$A$147)))</f>
        <v/>
      </c>
      <c r="N151" s="65" t="str">
        <f>IF(N$3="","",IF(COUNTIFS(Base!$A$3:$A$5001,N$3,Base!$B$3:$B$5001,$A$147,Base!$U$3:$U$5001,"&lt;&gt;")=0,"",SUMIFS(Base!$U$3:$U$5001,Base!$A$3:$A$5001,N$3,Base!$B$3:$B$5001,$A$147)))</f>
        <v/>
      </c>
      <c r="O151" s="65" t="str">
        <f>IF(O$3="","",IF(COUNTIFS(Base!$A$3:$A$5001,O$3,Base!$B$3:$B$5001,$A$147,Base!$U$3:$U$5001,"&lt;&gt;")=0,"",SUMIFS(Base!$U$3:$U$5001,Base!$A$3:$A$5001,O$3,Base!$B$3:$B$5001,$A$147)))</f>
        <v/>
      </c>
      <c r="P151" s="65" t="str">
        <f>IF(P$3="","",IF(COUNTIFS(Base!$A$3:$A$5001,P$3,Base!$B$3:$B$5001,$A$147,Base!$U$3:$U$5001,"&lt;&gt;")=0,"",SUMIFS(Base!$U$3:$U$5001,Base!$A$3:$A$5001,P$3,Base!$B$3:$B$5001,$A$147)))</f>
        <v/>
      </c>
      <c r="Q151" s="65" t="str">
        <f>IF(Q$3="","",IF(COUNTIFS(Base!$A$3:$A$5001,Q$3,Base!$B$3:$B$5001,$A$147,Base!$U$3:$U$5001,"&lt;&gt;")=0,"",SUMIFS(Base!$U$3:$U$5001,Base!$A$3:$A$5001,Q$3,Base!$B$3:$B$5001,$A$147)))</f>
        <v/>
      </c>
      <c r="R151" s="65" t="str">
        <f>IF(R$3="","",IF(COUNTIFS(Base!$A$3:$A$5001,R$3,Base!$B$3:$B$5001,$A$147,Base!$U$3:$U$5001,"&lt;&gt;")=0,"",SUMIFS(Base!$U$3:$U$5001,Base!$A$3:$A$5001,R$3,Base!$B$3:$B$5001,$A$147)))</f>
        <v/>
      </c>
      <c r="S151" s="65" t="str">
        <f>IF(S$3="","",IF(COUNTIFS(Base!$A$3:$A$5001,S$3,Base!$B$3:$B$5001,$A$147,Base!$U$3:$U$5001,"&lt;&gt;")=0,"",SUMIFS(Base!$U$3:$U$5001,Base!$A$3:$A$5001,S$3,Base!$B$3:$B$5001,$A$147)))</f>
        <v/>
      </c>
      <c r="T151" s="65" t="str">
        <f>IF(T$3="","",IF(COUNTIFS(Base!$A$3:$A$5001,T$3,Base!$B$3:$B$5001,$A$147,Base!$U$3:$U$5001,"&lt;&gt;")=0,"",SUMIFS(Base!$U$3:$U$5001,Base!$A$3:$A$5001,T$3,Base!$B$3:$B$5001,$A$147)))</f>
        <v/>
      </c>
      <c r="U151" s="65" t="str">
        <f>IF(U$3="","",IF(COUNTIFS(Base!$A$3:$A$5001,U$3,Base!$B$3:$B$5001,$A$147,Base!$U$3:$U$5001,"&lt;&gt;")=0,"",SUMIFS(Base!$U$3:$U$5001,Base!$A$3:$A$5001,U$3,Base!$B$3:$B$5001,$A$147)))</f>
        <v/>
      </c>
      <c r="V151" s="65" t="str">
        <f>IF(V$3="","",IF(COUNTIFS(Base!$A$3:$A$5001,V$3,Base!$B$3:$B$5001,$A$147,Base!$U$3:$U$5001,"&lt;&gt;")=0,"",SUMIFS(Base!$U$3:$U$5001,Base!$A$3:$A$5001,V$3,Base!$B$3:$B$5001,$A$147)))</f>
        <v/>
      </c>
      <c r="W151" s="65" t="str">
        <f>IF(W$3="","",IF(COUNTIFS(Base!$A$3:$A$5001,W$3,Base!$B$3:$B$5001,$A$147,Base!$U$3:$U$5001,"&lt;&gt;")=0,"",SUMIFS(Base!$U$3:$U$5001,Base!$A$3:$A$5001,W$3,Base!$B$3:$B$5001,$A$147)))</f>
        <v/>
      </c>
      <c r="X151" s="65" t="str">
        <f>IF(X$3="","",IF(COUNTIFS(Base!$A$3:$A$5001,X$3,Base!$B$3:$B$5001,$A$147,Base!$U$3:$U$5001,"&lt;&gt;")=0,"",SUMIFS(Base!$U$3:$U$5001,Base!$A$3:$A$5001,X$3,Base!$B$3:$B$5001,$A$147)))</f>
        <v/>
      </c>
      <c r="Y151" s="65" t="str">
        <f>IF(Y$3="","",IF(COUNTIFS(Base!$A$3:$A$5001,Y$3,Base!$B$3:$B$5001,$A$147,Base!$U$3:$U$5001,"&lt;&gt;")=0,"",SUMIFS(Base!$U$3:$U$5001,Base!$A$3:$A$5001,Y$3,Base!$B$3:$B$5001,$A$147)))</f>
        <v/>
      </c>
      <c r="Z151" s="65" t="str">
        <f>IF(Z$3="","",IF(COUNTIFS(Base!$A$3:$A$5001,Z$3,Base!$B$3:$B$5001,$A$147,Base!$U$3:$U$5001,"&lt;&gt;")=0,"",SUMIFS(Base!$U$3:$U$5001,Base!$A$3:$A$5001,Z$3,Base!$B$3:$B$5001,$A$147)))</f>
        <v/>
      </c>
      <c r="AA151" s="65" t="str">
        <f>IF(AA$3="","",IF(COUNTIFS(Base!$A$3:$A$5001,AA$3,Base!$B$3:$B$5001,$A$147,Base!$U$3:$U$5001,"&lt;&gt;")=0,"",SUMIFS(Base!$U$3:$U$5001,Base!$A$3:$A$5001,AA$3,Base!$B$3:$B$5001,$A$147)))</f>
        <v/>
      </c>
      <c r="AB151" s="65" t="str">
        <f>IF(AB$3="","",IF(COUNTIFS(Base!$A$3:$A$5001,AB$3,Base!$B$3:$B$5001,$A$147,Base!$U$3:$U$5001,"&lt;&gt;")=0,"",SUMIFS(Base!$U$3:$U$5001,Base!$A$3:$A$5001,AB$3,Base!$B$3:$B$5001,$A$147)))</f>
        <v/>
      </c>
      <c r="AC151" s="65" t="str">
        <f>IF(AC$3="","",IF(COUNTIFS(Base!$A$3:$A$5001,AC$3,Base!$B$3:$B$5001,$A$147,Base!$U$3:$U$5001,"&lt;&gt;")=0,"",SUMIFS(Base!$U$3:$U$5001,Base!$A$3:$A$5001,AC$3,Base!$B$3:$B$5001,$A$147)))</f>
        <v/>
      </c>
      <c r="AD151" s="65" t="str">
        <f>IF(AD$3="","",IF(COUNTIFS(Base!$A$3:$A$5001,AD$3,Base!$B$3:$B$5001,$A$147,Base!$U$3:$U$5001,"&lt;&gt;")=0,"",SUMIFS(Base!$U$3:$U$5001,Base!$A$3:$A$5001,AD$3,Base!$B$3:$B$5001,$A$147)))</f>
        <v/>
      </c>
      <c r="AE151" s="65" t="str">
        <f>IF(AE$3="","",IF(COUNTIFS(Base!$A$3:$A$5001,AE$3,Base!$B$3:$B$5001,$A$147,Base!$U$3:$U$5001,"&lt;&gt;")=0,"",SUMIFS(Base!$U$3:$U$5001,Base!$A$3:$A$5001,AE$3,Base!$B$3:$B$5001,$A$147)))</f>
        <v/>
      </c>
      <c r="AF151" s="65" t="str">
        <f>IF(AF$3="","",IF(COUNTIFS(Base!$A$3:$A$5001,AF$3,Base!$B$3:$B$5001,$A$147,Base!$U$3:$U$5001,"&lt;&gt;")=0,"",SUMIFS(Base!$U$3:$U$5001,Base!$A$3:$A$5001,AF$3,Base!$B$3:$B$5001,$A$147)))</f>
        <v/>
      </c>
      <c r="AG151" s="65" t="str">
        <f>IF(AG$3="","",IF(COUNTIFS(Base!$A$3:$A$5001,AG$3,Base!$B$3:$B$5001,$A$147,Base!$U$3:$U$5001,"&lt;&gt;")=0,"",SUMIFS(Base!$U$3:$U$5001,Base!$A$3:$A$5001,AG$3,Base!$B$3:$B$5001,$A$147)))</f>
        <v/>
      </c>
      <c r="AH151" s="65" t="str">
        <f>IF(AH$3="","",IF(COUNTIFS(Base!$A$3:$A$5001,AH$3,Base!$B$3:$B$5001,$A$147,Base!$U$3:$U$5001,"&lt;&gt;")=0,"",SUMIFS(Base!$U$3:$U$5001,Base!$A$3:$A$5001,AH$3,Base!$B$3:$B$5001,$A$147)))</f>
        <v/>
      </c>
      <c r="AI151" s="65" t="str">
        <f>IF(AI$3="","",IF(COUNTIFS(Base!$A$3:$A$5001,AI$3,Base!$B$3:$B$5001,$A$147,Base!$U$3:$U$5001,"&lt;&gt;")=0,"",SUMIFS(Base!$U$3:$U$5001,Base!$A$3:$A$5001,AI$3,Base!$B$3:$B$5001,$A$147)))</f>
        <v/>
      </c>
      <c r="AJ151" s="66" t="str">
        <f>IF(AJ$3="","",IF(COUNTIFS(Base!$A$3:$A$5001,AJ$3,Base!$B$3:$B$5001,$A$147,Base!$U$3:$U$5001,"&lt;&gt;")=0,"",SUMIFS(Base!$U$3:$U$5001,Base!$A$3:$A$5001,AJ$3,Base!$B$3:$B$5001,$A$147)))</f>
        <v/>
      </c>
      <c r="AK151" s="67" t="str">
        <f>IF(COUNT(F151:AJ151)=0,"",SUM(F151:AJ151))</f>
        <v/>
      </c>
    </row>
    <row r="152" ht="15.75" customHeight="1">
      <c r="A152" s="118"/>
      <c r="B152" s="112"/>
      <c r="C152" s="68" t="inlineStr">
        <is>
          <t xml:space="preserve">No show</t>
        </is>
      </c>
      <c r="D152" s="69" t="str">
        <f>IFERROR(1/(1/INDEX(calculos!$C$55:$K$83,MATCH("NC No show",calculos!$A$55:$A$83,0),MATCH($A$147,calculos!$C$54:$K$54,0))),"")</f>
        <v/>
      </c>
      <c r="E152" s="70"/>
      <c r="F152" s="71" t="str">
        <f>IF(F$3="","",IF(COUNTIFS(Base!$A$3:$A$5001,F$3,Base!$B$3:$B$5001,$A$147,Base!$V$3:$V$5001,"&lt;&gt;")=0,"",SUMIFS(Base!$V$3:$V$5001,Base!$A$3:$A$5001,F$3,Base!$B$3:$B$5001,$A$147)))</f>
        <v/>
      </c>
      <c r="G152" s="72" t="str">
        <f>IF(G$3="","",IF(COUNTIFS(Base!$A$3:$A$5001,G$3,Base!$B$3:$B$5001,$A$147,Base!$V$3:$V$5001,"&lt;&gt;")=0,"",SUMIFS(Base!$V$3:$V$5001,Base!$A$3:$A$5001,G$3,Base!$B$3:$B$5001,$A$147)))</f>
        <v/>
      </c>
      <c r="H152" s="72" t="str">
        <f>IF(H$3="","",IF(COUNTIFS(Base!$A$3:$A$5001,H$3,Base!$B$3:$B$5001,$A$147,Base!$V$3:$V$5001,"&lt;&gt;")=0,"",SUMIFS(Base!$V$3:$V$5001,Base!$A$3:$A$5001,H$3,Base!$B$3:$B$5001,$A$147)))</f>
        <v/>
      </c>
      <c r="I152" s="72" t="str">
        <f>IF(I$3="","",IF(COUNTIFS(Base!$A$3:$A$5001,I$3,Base!$B$3:$B$5001,$A$147,Base!$V$3:$V$5001,"&lt;&gt;")=0,"",SUMIFS(Base!$V$3:$V$5001,Base!$A$3:$A$5001,I$3,Base!$B$3:$B$5001,$A$147)))</f>
        <v/>
      </c>
      <c r="J152" s="72" t="str">
        <f>IF(J$3="","",IF(COUNTIFS(Base!$A$3:$A$5001,J$3,Base!$B$3:$B$5001,$A$147,Base!$V$3:$V$5001,"&lt;&gt;")=0,"",SUMIFS(Base!$V$3:$V$5001,Base!$A$3:$A$5001,J$3,Base!$B$3:$B$5001,$A$147)))</f>
        <v/>
      </c>
      <c r="K152" s="72" t="str">
        <f>IF(K$3="","",IF(COUNTIFS(Base!$A$3:$A$5001,K$3,Base!$B$3:$B$5001,$A$147,Base!$V$3:$V$5001,"&lt;&gt;")=0,"",SUMIFS(Base!$V$3:$V$5001,Base!$A$3:$A$5001,K$3,Base!$B$3:$B$5001,$A$147)))</f>
        <v/>
      </c>
      <c r="L152" s="72" t="str">
        <f>IF(L$3="","",IF(COUNTIFS(Base!$A$3:$A$5001,L$3,Base!$B$3:$B$5001,$A$147,Base!$V$3:$V$5001,"&lt;&gt;")=0,"",SUMIFS(Base!$V$3:$V$5001,Base!$A$3:$A$5001,L$3,Base!$B$3:$B$5001,$A$147)))</f>
        <v/>
      </c>
      <c r="M152" s="72" t="str">
        <f>IF(M$3="","",IF(COUNTIFS(Base!$A$3:$A$5001,M$3,Base!$B$3:$B$5001,$A$147,Base!$V$3:$V$5001,"&lt;&gt;")=0,"",SUMIFS(Base!$V$3:$V$5001,Base!$A$3:$A$5001,M$3,Base!$B$3:$B$5001,$A$147)))</f>
        <v/>
      </c>
      <c r="N152" s="72" t="str">
        <f>IF(N$3="","",IF(COUNTIFS(Base!$A$3:$A$5001,N$3,Base!$B$3:$B$5001,$A$147,Base!$V$3:$V$5001,"&lt;&gt;")=0,"",SUMIFS(Base!$V$3:$V$5001,Base!$A$3:$A$5001,N$3,Base!$B$3:$B$5001,$A$147)))</f>
        <v/>
      </c>
      <c r="O152" s="72" t="str">
        <f>IF(O$3="","",IF(COUNTIFS(Base!$A$3:$A$5001,O$3,Base!$B$3:$B$5001,$A$147,Base!$V$3:$V$5001,"&lt;&gt;")=0,"",SUMIFS(Base!$V$3:$V$5001,Base!$A$3:$A$5001,O$3,Base!$B$3:$B$5001,$A$147)))</f>
        <v/>
      </c>
      <c r="P152" s="72" t="str">
        <f>IF(P$3="","",IF(COUNTIFS(Base!$A$3:$A$5001,P$3,Base!$B$3:$B$5001,$A$147,Base!$V$3:$V$5001,"&lt;&gt;")=0,"",SUMIFS(Base!$V$3:$V$5001,Base!$A$3:$A$5001,P$3,Base!$B$3:$B$5001,$A$147)))</f>
        <v/>
      </c>
      <c r="Q152" s="72" t="str">
        <f>IF(Q$3="","",IF(COUNTIFS(Base!$A$3:$A$5001,Q$3,Base!$B$3:$B$5001,$A$147,Base!$V$3:$V$5001,"&lt;&gt;")=0,"",SUMIFS(Base!$V$3:$V$5001,Base!$A$3:$A$5001,Q$3,Base!$B$3:$B$5001,$A$147)))</f>
        <v/>
      </c>
      <c r="R152" s="72" t="str">
        <f>IF(R$3="","",IF(COUNTIFS(Base!$A$3:$A$5001,R$3,Base!$B$3:$B$5001,$A$147,Base!$V$3:$V$5001,"&lt;&gt;")=0,"",SUMIFS(Base!$V$3:$V$5001,Base!$A$3:$A$5001,R$3,Base!$B$3:$B$5001,$A$147)))</f>
        <v/>
      </c>
      <c r="S152" s="72" t="str">
        <f>IF(S$3="","",IF(COUNTIFS(Base!$A$3:$A$5001,S$3,Base!$B$3:$B$5001,$A$147,Base!$V$3:$V$5001,"&lt;&gt;")=0,"",SUMIFS(Base!$V$3:$V$5001,Base!$A$3:$A$5001,S$3,Base!$B$3:$B$5001,$A$147)))</f>
        <v/>
      </c>
      <c r="T152" s="72" t="str">
        <f>IF(T$3="","",IF(COUNTIFS(Base!$A$3:$A$5001,T$3,Base!$B$3:$B$5001,$A$147,Base!$V$3:$V$5001,"&lt;&gt;")=0,"",SUMIFS(Base!$V$3:$V$5001,Base!$A$3:$A$5001,T$3,Base!$B$3:$B$5001,$A$147)))</f>
        <v/>
      </c>
      <c r="U152" s="72" t="str">
        <f>IF(U$3="","",IF(COUNTIFS(Base!$A$3:$A$5001,U$3,Base!$B$3:$B$5001,$A$147,Base!$V$3:$V$5001,"&lt;&gt;")=0,"",SUMIFS(Base!$V$3:$V$5001,Base!$A$3:$A$5001,U$3,Base!$B$3:$B$5001,$A$147)))</f>
        <v/>
      </c>
      <c r="V152" s="72" t="str">
        <f>IF(V$3="","",IF(COUNTIFS(Base!$A$3:$A$5001,V$3,Base!$B$3:$B$5001,$A$147,Base!$V$3:$V$5001,"&lt;&gt;")=0,"",SUMIFS(Base!$V$3:$V$5001,Base!$A$3:$A$5001,V$3,Base!$B$3:$B$5001,$A$147)))</f>
        <v/>
      </c>
      <c r="W152" s="72" t="str">
        <f>IF(W$3="","",IF(COUNTIFS(Base!$A$3:$A$5001,W$3,Base!$B$3:$B$5001,$A$147,Base!$V$3:$V$5001,"&lt;&gt;")=0,"",SUMIFS(Base!$V$3:$V$5001,Base!$A$3:$A$5001,W$3,Base!$B$3:$B$5001,$A$147)))</f>
        <v/>
      </c>
      <c r="X152" s="72" t="str">
        <f>IF(X$3="","",IF(COUNTIFS(Base!$A$3:$A$5001,X$3,Base!$B$3:$B$5001,$A$147,Base!$V$3:$V$5001,"&lt;&gt;")=0,"",SUMIFS(Base!$V$3:$V$5001,Base!$A$3:$A$5001,X$3,Base!$B$3:$B$5001,$A$147)))</f>
        <v/>
      </c>
      <c r="Y152" s="72" t="str">
        <f>IF(Y$3="","",IF(COUNTIFS(Base!$A$3:$A$5001,Y$3,Base!$B$3:$B$5001,$A$147,Base!$V$3:$V$5001,"&lt;&gt;")=0,"",SUMIFS(Base!$V$3:$V$5001,Base!$A$3:$A$5001,Y$3,Base!$B$3:$B$5001,$A$147)))</f>
        <v/>
      </c>
      <c r="Z152" s="72" t="str">
        <f>IF(Z$3="","",IF(COUNTIFS(Base!$A$3:$A$5001,Z$3,Base!$B$3:$B$5001,$A$147,Base!$V$3:$V$5001,"&lt;&gt;")=0,"",SUMIFS(Base!$V$3:$V$5001,Base!$A$3:$A$5001,Z$3,Base!$B$3:$B$5001,$A$147)))</f>
        <v/>
      </c>
      <c r="AA152" s="72" t="str">
        <f>IF(AA$3="","",IF(COUNTIFS(Base!$A$3:$A$5001,AA$3,Base!$B$3:$B$5001,$A$147,Base!$V$3:$V$5001,"&lt;&gt;")=0,"",SUMIFS(Base!$V$3:$V$5001,Base!$A$3:$A$5001,AA$3,Base!$B$3:$B$5001,$A$147)))</f>
        <v/>
      </c>
      <c r="AB152" s="72" t="str">
        <f>IF(AB$3="","",IF(COUNTIFS(Base!$A$3:$A$5001,AB$3,Base!$B$3:$B$5001,$A$147,Base!$V$3:$V$5001,"&lt;&gt;")=0,"",SUMIFS(Base!$V$3:$V$5001,Base!$A$3:$A$5001,AB$3,Base!$B$3:$B$5001,$A$147)))</f>
        <v/>
      </c>
      <c r="AC152" s="72" t="str">
        <f>IF(AC$3="","",IF(COUNTIFS(Base!$A$3:$A$5001,AC$3,Base!$B$3:$B$5001,$A$147,Base!$V$3:$V$5001,"&lt;&gt;")=0,"",SUMIFS(Base!$V$3:$V$5001,Base!$A$3:$A$5001,AC$3,Base!$B$3:$B$5001,$A$147)))</f>
        <v/>
      </c>
      <c r="AD152" s="72" t="str">
        <f>IF(AD$3="","",IF(COUNTIFS(Base!$A$3:$A$5001,AD$3,Base!$B$3:$B$5001,$A$147,Base!$V$3:$V$5001,"&lt;&gt;")=0,"",SUMIFS(Base!$V$3:$V$5001,Base!$A$3:$A$5001,AD$3,Base!$B$3:$B$5001,$A$147)))</f>
        <v/>
      </c>
      <c r="AE152" s="72" t="str">
        <f>IF(AE$3="","",IF(COUNTIFS(Base!$A$3:$A$5001,AE$3,Base!$B$3:$B$5001,$A$147,Base!$V$3:$V$5001,"&lt;&gt;")=0,"",SUMIFS(Base!$V$3:$V$5001,Base!$A$3:$A$5001,AE$3,Base!$B$3:$B$5001,$A$147)))</f>
        <v/>
      </c>
      <c r="AF152" s="72" t="str">
        <f>IF(AF$3="","",IF(COUNTIFS(Base!$A$3:$A$5001,AF$3,Base!$B$3:$B$5001,$A$147,Base!$V$3:$V$5001,"&lt;&gt;")=0,"",SUMIFS(Base!$V$3:$V$5001,Base!$A$3:$A$5001,AF$3,Base!$B$3:$B$5001,$A$147)))</f>
        <v/>
      </c>
      <c r="AG152" s="72" t="str">
        <f>IF(AG$3="","",IF(COUNTIFS(Base!$A$3:$A$5001,AG$3,Base!$B$3:$B$5001,$A$147,Base!$V$3:$V$5001,"&lt;&gt;")=0,"",SUMIFS(Base!$V$3:$V$5001,Base!$A$3:$A$5001,AG$3,Base!$B$3:$B$5001,$A$147)))</f>
        <v/>
      </c>
      <c r="AH152" s="72" t="str">
        <f>IF(AH$3="","",IF(COUNTIFS(Base!$A$3:$A$5001,AH$3,Base!$B$3:$B$5001,$A$147,Base!$V$3:$V$5001,"&lt;&gt;")=0,"",SUMIFS(Base!$V$3:$V$5001,Base!$A$3:$A$5001,AH$3,Base!$B$3:$B$5001,$A$147)))</f>
        <v/>
      </c>
      <c r="AI152" s="72" t="str">
        <f>IF(AI$3="","",IF(COUNTIFS(Base!$A$3:$A$5001,AI$3,Base!$B$3:$B$5001,$A$147,Base!$V$3:$V$5001,"&lt;&gt;")=0,"",SUMIFS(Base!$V$3:$V$5001,Base!$A$3:$A$5001,AI$3,Base!$B$3:$B$5001,$A$147)))</f>
        <v/>
      </c>
      <c r="AJ152" s="73" t="str">
        <f>IF(AJ$3="","",IF(COUNTIFS(Base!$A$3:$A$5001,AJ$3,Base!$B$3:$B$5001,$A$147,Base!$V$3:$V$5001,"&lt;&gt;")=0,"",SUMIFS(Base!$V$3:$V$5001,Base!$A$3:$A$5001,AJ$3,Base!$B$3:$B$5001,$A$147)))</f>
        <v/>
      </c>
      <c r="AK152" s="74" t="str">
        <f>IF(COUNT(F152:AJ152)=0,"",SUM(F152:AJ152))</f>
        <v/>
      </c>
    </row>
    <row r="153" ht="15.75" customHeight="1">
      <c r="A153" s="118"/>
      <c r="B153" s="113"/>
      <c r="C153" s="75" t="inlineStr">
        <is>
          <t xml:space="preserve">Backlog</t>
        </is>
      </c>
      <c r="D153" s="76" t="str">
        <f>IFERROR(1/(1/INDEX(calculos!$C$55:$K$83,MATCH("NC Backlog",calculos!$A$55:$A$83,0),MATCH($A$147,calculos!$C$54:$K$54,0))),"")</f>
        <v/>
      </c>
      <c r="E153" s="77"/>
      <c r="F153" s="78" t="str">
        <f>IF(F$3="","",IF(COUNTIFS(Base!$A$3:$A$5001,F$3,Base!$B$3:$B$5001,$A$147,Base!$W$3:$W$5001,"&lt;&gt;")=0,"",SUMIFS(Base!$W$3:$W$5001,Base!$A$3:$A$5001,F$3,Base!$B$3:$B$5001,$A$147)))</f>
        <v/>
      </c>
      <c r="G153" s="79" t="str">
        <f>IF(G$3="","",IF(COUNTIFS(Base!$A$3:$A$5001,G$3,Base!$B$3:$B$5001,$A$147,Base!$W$3:$W$5001,"&lt;&gt;")=0,"",SUMIFS(Base!$W$3:$W$5001,Base!$A$3:$A$5001,G$3,Base!$B$3:$B$5001,$A$147)))</f>
        <v/>
      </c>
      <c r="H153" s="79" t="str">
        <f>IF(H$3="","",IF(COUNTIFS(Base!$A$3:$A$5001,H$3,Base!$B$3:$B$5001,$A$147,Base!$W$3:$W$5001,"&lt;&gt;")=0,"",SUMIFS(Base!$W$3:$W$5001,Base!$A$3:$A$5001,H$3,Base!$B$3:$B$5001,$A$147)))</f>
        <v/>
      </c>
      <c r="I153" s="79" t="str">
        <f>IF(I$3="","",IF(COUNTIFS(Base!$A$3:$A$5001,I$3,Base!$B$3:$B$5001,$A$147,Base!$W$3:$W$5001,"&lt;&gt;")=0,"",SUMIFS(Base!$W$3:$W$5001,Base!$A$3:$A$5001,I$3,Base!$B$3:$B$5001,$A$147)))</f>
        <v/>
      </c>
      <c r="J153" s="79" t="str">
        <f>IF(J$3="","",IF(COUNTIFS(Base!$A$3:$A$5001,J$3,Base!$B$3:$B$5001,$A$147,Base!$W$3:$W$5001,"&lt;&gt;")=0,"",SUMIFS(Base!$W$3:$W$5001,Base!$A$3:$A$5001,J$3,Base!$B$3:$B$5001,$A$147)))</f>
        <v/>
      </c>
      <c r="K153" s="79" t="str">
        <f>IF(K$3="","",IF(COUNTIFS(Base!$A$3:$A$5001,K$3,Base!$B$3:$B$5001,$A$147,Base!$W$3:$W$5001,"&lt;&gt;")=0,"",SUMIFS(Base!$W$3:$W$5001,Base!$A$3:$A$5001,K$3,Base!$B$3:$B$5001,$A$147)))</f>
        <v/>
      </c>
      <c r="L153" s="79" t="str">
        <f>IF(L$3="","",IF(COUNTIFS(Base!$A$3:$A$5001,L$3,Base!$B$3:$B$5001,$A$147,Base!$W$3:$W$5001,"&lt;&gt;")=0,"",SUMIFS(Base!$W$3:$W$5001,Base!$A$3:$A$5001,L$3,Base!$B$3:$B$5001,$A$147)))</f>
        <v/>
      </c>
      <c r="M153" s="79" t="str">
        <f>IF(M$3="","",IF(COUNTIFS(Base!$A$3:$A$5001,M$3,Base!$B$3:$B$5001,$A$147,Base!$W$3:$W$5001,"&lt;&gt;")=0,"",SUMIFS(Base!$W$3:$W$5001,Base!$A$3:$A$5001,M$3,Base!$B$3:$B$5001,$A$147)))</f>
        <v/>
      </c>
      <c r="N153" s="79" t="str">
        <f>IF(N$3="","",IF(COUNTIFS(Base!$A$3:$A$5001,N$3,Base!$B$3:$B$5001,$A$147,Base!$W$3:$W$5001,"&lt;&gt;")=0,"",SUMIFS(Base!$W$3:$W$5001,Base!$A$3:$A$5001,N$3,Base!$B$3:$B$5001,$A$147)))</f>
        <v/>
      </c>
      <c r="O153" s="79" t="str">
        <f>IF(O$3="","",IF(COUNTIFS(Base!$A$3:$A$5001,O$3,Base!$B$3:$B$5001,$A$147,Base!$W$3:$W$5001,"&lt;&gt;")=0,"",SUMIFS(Base!$W$3:$W$5001,Base!$A$3:$A$5001,O$3,Base!$B$3:$B$5001,$A$147)))</f>
        <v/>
      </c>
      <c r="P153" s="79" t="str">
        <f>IF(P$3="","",IF(COUNTIFS(Base!$A$3:$A$5001,P$3,Base!$B$3:$B$5001,$A$147,Base!$W$3:$W$5001,"&lt;&gt;")=0,"",SUMIFS(Base!$W$3:$W$5001,Base!$A$3:$A$5001,P$3,Base!$B$3:$B$5001,$A$147)))</f>
        <v/>
      </c>
      <c r="Q153" s="79" t="str">
        <f>IF(Q$3="","",IF(COUNTIFS(Base!$A$3:$A$5001,Q$3,Base!$B$3:$B$5001,$A$147,Base!$W$3:$W$5001,"&lt;&gt;")=0,"",SUMIFS(Base!$W$3:$W$5001,Base!$A$3:$A$5001,Q$3,Base!$B$3:$B$5001,$A$147)))</f>
        <v/>
      </c>
      <c r="R153" s="79" t="str">
        <f>IF(R$3="","",IF(COUNTIFS(Base!$A$3:$A$5001,R$3,Base!$B$3:$B$5001,$A$147,Base!$W$3:$W$5001,"&lt;&gt;")=0,"",SUMIFS(Base!$W$3:$W$5001,Base!$A$3:$A$5001,R$3,Base!$B$3:$B$5001,$A$147)))</f>
        <v/>
      </c>
      <c r="S153" s="79" t="str">
        <f>IF(S$3="","",IF(COUNTIFS(Base!$A$3:$A$5001,S$3,Base!$B$3:$B$5001,$A$147,Base!$W$3:$W$5001,"&lt;&gt;")=0,"",SUMIFS(Base!$W$3:$W$5001,Base!$A$3:$A$5001,S$3,Base!$B$3:$B$5001,$A$147)))</f>
        <v/>
      </c>
      <c r="T153" s="79" t="str">
        <f>IF(T$3="","",IF(COUNTIFS(Base!$A$3:$A$5001,T$3,Base!$B$3:$B$5001,$A$147,Base!$W$3:$W$5001,"&lt;&gt;")=0,"",SUMIFS(Base!$W$3:$W$5001,Base!$A$3:$A$5001,T$3,Base!$B$3:$B$5001,$A$147)))</f>
        <v/>
      </c>
      <c r="U153" s="79" t="str">
        <f>IF(U$3="","",IF(COUNTIFS(Base!$A$3:$A$5001,U$3,Base!$B$3:$B$5001,$A$147,Base!$W$3:$W$5001,"&lt;&gt;")=0,"",SUMIFS(Base!$W$3:$W$5001,Base!$A$3:$A$5001,U$3,Base!$B$3:$B$5001,$A$147)))</f>
        <v/>
      </c>
      <c r="V153" s="79" t="str">
        <f>IF(V$3="","",IF(COUNTIFS(Base!$A$3:$A$5001,V$3,Base!$B$3:$B$5001,$A$147,Base!$W$3:$W$5001,"&lt;&gt;")=0,"",SUMIFS(Base!$W$3:$W$5001,Base!$A$3:$A$5001,V$3,Base!$B$3:$B$5001,$A$147)))</f>
        <v/>
      </c>
      <c r="W153" s="79" t="str">
        <f>IF(W$3="","",IF(COUNTIFS(Base!$A$3:$A$5001,W$3,Base!$B$3:$B$5001,$A$147,Base!$W$3:$W$5001,"&lt;&gt;")=0,"",SUMIFS(Base!$W$3:$W$5001,Base!$A$3:$A$5001,W$3,Base!$B$3:$B$5001,$A$147)))</f>
        <v/>
      </c>
      <c r="X153" s="79" t="str">
        <f>IF(X$3="","",IF(COUNTIFS(Base!$A$3:$A$5001,X$3,Base!$B$3:$B$5001,$A$147,Base!$W$3:$W$5001,"&lt;&gt;")=0,"",SUMIFS(Base!$W$3:$W$5001,Base!$A$3:$A$5001,X$3,Base!$B$3:$B$5001,$A$147)))</f>
        <v/>
      </c>
      <c r="Y153" s="79" t="str">
        <f>IF(Y$3="","",IF(COUNTIFS(Base!$A$3:$A$5001,Y$3,Base!$B$3:$B$5001,$A$147,Base!$W$3:$W$5001,"&lt;&gt;")=0,"",SUMIFS(Base!$W$3:$W$5001,Base!$A$3:$A$5001,Y$3,Base!$B$3:$B$5001,$A$147)))</f>
        <v/>
      </c>
      <c r="Z153" s="79" t="str">
        <f>IF(Z$3="","",IF(COUNTIFS(Base!$A$3:$A$5001,Z$3,Base!$B$3:$B$5001,$A$147,Base!$W$3:$W$5001,"&lt;&gt;")=0,"",SUMIFS(Base!$W$3:$W$5001,Base!$A$3:$A$5001,Z$3,Base!$B$3:$B$5001,$A$147)))</f>
        <v/>
      </c>
      <c r="AA153" s="79" t="str">
        <f>IF(AA$3="","",IF(COUNTIFS(Base!$A$3:$A$5001,AA$3,Base!$B$3:$B$5001,$A$147,Base!$W$3:$W$5001,"&lt;&gt;")=0,"",SUMIFS(Base!$W$3:$W$5001,Base!$A$3:$A$5001,AA$3,Base!$B$3:$B$5001,$A$147)))</f>
        <v/>
      </c>
      <c r="AB153" s="79" t="str">
        <f>IF(AB$3="","",IF(COUNTIFS(Base!$A$3:$A$5001,AB$3,Base!$B$3:$B$5001,$A$147,Base!$W$3:$W$5001,"&lt;&gt;")=0,"",SUMIFS(Base!$W$3:$W$5001,Base!$A$3:$A$5001,AB$3,Base!$B$3:$B$5001,$A$147)))</f>
        <v/>
      </c>
      <c r="AC153" s="79" t="str">
        <f>IF(AC$3="","",IF(COUNTIFS(Base!$A$3:$A$5001,AC$3,Base!$B$3:$B$5001,$A$147,Base!$W$3:$W$5001,"&lt;&gt;")=0,"",SUMIFS(Base!$W$3:$W$5001,Base!$A$3:$A$5001,AC$3,Base!$B$3:$B$5001,$A$147)))</f>
        <v/>
      </c>
      <c r="AD153" s="79" t="str">
        <f>IF(AD$3="","",IF(COUNTIFS(Base!$A$3:$A$5001,AD$3,Base!$B$3:$B$5001,$A$147,Base!$W$3:$W$5001,"&lt;&gt;")=0,"",SUMIFS(Base!$W$3:$W$5001,Base!$A$3:$A$5001,AD$3,Base!$B$3:$B$5001,$A$147)))</f>
        <v/>
      </c>
      <c r="AE153" s="79" t="str">
        <f>IF(AE$3="","",IF(COUNTIFS(Base!$A$3:$A$5001,AE$3,Base!$B$3:$B$5001,$A$147,Base!$W$3:$W$5001,"&lt;&gt;")=0,"",SUMIFS(Base!$W$3:$W$5001,Base!$A$3:$A$5001,AE$3,Base!$B$3:$B$5001,$A$147)))</f>
        <v/>
      </c>
      <c r="AF153" s="79" t="str">
        <f>IF(AF$3="","",IF(COUNTIFS(Base!$A$3:$A$5001,AF$3,Base!$B$3:$B$5001,$A$147,Base!$W$3:$W$5001,"&lt;&gt;")=0,"",SUMIFS(Base!$W$3:$W$5001,Base!$A$3:$A$5001,AF$3,Base!$B$3:$B$5001,$A$147)))</f>
        <v/>
      </c>
      <c r="AG153" s="79" t="str">
        <f>IF(AG$3="","",IF(COUNTIFS(Base!$A$3:$A$5001,AG$3,Base!$B$3:$B$5001,$A$147,Base!$W$3:$W$5001,"&lt;&gt;")=0,"",SUMIFS(Base!$W$3:$W$5001,Base!$A$3:$A$5001,AG$3,Base!$B$3:$B$5001,$A$147)))</f>
        <v/>
      </c>
      <c r="AH153" s="79" t="str">
        <f>IF(AH$3="","",IF(COUNTIFS(Base!$A$3:$A$5001,AH$3,Base!$B$3:$B$5001,$A$147,Base!$W$3:$W$5001,"&lt;&gt;")=0,"",SUMIFS(Base!$W$3:$W$5001,Base!$A$3:$A$5001,AH$3,Base!$B$3:$B$5001,$A$147)))</f>
        <v/>
      </c>
      <c r="AI153" s="79" t="str">
        <f>IF(AI$3="","",IF(COUNTIFS(Base!$A$3:$A$5001,AI$3,Base!$B$3:$B$5001,$A$147,Base!$W$3:$W$5001,"&lt;&gt;")=0,"",SUMIFS(Base!$W$3:$W$5001,Base!$A$3:$A$5001,AI$3,Base!$B$3:$B$5001,$A$147)))</f>
        <v/>
      </c>
      <c r="AJ153" s="80" t="str">
        <f>IF(AJ$3="","",IF(COUNTIFS(Base!$A$3:$A$5001,AJ$3,Base!$B$3:$B$5001,$A$147,Base!$W$3:$W$5001,"&lt;&gt;")=0,"",SUMIFS(Base!$W$3:$W$5001,Base!$A$3:$A$5001,AJ$3,Base!$B$3:$B$5001,$A$147)))</f>
        <v/>
      </c>
      <c r="AK153" s="76" t="str">
        <f>IFERROR(LOOKUP(9.99E+307,F153:AJ153),"")</f>
        <v/>
      </c>
    </row>
    <row r="154" ht="15.75" customHeight="1">
      <c r="A154" s="118"/>
      <c r="B154" s="105" t="inlineStr">
        <is>
          <t xml:space="preserve">OCUPAÇÃO (P.P)</t>
        </is>
      </c>
      <c r="C154" s="21" t="inlineStr">
        <is>
          <t xml:space="preserve">Posições Disponíveis</t>
        </is>
      </c>
      <c r="D154" s="22" t="str">
        <f>IFERROR(1/(1/INDEX(calculos!$C$55:$K$83,MATCH("Posições Disponíveis",calculos!$A$55:$A$83,0),MATCH($A$147,calculos!$C$54:$K$54,0))),"")</f>
        <v/>
      </c>
      <c r="E154" s="23"/>
      <c r="F154" s="24" t="str">
        <f>IF(F$3="","",IF(COUNTIFS(Base!$A$3:$A$5001,F$3,Base!$B$3:$B$5001,$A$147,Base!$X$3:$X$5001,"&lt;&gt;")=0,"",SUMIFS(Base!$X$3:$X$5001,Base!$A$3:$A$5001,F$3,Base!$B$3:$B$5001,$A$147)))</f>
        <v/>
      </c>
      <c r="G154" s="25" t="str">
        <f>IF(G$3="","",IF(COUNTIFS(Base!$A$3:$A$5001,G$3,Base!$B$3:$B$5001,$A$147,Base!$X$3:$X$5001,"&lt;&gt;")=0,"",SUMIFS(Base!$X$3:$X$5001,Base!$A$3:$A$5001,G$3,Base!$B$3:$B$5001,$A$147)))</f>
        <v/>
      </c>
      <c r="H154" s="25" t="str">
        <f>IF(H$3="","",IF(COUNTIFS(Base!$A$3:$A$5001,H$3,Base!$B$3:$B$5001,$A$147,Base!$X$3:$X$5001,"&lt;&gt;")=0,"",SUMIFS(Base!$X$3:$X$5001,Base!$A$3:$A$5001,H$3,Base!$B$3:$B$5001,$A$147)))</f>
        <v/>
      </c>
      <c r="I154" s="25" t="str">
        <f>IF(I$3="","",IF(COUNTIFS(Base!$A$3:$A$5001,I$3,Base!$B$3:$B$5001,$A$147,Base!$X$3:$X$5001,"&lt;&gt;")=0,"",SUMIFS(Base!$X$3:$X$5001,Base!$A$3:$A$5001,I$3,Base!$B$3:$B$5001,$A$147)))</f>
        <v/>
      </c>
      <c r="J154" s="25" t="str">
        <f>IF(J$3="","",IF(COUNTIFS(Base!$A$3:$A$5001,J$3,Base!$B$3:$B$5001,$A$147,Base!$X$3:$X$5001,"&lt;&gt;")=0,"",SUMIFS(Base!$X$3:$X$5001,Base!$A$3:$A$5001,J$3,Base!$B$3:$B$5001,$A$147)))</f>
        <v/>
      </c>
      <c r="K154" s="25" t="str">
        <f>IF(K$3="","",IF(COUNTIFS(Base!$A$3:$A$5001,K$3,Base!$B$3:$B$5001,$A$147,Base!$X$3:$X$5001,"&lt;&gt;")=0,"",SUMIFS(Base!$X$3:$X$5001,Base!$A$3:$A$5001,K$3,Base!$B$3:$B$5001,$A$147)))</f>
        <v/>
      </c>
      <c r="L154" s="25" t="str">
        <f>IF(L$3="","",IF(COUNTIFS(Base!$A$3:$A$5001,L$3,Base!$B$3:$B$5001,$A$147,Base!$X$3:$X$5001,"&lt;&gt;")=0,"",SUMIFS(Base!$X$3:$X$5001,Base!$A$3:$A$5001,L$3,Base!$B$3:$B$5001,$A$147)))</f>
        <v/>
      </c>
      <c r="M154" s="25" t="str">
        <f>IF(M$3="","",IF(COUNTIFS(Base!$A$3:$A$5001,M$3,Base!$B$3:$B$5001,$A$147,Base!$X$3:$X$5001,"&lt;&gt;")=0,"",SUMIFS(Base!$X$3:$X$5001,Base!$A$3:$A$5001,M$3,Base!$B$3:$B$5001,$A$147)))</f>
        <v/>
      </c>
      <c r="N154" s="25" t="str">
        <f>IF(N$3="","",IF(COUNTIFS(Base!$A$3:$A$5001,N$3,Base!$B$3:$B$5001,$A$147,Base!$X$3:$X$5001,"&lt;&gt;")=0,"",SUMIFS(Base!$X$3:$X$5001,Base!$A$3:$A$5001,N$3,Base!$B$3:$B$5001,$A$147)))</f>
        <v/>
      </c>
      <c r="O154" s="25" t="str">
        <f>IF(O$3="","",IF(COUNTIFS(Base!$A$3:$A$5001,O$3,Base!$B$3:$B$5001,$A$147,Base!$X$3:$X$5001,"&lt;&gt;")=0,"",SUMIFS(Base!$X$3:$X$5001,Base!$A$3:$A$5001,O$3,Base!$B$3:$B$5001,$A$147)))</f>
        <v/>
      </c>
      <c r="P154" s="25" t="str">
        <f>IF(P$3="","",IF(COUNTIFS(Base!$A$3:$A$5001,P$3,Base!$B$3:$B$5001,$A$147,Base!$X$3:$X$5001,"&lt;&gt;")=0,"",SUMIFS(Base!$X$3:$X$5001,Base!$A$3:$A$5001,P$3,Base!$B$3:$B$5001,$A$147)))</f>
        <v/>
      </c>
      <c r="Q154" s="25" t="str">
        <f>IF(Q$3="","",IF(COUNTIFS(Base!$A$3:$A$5001,Q$3,Base!$B$3:$B$5001,$A$147,Base!$X$3:$X$5001,"&lt;&gt;")=0,"",SUMIFS(Base!$X$3:$X$5001,Base!$A$3:$A$5001,Q$3,Base!$B$3:$B$5001,$A$147)))</f>
        <v/>
      </c>
      <c r="R154" s="25" t="str">
        <f>IF(R$3="","",IF(COUNTIFS(Base!$A$3:$A$5001,R$3,Base!$B$3:$B$5001,$A$147,Base!$X$3:$X$5001,"&lt;&gt;")=0,"",SUMIFS(Base!$X$3:$X$5001,Base!$A$3:$A$5001,R$3,Base!$B$3:$B$5001,$A$147)))</f>
        <v/>
      </c>
      <c r="S154" s="25" t="str">
        <f>IF(S$3="","",IF(COUNTIFS(Base!$A$3:$A$5001,S$3,Base!$B$3:$B$5001,$A$147,Base!$X$3:$X$5001,"&lt;&gt;")=0,"",SUMIFS(Base!$X$3:$X$5001,Base!$A$3:$A$5001,S$3,Base!$B$3:$B$5001,$A$147)))</f>
        <v/>
      </c>
      <c r="T154" s="25" t="str">
        <f>IF(T$3="","",IF(COUNTIFS(Base!$A$3:$A$5001,T$3,Base!$B$3:$B$5001,$A$147,Base!$X$3:$X$5001,"&lt;&gt;")=0,"",SUMIFS(Base!$X$3:$X$5001,Base!$A$3:$A$5001,T$3,Base!$B$3:$B$5001,$A$147)))</f>
        <v/>
      </c>
      <c r="U154" s="25" t="str">
        <f>IF(U$3="","",IF(COUNTIFS(Base!$A$3:$A$5001,U$3,Base!$B$3:$B$5001,$A$147,Base!$X$3:$X$5001,"&lt;&gt;")=0,"",SUMIFS(Base!$X$3:$X$5001,Base!$A$3:$A$5001,U$3,Base!$B$3:$B$5001,$A$147)))</f>
        <v/>
      </c>
      <c r="V154" s="25" t="str">
        <f>IF(V$3="","",IF(COUNTIFS(Base!$A$3:$A$5001,V$3,Base!$B$3:$B$5001,$A$147,Base!$X$3:$X$5001,"&lt;&gt;")=0,"",SUMIFS(Base!$X$3:$X$5001,Base!$A$3:$A$5001,V$3,Base!$B$3:$B$5001,$A$147)))</f>
        <v/>
      </c>
      <c r="W154" s="25" t="str">
        <f>IF(W$3="","",IF(COUNTIFS(Base!$A$3:$A$5001,W$3,Base!$B$3:$B$5001,$A$147,Base!$X$3:$X$5001,"&lt;&gt;")=0,"",SUMIFS(Base!$X$3:$X$5001,Base!$A$3:$A$5001,W$3,Base!$B$3:$B$5001,$A$147)))</f>
        <v/>
      </c>
      <c r="X154" s="25" t="str">
        <f>IF(X$3="","",IF(COUNTIFS(Base!$A$3:$A$5001,X$3,Base!$B$3:$B$5001,$A$147,Base!$X$3:$X$5001,"&lt;&gt;")=0,"",SUMIFS(Base!$X$3:$X$5001,Base!$A$3:$A$5001,X$3,Base!$B$3:$B$5001,$A$147)))</f>
        <v/>
      </c>
      <c r="Y154" s="25" t="str">
        <f>IF(Y$3="","",IF(COUNTIFS(Base!$A$3:$A$5001,Y$3,Base!$B$3:$B$5001,$A$147,Base!$X$3:$X$5001,"&lt;&gt;")=0,"",SUMIFS(Base!$X$3:$X$5001,Base!$A$3:$A$5001,Y$3,Base!$B$3:$B$5001,$A$147)))</f>
        <v/>
      </c>
      <c r="Z154" s="25" t="str">
        <f>IF(Z$3="","",IF(COUNTIFS(Base!$A$3:$A$5001,Z$3,Base!$B$3:$B$5001,$A$147,Base!$X$3:$X$5001,"&lt;&gt;")=0,"",SUMIFS(Base!$X$3:$X$5001,Base!$A$3:$A$5001,Z$3,Base!$B$3:$B$5001,$A$147)))</f>
        <v/>
      </c>
      <c r="AA154" s="25" t="str">
        <f>IF(AA$3="","",IF(COUNTIFS(Base!$A$3:$A$5001,AA$3,Base!$B$3:$B$5001,$A$147,Base!$X$3:$X$5001,"&lt;&gt;")=0,"",SUMIFS(Base!$X$3:$X$5001,Base!$A$3:$A$5001,AA$3,Base!$B$3:$B$5001,$A$147)))</f>
        <v/>
      </c>
      <c r="AB154" s="25" t="str">
        <f>IF(AB$3="","",IF(COUNTIFS(Base!$A$3:$A$5001,AB$3,Base!$B$3:$B$5001,$A$147,Base!$X$3:$X$5001,"&lt;&gt;")=0,"",SUMIFS(Base!$X$3:$X$5001,Base!$A$3:$A$5001,AB$3,Base!$B$3:$B$5001,$A$147)))</f>
        <v/>
      </c>
      <c r="AC154" s="25" t="str">
        <f>IF(AC$3="","",IF(COUNTIFS(Base!$A$3:$A$5001,AC$3,Base!$B$3:$B$5001,$A$147,Base!$X$3:$X$5001,"&lt;&gt;")=0,"",SUMIFS(Base!$X$3:$X$5001,Base!$A$3:$A$5001,AC$3,Base!$B$3:$B$5001,$A$147)))</f>
        <v/>
      </c>
      <c r="AD154" s="25" t="str">
        <f>IF(AD$3="","",IF(COUNTIFS(Base!$A$3:$A$5001,AD$3,Base!$B$3:$B$5001,$A$147,Base!$X$3:$X$5001,"&lt;&gt;")=0,"",SUMIFS(Base!$X$3:$X$5001,Base!$A$3:$A$5001,AD$3,Base!$B$3:$B$5001,$A$147)))</f>
        <v/>
      </c>
      <c r="AE154" s="25" t="str">
        <f>IF(AE$3="","",IF(COUNTIFS(Base!$A$3:$A$5001,AE$3,Base!$B$3:$B$5001,$A$147,Base!$X$3:$X$5001,"&lt;&gt;")=0,"",SUMIFS(Base!$X$3:$X$5001,Base!$A$3:$A$5001,AE$3,Base!$B$3:$B$5001,$A$147)))</f>
        <v/>
      </c>
      <c r="AF154" s="25" t="str">
        <f>IF(AF$3="","",IF(COUNTIFS(Base!$A$3:$A$5001,AF$3,Base!$B$3:$B$5001,$A$147,Base!$X$3:$X$5001,"&lt;&gt;")=0,"",SUMIFS(Base!$X$3:$X$5001,Base!$A$3:$A$5001,AF$3,Base!$B$3:$B$5001,$A$147)))</f>
        <v/>
      </c>
      <c r="AG154" s="25" t="str">
        <f>IF(AG$3="","",IF(COUNTIFS(Base!$A$3:$A$5001,AG$3,Base!$B$3:$B$5001,$A$147,Base!$X$3:$X$5001,"&lt;&gt;")=0,"",SUMIFS(Base!$X$3:$X$5001,Base!$A$3:$A$5001,AG$3,Base!$B$3:$B$5001,$A$147)))</f>
        <v/>
      </c>
      <c r="AH154" s="25" t="str">
        <f>IF(AH$3="","",IF(COUNTIFS(Base!$A$3:$A$5001,AH$3,Base!$B$3:$B$5001,$A$147,Base!$X$3:$X$5001,"&lt;&gt;")=0,"",SUMIFS(Base!$X$3:$X$5001,Base!$A$3:$A$5001,AH$3,Base!$B$3:$B$5001,$A$147)))</f>
        <v/>
      </c>
      <c r="AI154" s="25" t="str">
        <f>IF(AI$3="","",IF(COUNTIFS(Base!$A$3:$A$5001,AI$3,Base!$B$3:$B$5001,$A$147,Base!$X$3:$X$5001,"&lt;&gt;")=0,"",SUMIFS(Base!$X$3:$X$5001,Base!$A$3:$A$5001,AI$3,Base!$B$3:$B$5001,$A$147)))</f>
        <v/>
      </c>
      <c r="AJ154" s="26" t="str">
        <f>IF(AJ$3="","",IF(COUNTIFS(Base!$A$3:$A$5001,AJ$3,Base!$B$3:$B$5001,$A$147,Base!$X$3:$X$5001,"&lt;&gt;")=0,"",SUMIFS(Base!$X$3:$X$5001,Base!$A$3:$A$5001,AJ$3,Base!$B$3:$B$5001,$A$147)))</f>
        <v/>
      </c>
      <c r="AK154" s="27" t="str">
        <f>IFERROR(LOOKUP(9.99E+307,F154:AJ154),"")</f>
        <v/>
      </c>
    </row>
    <row r="155" ht="15.75" customHeight="1">
      <c r="A155" s="118"/>
      <c r="B155" s="106"/>
      <c r="C155" s="28" t="inlineStr">
        <is>
          <t xml:space="preserve">Posições Ocupadas</t>
        </is>
      </c>
      <c r="D155" s="29" t="str">
        <f>IFERROR(1/(1/INDEX(calculos!$C$55:$K$83,MATCH("Posições Ocupadas",calculos!$A$55:$A$83,0),MATCH($A$147,calculos!$C$54:$K$54,0))),"")</f>
        <v/>
      </c>
      <c r="E155" s="30"/>
      <c r="F155" s="31" t="str">
        <f>IF(F$3="","",IF(COUNTIFS(Base!$A$3:$A$5001,F$3,Base!$B$3:$B$5001,$A$147,Base!$Y$3:$Y$5001,"&lt;&gt;")=0,"",SUMIFS(Base!$Y$3:$Y$5001,Base!$A$3:$A$5001,F$3,Base!$B$3:$B$5001,$A$147)))</f>
        <v/>
      </c>
      <c r="G155" s="32" t="str">
        <f>IF(G$3="","",IF(COUNTIFS(Base!$A$3:$A$5001,G$3,Base!$B$3:$B$5001,$A$147,Base!$Y$3:$Y$5001,"&lt;&gt;")=0,"",SUMIFS(Base!$Y$3:$Y$5001,Base!$A$3:$A$5001,G$3,Base!$B$3:$B$5001,$A$147)))</f>
        <v/>
      </c>
      <c r="H155" s="32" t="str">
        <f>IF(H$3="","",IF(COUNTIFS(Base!$A$3:$A$5001,H$3,Base!$B$3:$B$5001,$A$147,Base!$Y$3:$Y$5001,"&lt;&gt;")=0,"",SUMIFS(Base!$Y$3:$Y$5001,Base!$A$3:$A$5001,H$3,Base!$B$3:$B$5001,$A$147)))</f>
        <v/>
      </c>
      <c r="I155" s="32" t="str">
        <f>IF(I$3="","",IF(COUNTIFS(Base!$A$3:$A$5001,I$3,Base!$B$3:$B$5001,$A$147,Base!$Y$3:$Y$5001,"&lt;&gt;")=0,"",SUMIFS(Base!$Y$3:$Y$5001,Base!$A$3:$A$5001,I$3,Base!$B$3:$B$5001,$A$147)))</f>
        <v/>
      </c>
      <c r="J155" s="32" t="str">
        <f>IF(J$3="","",IF(COUNTIFS(Base!$A$3:$A$5001,J$3,Base!$B$3:$B$5001,$A$147,Base!$Y$3:$Y$5001,"&lt;&gt;")=0,"",SUMIFS(Base!$Y$3:$Y$5001,Base!$A$3:$A$5001,J$3,Base!$B$3:$B$5001,$A$147)))</f>
        <v/>
      </c>
      <c r="K155" s="32" t="str">
        <f>IF(K$3="","",IF(COUNTIFS(Base!$A$3:$A$5001,K$3,Base!$B$3:$B$5001,$A$147,Base!$Y$3:$Y$5001,"&lt;&gt;")=0,"",SUMIFS(Base!$Y$3:$Y$5001,Base!$A$3:$A$5001,K$3,Base!$B$3:$B$5001,$A$147)))</f>
        <v/>
      </c>
      <c r="L155" s="32" t="str">
        <f>IF(L$3="","",IF(COUNTIFS(Base!$A$3:$A$5001,L$3,Base!$B$3:$B$5001,$A$147,Base!$Y$3:$Y$5001,"&lt;&gt;")=0,"",SUMIFS(Base!$Y$3:$Y$5001,Base!$A$3:$A$5001,L$3,Base!$B$3:$B$5001,$A$147)))</f>
        <v/>
      </c>
      <c r="M155" s="32" t="str">
        <f>IF(M$3="","",IF(COUNTIFS(Base!$A$3:$A$5001,M$3,Base!$B$3:$B$5001,$A$147,Base!$Y$3:$Y$5001,"&lt;&gt;")=0,"",SUMIFS(Base!$Y$3:$Y$5001,Base!$A$3:$A$5001,M$3,Base!$B$3:$B$5001,$A$147)))</f>
        <v/>
      </c>
      <c r="N155" s="32" t="str">
        <f>IF(N$3="","",IF(COUNTIFS(Base!$A$3:$A$5001,N$3,Base!$B$3:$B$5001,$A$147,Base!$Y$3:$Y$5001,"&lt;&gt;")=0,"",SUMIFS(Base!$Y$3:$Y$5001,Base!$A$3:$A$5001,N$3,Base!$B$3:$B$5001,$A$147)))</f>
        <v/>
      </c>
      <c r="O155" s="32" t="str">
        <f>IF(O$3="","",IF(COUNTIFS(Base!$A$3:$A$5001,O$3,Base!$B$3:$B$5001,$A$147,Base!$Y$3:$Y$5001,"&lt;&gt;")=0,"",SUMIFS(Base!$Y$3:$Y$5001,Base!$A$3:$A$5001,O$3,Base!$B$3:$B$5001,$A$147)))</f>
        <v/>
      </c>
      <c r="P155" s="32" t="str">
        <f>IF(P$3="","",IF(COUNTIFS(Base!$A$3:$A$5001,P$3,Base!$B$3:$B$5001,$A$147,Base!$Y$3:$Y$5001,"&lt;&gt;")=0,"",SUMIFS(Base!$Y$3:$Y$5001,Base!$A$3:$A$5001,P$3,Base!$B$3:$B$5001,$A$147)))</f>
        <v/>
      </c>
      <c r="Q155" s="32" t="str">
        <f>IF(Q$3="","",IF(COUNTIFS(Base!$A$3:$A$5001,Q$3,Base!$B$3:$B$5001,$A$147,Base!$Y$3:$Y$5001,"&lt;&gt;")=0,"",SUMIFS(Base!$Y$3:$Y$5001,Base!$A$3:$A$5001,Q$3,Base!$B$3:$B$5001,$A$147)))</f>
        <v/>
      </c>
      <c r="R155" s="32" t="str">
        <f>IF(R$3="","",IF(COUNTIFS(Base!$A$3:$A$5001,R$3,Base!$B$3:$B$5001,$A$147,Base!$Y$3:$Y$5001,"&lt;&gt;")=0,"",SUMIFS(Base!$Y$3:$Y$5001,Base!$A$3:$A$5001,R$3,Base!$B$3:$B$5001,$A$147)))</f>
        <v/>
      </c>
      <c r="S155" s="32" t="str">
        <f>IF(S$3="","",IF(COUNTIFS(Base!$A$3:$A$5001,S$3,Base!$B$3:$B$5001,$A$147,Base!$Y$3:$Y$5001,"&lt;&gt;")=0,"",SUMIFS(Base!$Y$3:$Y$5001,Base!$A$3:$A$5001,S$3,Base!$B$3:$B$5001,$A$147)))</f>
        <v/>
      </c>
      <c r="T155" s="32" t="str">
        <f>IF(T$3="","",IF(COUNTIFS(Base!$A$3:$A$5001,T$3,Base!$B$3:$B$5001,$A$147,Base!$Y$3:$Y$5001,"&lt;&gt;")=0,"",SUMIFS(Base!$Y$3:$Y$5001,Base!$A$3:$A$5001,T$3,Base!$B$3:$B$5001,$A$147)))</f>
        <v/>
      </c>
      <c r="U155" s="32" t="str">
        <f>IF(U$3="","",IF(COUNTIFS(Base!$A$3:$A$5001,U$3,Base!$B$3:$B$5001,$A$147,Base!$Y$3:$Y$5001,"&lt;&gt;")=0,"",SUMIFS(Base!$Y$3:$Y$5001,Base!$A$3:$A$5001,U$3,Base!$B$3:$B$5001,$A$147)))</f>
        <v/>
      </c>
      <c r="V155" s="32" t="str">
        <f>IF(V$3="","",IF(COUNTIFS(Base!$A$3:$A$5001,V$3,Base!$B$3:$B$5001,$A$147,Base!$Y$3:$Y$5001,"&lt;&gt;")=0,"",SUMIFS(Base!$Y$3:$Y$5001,Base!$A$3:$A$5001,V$3,Base!$B$3:$B$5001,$A$147)))</f>
        <v/>
      </c>
      <c r="W155" s="32" t="str">
        <f>IF(W$3="","",IF(COUNTIFS(Base!$A$3:$A$5001,W$3,Base!$B$3:$B$5001,$A$147,Base!$Y$3:$Y$5001,"&lt;&gt;")=0,"",SUMIFS(Base!$Y$3:$Y$5001,Base!$A$3:$A$5001,W$3,Base!$B$3:$B$5001,$A$147)))</f>
        <v/>
      </c>
      <c r="X155" s="32" t="str">
        <f>IF(X$3="","",IF(COUNTIFS(Base!$A$3:$A$5001,X$3,Base!$B$3:$B$5001,$A$147,Base!$Y$3:$Y$5001,"&lt;&gt;")=0,"",SUMIFS(Base!$Y$3:$Y$5001,Base!$A$3:$A$5001,X$3,Base!$B$3:$B$5001,$A$147)))</f>
        <v/>
      </c>
      <c r="Y155" s="32" t="str">
        <f>IF(Y$3="","",IF(COUNTIFS(Base!$A$3:$A$5001,Y$3,Base!$B$3:$B$5001,$A$147,Base!$Y$3:$Y$5001,"&lt;&gt;")=0,"",SUMIFS(Base!$Y$3:$Y$5001,Base!$A$3:$A$5001,Y$3,Base!$B$3:$B$5001,$A$147)))</f>
        <v/>
      </c>
      <c r="Z155" s="32" t="str">
        <f>IF(Z$3="","",IF(COUNTIFS(Base!$A$3:$A$5001,Z$3,Base!$B$3:$B$5001,$A$147,Base!$Y$3:$Y$5001,"&lt;&gt;")=0,"",SUMIFS(Base!$Y$3:$Y$5001,Base!$A$3:$A$5001,Z$3,Base!$B$3:$B$5001,$A$147)))</f>
        <v/>
      </c>
      <c r="AA155" s="32" t="str">
        <f>IF(AA$3="","",IF(COUNTIFS(Base!$A$3:$A$5001,AA$3,Base!$B$3:$B$5001,$A$147,Base!$Y$3:$Y$5001,"&lt;&gt;")=0,"",SUMIFS(Base!$Y$3:$Y$5001,Base!$A$3:$A$5001,AA$3,Base!$B$3:$B$5001,$A$147)))</f>
        <v/>
      </c>
      <c r="AB155" s="32" t="str">
        <f>IF(AB$3="","",IF(COUNTIFS(Base!$A$3:$A$5001,AB$3,Base!$B$3:$B$5001,$A$147,Base!$Y$3:$Y$5001,"&lt;&gt;")=0,"",SUMIFS(Base!$Y$3:$Y$5001,Base!$A$3:$A$5001,AB$3,Base!$B$3:$B$5001,$A$147)))</f>
        <v/>
      </c>
      <c r="AC155" s="32" t="str">
        <f>IF(AC$3="","",IF(COUNTIFS(Base!$A$3:$A$5001,AC$3,Base!$B$3:$B$5001,$A$147,Base!$Y$3:$Y$5001,"&lt;&gt;")=0,"",SUMIFS(Base!$Y$3:$Y$5001,Base!$A$3:$A$5001,AC$3,Base!$B$3:$B$5001,$A$147)))</f>
        <v/>
      </c>
      <c r="AD155" s="32" t="str">
        <f>IF(AD$3="","",IF(COUNTIFS(Base!$A$3:$A$5001,AD$3,Base!$B$3:$B$5001,$A$147,Base!$Y$3:$Y$5001,"&lt;&gt;")=0,"",SUMIFS(Base!$Y$3:$Y$5001,Base!$A$3:$A$5001,AD$3,Base!$B$3:$B$5001,$A$147)))</f>
        <v/>
      </c>
      <c r="AE155" s="32" t="str">
        <f>IF(AE$3="","",IF(COUNTIFS(Base!$A$3:$A$5001,AE$3,Base!$B$3:$B$5001,$A$147,Base!$Y$3:$Y$5001,"&lt;&gt;")=0,"",SUMIFS(Base!$Y$3:$Y$5001,Base!$A$3:$A$5001,AE$3,Base!$B$3:$B$5001,$A$147)))</f>
        <v/>
      </c>
      <c r="AF155" s="32" t="str">
        <f>IF(AF$3="","",IF(COUNTIFS(Base!$A$3:$A$5001,AF$3,Base!$B$3:$B$5001,$A$147,Base!$Y$3:$Y$5001,"&lt;&gt;")=0,"",SUMIFS(Base!$Y$3:$Y$5001,Base!$A$3:$A$5001,AF$3,Base!$B$3:$B$5001,$A$147)))</f>
        <v/>
      </c>
      <c r="AG155" s="32" t="str">
        <f>IF(AG$3="","",IF(COUNTIFS(Base!$A$3:$A$5001,AG$3,Base!$B$3:$B$5001,$A$147,Base!$Y$3:$Y$5001,"&lt;&gt;")=0,"",SUMIFS(Base!$Y$3:$Y$5001,Base!$A$3:$A$5001,AG$3,Base!$B$3:$B$5001,$A$147)))</f>
        <v/>
      </c>
      <c r="AH155" s="32" t="str">
        <f>IF(AH$3="","",IF(COUNTIFS(Base!$A$3:$A$5001,AH$3,Base!$B$3:$B$5001,$A$147,Base!$Y$3:$Y$5001,"&lt;&gt;")=0,"",SUMIFS(Base!$Y$3:$Y$5001,Base!$A$3:$A$5001,AH$3,Base!$B$3:$B$5001,$A$147)))</f>
        <v/>
      </c>
      <c r="AI155" s="32" t="str">
        <f>IF(AI$3="","",IF(COUNTIFS(Base!$A$3:$A$5001,AI$3,Base!$B$3:$B$5001,$A$147,Base!$Y$3:$Y$5001,"&lt;&gt;")=0,"",SUMIFS(Base!$Y$3:$Y$5001,Base!$A$3:$A$5001,AI$3,Base!$B$3:$B$5001,$A$147)))</f>
        <v/>
      </c>
      <c r="AJ155" s="33" t="str">
        <f>IF(AJ$3="","",IF(COUNTIFS(Base!$A$3:$A$5001,AJ$3,Base!$B$3:$B$5001,$A$147,Base!$Y$3:$Y$5001,"&lt;&gt;")=0,"",SUMIFS(Base!$Y$3:$Y$5001,Base!$A$3:$A$5001,AJ$3,Base!$B$3:$B$5001,$A$147)))</f>
        <v/>
      </c>
      <c r="AK155" s="34" t="str">
        <f>IFERROR(LOOKUP(9.99E+307,F155:AJ155),"")</f>
        <v/>
      </c>
    </row>
    <row r="156" ht="15.75" customHeight="1">
      <c r="A156" s="118"/>
      <c r="B156" s="107"/>
      <c r="C156" s="35" t="inlineStr">
        <is>
          <t xml:space="preserve">Taxa de Ocupação</t>
        </is>
      </c>
      <c r="D156" s="81" t="str">
        <f>IFERROR(1/(1/INDEX(calculos!$C$55:$K$83,MATCH("Taxa de Ocupação",calculos!$A$55:$A$83,0),MATCH($A$147,calculos!$C$54:$K$54,0))),"")</f>
        <v/>
      </c>
      <c r="E156" s="37"/>
      <c r="F156" s="82" t="str">
        <f>IF(AND(ISNUMBER(F154),ISNUMBER(F155)),IF(F154&gt;0,F155/F154,""),"")</f>
        <v/>
      </c>
      <c r="G156" s="83" t="str">
        <f>IF(AND(ISNUMBER(G154),ISNUMBER(G155)),IF(G154&gt;0,G155/G154,""),"")</f>
        <v/>
      </c>
      <c r="H156" s="83" t="str">
        <f>IF(AND(ISNUMBER(H154),ISNUMBER(H155)),IF(H154&gt;0,H155/H154,""),"")</f>
        <v/>
      </c>
      <c r="I156" s="83" t="str">
        <f>IF(AND(ISNUMBER(I154),ISNUMBER(I155)),IF(I154&gt;0,I155/I154,""),"")</f>
        <v/>
      </c>
      <c r="J156" s="83" t="str">
        <f>IF(AND(ISNUMBER(J154),ISNUMBER(J155)),IF(J154&gt;0,J155/J154,""),"")</f>
        <v/>
      </c>
      <c r="K156" s="83" t="str">
        <f>IF(AND(ISNUMBER(K154),ISNUMBER(K155)),IF(K154&gt;0,K155/K154,""),"")</f>
        <v/>
      </c>
      <c r="L156" s="83" t="str">
        <f>IF(AND(ISNUMBER(L154),ISNUMBER(L155)),IF(L154&gt;0,L155/L154,""),"")</f>
        <v/>
      </c>
      <c r="M156" s="83" t="str">
        <f>IF(AND(ISNUMBER(M154),ISNUMBER(M155)),IF(M154&gt;0,M155/M154,""),"")</f>
        <v/>
      </c>
      <c r="N156" s="83" t="str">
        <f>IF(AND(ISNUMBER(N154),ISNUMBER(N155)),IF(N154&gt;0,N155/N154,""),"")</f>
        <v/>
      </c>
      <c r="O156" s="83" t="str">
        <f>IF(AND(ISNUMBER(O154),ISNUMBER(O155)),IF(O154&gt;0,O155/O154,""),"")</f>
        <v/>
      </c>
      <c r="P156" s="83" t="str">
        <f>IF(AND(ISNUMBER(P154),ISNUMBER(P155)),IF(P154&gt;0,P155/P154,""),"")</f>
        <v/>
      </c>
      <c r="Q156" s="83" t="str">
        <f>IF(AND(ISNUMBER(Q154),ISNUMBER(Q155)),IF(Q154&gt;0,Q155/Q154,""),"")</f>
        <v/>
      </c>
      <c r="R156" s="83" t="str">
        <f>IF(AND(ISNUMBER(R154),ISNUMBER(R155)),IF(R154&gt;0,R155/R154,""),"")</f>
        <v/>
      </c>
      <c r="S156" s="83" t="str">
        <f>IF(AND(ISNUMBER(S154),ISNUMBER(S155)),IF(S154&gt;0,S155/S154,""),"")</f>
        <v/>
      </c>
      <c r="T156" s="83" t="str">
        <f>IF(AND(ISNUMBER(T154),ISNUMBER(T155)),IF(T154&gt;0,T155/T154,""),"")</f>
        <v/>
      </c>
      <c r="U156" s="83" t="str">
        <f>IF(AND(ISNUMBER(U154),ISNUMBER(U155)),IF(U154&gt;0,U155/U154,""),"")</f>
        <v/>
      </c>
      <c r="V156" s="83" t="str">
        <f>IF(AND(ISNUMBER(V154),ISNUMBER(V155)),IF(V154&gt;0,V155/V154,""),"")</f>
        <v/>
      </c>
      <c r="W156" s="83" t="str">
        <f>IF(AND(ISNUMBER(W154),ISNUMBER(W155)),IF(W154&gt;0,W155/W154,""),"")</f>
        <v/>
      </c>
      <c r="X156" s="83" t="str">
        <f>IF(AND(ISNUMBER(X154),ISNUMBER(X155)),IF(X154&gt;0,X155/X154,""),"")</f>
        <v/>
      </c>
      <c r="Y156" s="83" t="str">
        <f>IF(AND(ISNUMBER(Y154),ISNUMBER(Y155)),IF(Y154&gt;0,Y155/Y154,""),"")</f>
        <v/>
      </c>
      <c r="Z156" s="83" t="str">
        <f>IF(AND(ISNUMBER(Z154),ISNUMBER(Z155)),IF(Z154&gt;0,Z155/Z154,""),"")</f>
        <v/>
      </c>
      <c r="AA156" s="83" t="str">
        <f>IF(AND(ISNUMBER(AA154),ISNUMBER(AA155)),IF(AA154&gt;0,AA155/AA154,""),"")</f>
        <v/>
      </c>
      <c r="AB156" s="83" t="str">
        <f>IF(AND(ISNUMBER(AB154),ISNUMBER(AB155)),IF(AB154&gt;0,AB155/AB154,""),"")</f>
        <v/>
      </c>
      <c r="AC156" s="83" t="str">
        <f>IF(AND(ISNUMBER(AC154),ISNUMBER(AC155)),IF(AC154&gt;0,AC155/AC154,""),"")</f>
        <v/>
      </c>
      <c r="AD156" s="83" t="str">
        <f>IF(AND(ISNUMBER(AD154),ISNUMBER(AD155)),IF(AD154&gt;0,AD155/AD154,""),"")</f>
        <v/>
      </c>
      <c r="AE156" s="83" t="str">
        <f>IF(AND(ISNUMBER(AE154),ISNUMBER(AE155)),IF(AE154&gt;0,AE155/AE154,""),"")</f>
        <v/>
      </c>
      <c r="AF156" s="83" t="str">
        <f>IF(AND(ISNUMBER(AF154),ISNUMBER(AF155)),IF(AF154&gt;0,AF155/AF154,""),"")</f>
        <v/>
      </c>
      <c r="AG156" s="83" t="str">
        <f>IF(AND(ISNUMBER(AG154),ISNUMBER(AG155)),IF(AG154&gt;0,AG155/AG154,""),"")</f>
        <v/>
      </c>
      <c r="AH156" s="83" t="str">
        <f>IF(AND(ISNUMBER(AH154),ISNUMBER(AH155)),IF(AH154&gt;0,AH155/AH154,""),"")</f>
        <v/>
      </c>
      <c r="AI156" s="83" t="str">
        <f>IF(AND(ISNUMBER(AI154),ISNUMBER(AI155)),IF(AI154&gt;0,AI155/AI154,""),"")</f>
        <v/>
      </c>
      <c r="AJ156" s="84" t="str">
        <f>IF(AND(ISNUMBER(AJ154),ISNUMBER(AJ155)),IF(AJ154&gt;0,AJ155/AJ154,""),"")</f>
        <v/>
      </c>
      <c r="AK156" s="81" t="str">
        <f>IF(AND(ISNUMBER(AK154),ISNUMBER(AK155)),IF(AK154&gt;0,AK155/AK154,""),"")</f>
        <v/>
      </c>
    </row>
    <row r="157" ht="15.75" customHeight="1">
      <c r="A157" s="118"/>
      <c r="B157" s="114" t="inlineStr">
        <is>
          <t xml:space="preserve">GENTE</t>
        </is>
      </c>
      <c r="C157" s="85" t="inlineStr">
        <is>
          <t xml:space="preserve">Efetivo</t>
        </is>
      </c>
      <c r="D157" s="86" t="str">
        <f>IFERROR(1/(1/INDEX(calculos!$C$55:$K$83,MATCH("Efetivo",calculos!$A$55:$A$83,0),MATCH($A$147,calculos!$C$54:$K$54,0))),"")</f>
        <v/>
      </c>
      <c r="E157" s="87"/>
      <c r="F157" s="88" t="str">
        <f>IF(F$3="","",IF(COUNTIFS(Base!$A$3:$A$5001,F$3,Base!$B$3:$B$5001,$A$147,Base!$Z$3:$Z$5001,"&lt;&gt;")=0,"",SUMIFS(Base!$Z$3:$Z$5001,Base!$A$3:$A$5001,F$3,Base!$B$3:$B$5001,$A$147)))</f>
        <v/>
      </c>
      <c r="G157" s="89" t="str">
        <f>IF(G$3="","",IF(COUNTIFS(Base!$A$3:$A$5001,G$3,Base!$B$3:$B$5001,$A$147,Base!$Z$3:$Z$5001,"&lt;&gt;")=0,"",SUMIFS(Base!$Z$3:$Z$5001,Base!$A$3:$A$5001,G$3,Base!$B$3:$B$5001,$A$147)))</f>
        <v/>
      </c>
      <c r="H157" s="89" t="str">
        <f>IF(H$3="","",IF(COUNTIFS(Base!$A$3:$A$5001,H$3,Base!$B$3:$B$5001,$A$147,Base!$Z$3:$Z$5001,"&lt;&gt;")=0,"",SUMIFS(Base!$Z$3:$Z$5001,Base!$A$3:$A$5001,H$3,Base!$B$3:$B$5001,$A$147)))</f>
        <v/>
      </c>
      <c r="I157" s="89" t="str">
        <f>IF(I$3="","",IF(COUNTIFS(Base!$A$3:$A$5001,I$3,Base!$B$3:$B$5001,$A$147,Base!$Z$3:$Z$5001,"&lt;&gt;")=0,"",SUMIFS(Base!$Z$3:$Z$5001,Base!$A$3:$A$5001,I$3,Base!$B$3:$B$5001,$A$147)))</f>
        <v/>
      </c>
      <c r="J157" s="89" t="str">
        <f>IF(J$3="","",IF(COUNTIFS(Base!$A$3:$A$5001,J$3,Base!$B$3:$B$5001,$A$147,Base!$Z$3:$Z$5001,"&lt;&gt;")=0,"",SUMIFS(Base!$Z$3:$Z$5001,Base!$A$3:$A$5001,J$3,Base!$B$3:$B$5001,$A$147)))</f>
        <v/>
      </c>
      <c r="K157" s="89" t="str">
        <f>IF(K$3="","",IF(COUNTIFS(Base!$A$3:$A$5001,K$3,Base!$B$3:$B$5001,$A$147,Base!$Z$3:$Z$5001,"&lt;&gt;")=0,"",SUMIFS(Base!$Z$3:$Z$5001,Base!$A$3:$A$5001,K$3,Base!$B$3:$B$5001,$A$147)))</f>
        <v/>
      </c>
      <c r="L157" s="89" t="str">
        <f>IF(L$3="","",IF(COUNTIFS(Base!$A$3:$A$5001,L$3,Base!$B$3:$B$5001,$A$147,Base!$Z$3:$Z$5001,"&lt;&gt;")=0,"",SUMIFS(Base!$Z$3:$Z$5001,Base!$A$3:$A$5001,L$3,Base!$B$3:$B$5001,$A$147)))</f>
        <v/>
      </c>
      <c r="M157" s="89" t="str">
        <f>IF(M$3="","",IF(COUNTIFS(Base!$A$3:$A$5001,M$3,Base!$B$3:$B$5001,$A$147,Base!$Z$3:$Z$5001,"&lt;&gt;")=0,"",SUMIFS(Base!$Z$3:$Z$5001,Base!$A$3:$A$5001,M$3,Base!$B$3:$B$5001,$A$147)))</f>
        <v/>
      </c>
      <c r="N157" s="89" t="str">
        <f>IF(N$3="","",IF(COUNTIFS(Base!$A$3:$A$5001,N$3,Base!$B$3:$B$5001,$A$147,Base!$Z$3:$Z$5001,"&lt;&gt;")=0,"",SUMIFS(Base!$Z$3:$Z$5001,Base!$A$3:$A$5001,N$3,Base!$B$3:$B$5001,$A$147)))</f>
        <v/>
      </c>
      <c r="O157" s="89" t="str">
        <f>IF(O$3="","",IF(COUNTIFS(Base!$A$3:$A$5001,O$3,Base!$B$3:$B$5001,$A$147,Base!$Z$3:$Z$5001,"&lt;&gt;")=0,"",SUMIFS(Base!$Z$3:$Z$5001,Base!$A$3:$A$5001,O$3,Base!$B$3:$B$5001,$A$147)))</f>
        <v/>
      </c>
      <c r="P157" s="89" t="str">
        <f>IF(P$3="","",IF(COUNTIFS(Base!$A$3:$A$5001,P$3,Base!$B$3:$B$5001,$A$147,Base!$Z$3:$Z$5001,"&lt;&gt;")=0,"",SUMIFS(Base!$Z$3:$Z$5001,Base!$A$3:$A$5001,P$3,Base!$B$3:$B$5001,$A$147)))</f>
        <v/>
      </c>
      <c r="Q157" s="89" t="str">
        <f>IF(Q$3="","",IF(COUNTIFS(Base!$A$3:$A$5001,Q$3,Base!$B$3:$B$5001,$A$147,Base!$Z$3:$Z$5001,"&lt;&gt;")=0,"",SUMIFS(Base!$Z$3:$Z$5001,Base!$A$3:$A$5001,Q$3,Base!$B$3:$B$5001,$A$147)))</f>
        <v/>
      </c>
      <c r="R157" s="89" t="str">
        <f>IF(R$3="","",IF(COUNTIFS(Base!$A$3:$A$5001,R$3,Base!$B$3:$B$5001,$A$147,Base!$Z$3:$Z$5001,"&lt;&gt;")=0,"",SUMIFS(Base!$Z$3:$Z$5001,Base!$A$3:$A$5001,R$3,Base!$B$3:$B$5001,$A$147)))</f>
        <v/>
      </c>
      <c r="S157" s="89" t="str">
        <f>IF(S$3="","",IF(COUNTIFS(Base!$A$3:$A$5001,S$3,Base!$B$3:$B$5001,$A$147,Base!$Z$3:$Z$5001,"&lt;&gt;")=0,"",SUMIFS(Base!$Z$3:$Z$5001,Base!$A$3:$A$5001,S$3,Base!$B$3:$B$5001,$A$147)))</f>
        <v/>
      </c>
      <c r="T157" s="89" t="str">
        <f>IF(T$3="","",IF(COUNTIFS(Base!$A$3:$A$5001,T$3,Base!$B$3:$B$5001,$A$147,Base!$Z$3:$Z$5001,"&lt;&gt;")=0,"",SUMIFS(Base!$Z$3:$Z$5001,Base!$A$3:$A$5001,T$3,Base!$B$3:$B$5001,$A$147)))</f>
        <v/>
      </c>
      <c r="U157" s="89" t="str">
        <f>IF(U$3="","",IF(COUNTIFS(Base!$A$3:$A$5001,U$3,Base!$B$3:$B$5001,$A$147,Base!$Z$3:$Z$5001,"&lt;&gt;")=0,"",SUMIFS(Base!$Z$3:$Z$5001,Base!$A$3:$A$5001,U$3,Base!$B$3:$B$5001,$A$147)))</f>
        <v/>
      </c>
      <c r="V157" s="89" t="str">
        <f>IF(V$3="","",IF(COUNTIFS(Base!$A$3:$A$5001,V$3,Base!$B$3:$B$5001,$A$147,Base!$Z$3:$Z$5001,"&lt;&gt;")=0,"",SUMIFS(Base!$Z$3:$Z$5001,Base!$A$3:$A$5001,V$3,Base!$B$3:$B$5001,$A$147)))</f>
        <v/>
      </c>
      <c r="W157" s="89" t="str">
        <f>IF(W$3="","",IF(COUNTIFS(Base!$A$3:$A$5001,W$3,Base!$B$3:$B$5001,$A$147,Base!$Z$3:$Z$5001,"&lt;&gt;")=0,"",SUMIFS(Base!$Z$3:$Z$5001,Base!$A$3:$A$5001,W$3,Base!$B$3:$B$5001,$A$147)))</f>
        <v/>
      </c>
      <c r="X157" s="89" t="str">
        <f>IF(X$3="","",IF(COUNTIFS(Base!$A$3:$A$5001,X$3,Base!$B$3:$B$5001,$A$147,Base!$Z$3:$Z$5001,"&lt;&gt;")=0,"",SUMIFS(Base!$Z$3:$Z$5001,Base!$A$3:$A$5001,X$3,Base!$B$3:$B$5001,$A$147)))</f>
        <v/>
      </c>
      <c r="Y157" s="89" t="str">
        <f>IF(Y$3="","",IF(COUNTIFS(Base!$A$3:$A$5001,Y$3,Base!$B$3:$B$5001,$A$147,Base!$Z$3:$Z$5001,"&lt;&gt;")=0,"",SUMIFS(Base!$Z$3:$Z$5001,Base!$A$3:$A$5001,Y$3,Base!$B$3:$B$5001,$A$147)))</f>
        <v/>
      </c>
      <c r="Z157" s="89" t="str">
        <f>IF(Z$3="","",IF(COUNTIFS(Base!$A$3:$A$5001,Z$3,Base!$B$3:$B$5001,$A$147,Base!$Z$3:$Z$5001,"&lt;&gt;")=0,"",SUMIFS(Base!$Z$3:$Z$5001,Base!$A$3:$A$5001,Z$3,Base!$B$3:$B$5001,$A$147)))</f>
        <v/>
      </c>
      <c r="AA157" s="89" t="str">
        <f>IF(AA$3="","",IF(COUNTIFS(Base!$A$3:$A$5001,AA$3,Base!$B$3:$B$5001,$A$147,Base!$Z$3:$Z$5001,"&lt;&gt;")=0,"",SUMIFS(Base!$Z$3:$Z$5001,Base!$A$3:$A$5001,AA$3,Base!$B$3:$B$5001,$A$147)))</f>
        <v/>
      </c>
      <c r="AB157" s="89" t="str">
        <f>IF(AB$3="","",IF(COUNTIFS(Base!$A$3:$A$5001,AB$3,Base!$B$3:$B$5001,$A$147,Base!$Z$3:$Z$5001,"&lt;&gt;")=0,"",SUMIFS(Base!$Z$3:$Z$5001,Base!$A$3:$A$5001,AB$3,Base!$B$3:$B$5001,$A$147)))</f>
        <v/>
      </c>
      <c r="AC157" s="89" t="str">
        <f>IF(AC$3="","",IF(COUNTIFS(Base!$A$3:$A$5001,AC$3,Base!$B$3:$B$5001,$A$147,Base!$Z$3:$Z$5001,"&lt;&gt;")=0,"",SUMIFS(Base!$Z$3:$Z$5001,Base!$A$3:$A$5001,AC$3,Base!$B$3:$B$5001,$A$147)))</f>
        <v/>
      </c>
      <c r="AD157" s="89" t="str">
        <f>IF(AD$3="","",IF(COUNTIFS(Base!$A$3:$A$5001,AD$3,Base!$B$3:$B$5001,$A$147,Base!$Z$3:$Z$5001,"&lt;&gt;")=0,"",SUMIFS(Base!$Z$3:$Z$5001,Base!$A$3:$A$5001,AD$3,Base!$B$3:$B$5001,$A$147)))</f>
        <v/>
      </c>
      <c r="AE157" s="89" t="str">
        <f>IF(AE$3="","",IF(COUNTIFS(Base!$A$3:$A$5001,AE$3,Base!$B$3:$B$5001,$A$147,Base!$Z$3:$Z$5001,"&lt;&gt;")=0,"",SUMIFS(Base!$Z$3:$Z$5001,Base!$A$3:$A$5001,AE$3,Base!$B$3:$B$5001,$A$147)))</f>
        <v/>
      </c>
      <c r="AF157" s="89" t="str">
        <f>IF(AF$3="","",IF(COUNTIFS(Base!$A$3:$A$5001,AF$3,Base!$B$3:$B$5001,$A$147,Base!$Z$3:$Z$5001,"&lt;&gt;")=0,"",SUMIFS(Base!$Z$3:$Z$5001,Base!$A$3:$A$5001,AF$3,Base!$B$3:$B$5001,$A$147)))</f>
        <v/>
      </c>
      <c r="AG157" s="89" t="str">
        <f>IF(AG$3="","",IF(COUNTIFS(Base!$A$3:$A$5001,AG$3,Base!$B$3:$B$5001,$A$147,Base!$Z$3:$Z$5001,"&lt;&gt;")=0,"",SUMIFS(Base!$Z$3:$Z$5001,Base!$A$3:$A$5001,AG$3,Base!$B$3:$B$5001,$A$147)))</f>
        <v/>
      </c>
      <c r="AH157" s="89" t="str">
        <f>IF(AH$3="","",IF(COUNTIFS(Base!$A$3:$A$5001,AH$3,Base!$B$3:$B$5001,$A$147,Base!$Z$3:$Z$5001,"&lt;&gt;")=0,"",SUMIFS(Base!$Z$3:$Z$5001,Base!$A$3:$A$5001,AH$3,Base!$B$3:$B$5001,$A$147)))</f>
        <v/>
      </c>
      <c r="AI157" s="89" t="str">
        <f>IF(AI$3="","",IF(COUNTIFS(Base!$A$3:$A$5001,AI$3,Base!$B$3:$B$5001,$A$147,Base!$Z$3:$Z$5001,"&lt;&gt;")=0,"",SUMIFS(Base!$Z$3:$Z$5001,Base!$A$3:$A$5001,AI$3,Base!$B$3:$B$5001,$A$147)))</f>
        <v/>
      </c>
      <c r="AJ157" s="90" t="str">
        <f>IF(AJ$3="","",IF(COUNTIFS(Base!$A$3:$A$5001,AJ$3,Base!$B$3:$B$5001,$A$147,Base!$Z$3:$Z$5001,"&lt;&gt;")=0,"",SUMIFS(Base!$Z$3:$Z$5001,Base!$A$3:$A$5001,AJ$3,Base!$B$3:$B$5001,$A$147)))</f>
        <v/>
      </c>
      <c r="AK157" s="91" t="str">
        <f>IFERROR(LOOKUP(9.99E+307,F157:AJ157),"")</f>
        <v/>
      </c>
    </row>
    <row r="158" ht="15.75" customHeight="1">
      <c r="A158" s="118"/>
      <c r="B158" s="115"/>
      <c r="C158" s="92" t="inlineStr">
        <is>
          <t xml:space="preserve">Falta</t>
        </is>
      </c>
      <c r="D158" s="93" t="str">
        <f>IFERROR(1/(1/INDEX(calculos!$C$55:$K$83,MATCH("Falta",calculos!$A$55:$A$83,0),MATCH($A$147,calculos!$C$54:$K$54,0))),"")</f>
        <v/>
      </c>
      <c r="E158" s="94"/>
      <c r="F158" s="95" t="str">
        <f>IF(F$3="","",IF(COUNTIFS(Base!$A$3:$A$5001,F$3,Base!$B$3:$B$5001,$A$147,Base!$AA$3:$AA$5001,"&lt;&gt;")=0,"",SUMIFS(Base!$AA$3:$AA$5001,Base!$A$3:$A$5001,F$3,Base!$B$3:$B$5001,$A$147)))</f>
        <v/>
      </c>
      <c r="G158" s="96" t="str">
        <f>IF(G$3="","",IF(COUNTIFS(Base!$A$3:$A$5001,G$3,Base!$B$3:$B$5001,$A$147,Base!$AA$3:$AA$5001,"&lt;&gt;")=0,"",SUMIFS(Base!$AA$3:$AA$5001,Base!$A$3:$A$5001,G$3,Base!$B$3:$B$5001,$A$147)))</f>
        <v/>
      </c>
      <c r="H158" s="96" t="str">
        <f>IF(H$3="","",IF(COUNTIFS(Base!$A$3:$A$5001,H$3,Base!$B$3:$B$5001,$A$147,Base!$AA$3:$AA$5001,"&lt;&gt;")=0,"",SUMIFS(Base!$AA$3:$AA$5001,Base!$A$3:$A$5001,H$3,Base!$B$3:$B$5001,$A$147)))</f>
        <v/>
      </c>
      <c r="I158" s="96" t="str">
        <f>IF(I$3="","",IF(COUNTIFS(Base!$A$3:$A$5001,I$3,Base!$B$3:$B$5001,$A$147,Base!$AA$3:$AA$5001,"&lt;&gt;")=0,"",SUMIFS(Base!$AA$3:$AA$5001,Base!$A$3:$A$5001,I$3,Base!$B$3:$B$5001,$A$147)))</f>
        <v/>
      </c>
      <c r="J158" s="96" t="str">
        <f>IF(J$3="","",IF(COUNTIFS(Base!$A$3:$A$5001,J$3,Base!$B$3:$B$5001,$A$147,Base!$AA$3:$AA$5001,"&lt;&gt;")=0,"",SUMIFS(Base!$AA$3:$AA$5001,Base!$A$3:$A$5001,J$3,Base!$B$3:$B$5001,$A$147)))</f>
        <v/>
      </c>
      <c r="K158" s="96" t="str">
        <f>IF(K$3="","",IF(COUNTIFS(Base!$A$3:$A$5001,K$3,Base!$B$3:$B$5001,$A$147,Base!$AA$3:$AA$5001,"&lt;&gt;")=0,"",SUMIFS(Base!$AA$3:$AA$5001,Base!$A$3:$A$5001,K$3,Base!$B$3:$B$5001,$A$147)))</f>
        <v/>
      </c>
      <c r="L158" s="96" t="str">
        <f>IF(L$3="","",IF(COUNTIFS(Base!$A$3:$A$5001,L$3,Base!$B$3:$B$5001,$A$147,Base!$AA$3:$AA$5001,"&lt;&gt;")=0,"",SUMIFS(Base!$AA$3:$AA$5001,Base!$A$3:$A$5001,L$3,Base!$B$3:$B$5001,$A$147)))</f>
        <v/>
      </c>
      <c r="M158" s="96" t="str">
        <f>IF(M$3="","",IF(COUNTIFS(Base!$A$3:$A$5001,M$3,Base!$B$3:$B$5001,$A$147,Base!$AA$3:$AA$5001,"&lt;&gt;")=0,"",SUMIFS(Base!$AA$3:$AA$5001,Base!$A$3:$A$5001,M$3,Base!$B$3:$B$5001,$A$147)))</f>
        <v/>
      </c>
      <c r="N158" s="96" t="str">
        <f>IF(N$3="","",IF(COUNTIFS(Base!$A$3:$A$5001,N$3,Base!$B$3:$B$5001,$A$147,Base!$AA$3:$AA$5001,"&lt;&gt;")=0,"",SUMIFS(Base!$AA$3:$AA$5001,Base!$A$3:$A$5001,N$3,Base!$B$3:$B$5001,$A$147)))</f>
        <v/>
      </c>
      <c r="O158" s="96" t="str">
        <f>IF(O$3="","",IF(COUNTIFS(Base!$A$3:$A$5001,O$3,Base!$B$3:$B$5001,$A$147,Base!$AA$3:$AA$5001,"&lt;&gt;")=0,"",SUMIFS(Base!$AA$3:$AA$5001,Base!$A$3:$A$5001,O$3,Base!$B$3:$B$5001,$A$147)))</f>
        <v/>
      </c>
      <c r="P158" s="96" t="str">
        <f>IF(P$3="","",IF(COUNTIFS(Base!$A$3:$A$5001,P$3,Base!$B$3:$B$5001,$A$147,Base!$AA$3:$AA$5001,"&lt;&gt;")=0,"",SUMIFS(Base!$AA$3:$AA$5001,Base!$A$3:$A$5001,P$3,Base!$B$3:$B$5001,$A$147)))</f>
        <v/>
      </c>
      <c r="Q158" s="96" t="str">
        <f>IF(Q$3="","",IF(COUNTIFS(Base!$A$3:$A$5001,Q$3,Base!$B$3:$B$5001,$A$147,Base!$AA$3:$AA$5001,"&lt;&gt;")=0,"",SUMIFS(Base!$AA$3:$AA$5001,Base!$A$3:$A$5001,Q$3,Base!$B$3:$B$5001,$A$147)))</f>
        <v/>
      </c>
      <c r="R158" s="96" t="str">
        <f>IF(R$3="","",IF(COUNTIFS(Base!$A$3:$A$5001,R$3,Base!$B$3:$B$5001,$A$147,Base!$AA$3:$AA$5001,"&lt;&gt;")=0,"",SUMIFS(Base!$AA$3:$AA$5001,Base!$A$3:$A$5001,R$3,Base!$B$3:$B$5001,$A$147)))</f>
        <v/>
      </c>
      <c r="S158" s="96" t="str">
        <f>IF(S$3="","",IF(COUNTIFS(Base!$A$3:$A$5001,S$3,Base!$B$3:$B$5001,$A$147,Base!$AA$3:$AA$5001,"&lt;&gt;")=0,"",SUMIFS(Base!$AA$3:$AA$5001,Base!$A$3:$A$5001,S$3,Base!$B$3:$B$5001,$A$147)))</f>
        <v/>
      </c>
      <c r="T158" s="96" t="str">
        <f>IF(T$3="","",IF(COUNTIFS(Base!$A$3:$A$5001,T$3,Base!$B$3:$B$5001,$A$147,Base!$AA$3:$AA$5001,"&lt;&gt;")=0,"",SUMIFS(Base!$AA$3:$AA$5001,Base!$A$3:$A$5001,T$3,Base!$B$3:$B$5001,$A$147)))</f>
        <v/>
      </c>
      <c r="U158" s="96" t="str">
        <f>IF(U$3="","",IF(COUNTIFS(Base!$A$3:$A$5001,U$3,Base!$B$3:$B$5001,$A$147,Base!$AA$3:$AA$5001,"&lt;&gt;")=0,"",SUMIFS(Base!$AA$3:$AA$5001,Base!$A$3:$A$5001,U$3,Base!$B$3:$B$5001,$A$147)))</f>
        <v/>
      </c>
      <c r="V158" s="96" t="str">
        <f>IF(V$3="","",IF(COUNTIFS(Base!$A$3:$A$5001,V$3,Base!$B$3:$B$5001,$A$147,Base!$AA$3:$AA$5001,"&lt;&gt;")=0,"",SUMIFS(Base!$AA$3:$AA$5001,Base!$A$3:$A$5001,V$3,Base!$B$3:$B$5001,$A$147)))</f>
        <v/>
      </c>
      <c r="W158" s="96" t="str">
        <f>IF(W$3="","",IF(COUNTIFS(Base!$A$3:$A$5001,W$3,Base!$B$3:$B$5001,$A$147,Base!$AA$3:$AA$5001,"&lt;&gt;")=0,"",SUMIFS(Base!$AA$3:$AA$5001,Base!$A$3:$A$5001,W$3,Base!$B$3:$B$5001,$A$147)))</f>
        <v/>
      </c>
      <c r="X158" s="96" t="str">
        <f>IF(X$3="","",IF(COUNTIFS(Base!$A$3:$A$5001,X$3,Base!$B$3:$B$5001,$A$147,Base!$AA$3:$AA$5001,"&lt;&gt;")=0,"",SUMIFS(Base!$AA$3:$AA$5001,Base!$A$3:$A$5001,X$3,Base!$B$3:$B$5001,$A$147)))</f>
        <v/>
      </c>
      <c r="Y158" s="96" t="str">
        <f>IF(Y$3="","",IF(COUNTIFS(Base!$A$3:$A$5001,Y$3,Base!$B$3:$B$5001,$A$147,Base!$AA$3:$AA$5001,"&lt;&gt;")=0,"",SUMIFS(Base!$AA$3:$AA$5001,Base!$A$3:$A$5001,Y$3,Base!$B$3:$B$5001,$A$147)))</f>
        <v/>
      </c>
      <c r="Z158" s="96" t="str">
        <f>IF(Z$3="","",IF(COUNTIFS(Base!$A$3:$A$5001,Z$3,Base!$B$3:$B$5001,$A$147,Base!$AA$3:$AA$5001,"&lt;&gt;")=0,"",SUMIFS(Base!$AA$3:$AA$5001,Base!$A$3:$A$5001,Z$3,Base!$B$3:$B$5001,$A$147)))</f>
        <v/>
      </c>
      <c r="AA158" s="96" t="str">
        <f>IF(AA$3="","",IF(COUNTIFS(Base!$A$3:$A$5001,AA$3,Base!$B$3:$B$5001,$A$147,Base!$AA$3:$AA$5001,"&lt;&gt;")=0,"",SUMIFS(Base!$AA$3:$AA$5001,Base!$A$3:$A$5001,AA$3,Base!$B$3:$B$5001,$A$147)))</f>
        <v/>
      </c>
      <c r="AB158" s="96" t="str">
        <f>IF(AB$3="","",IF(COUNTIFS(Base!$A$3:$A$5001,AB$3,Base!$B$3:$B$5001,$A$147,Base!$AA$3:$AA$5001,"&lt;&gt;")=0,"",SUMIFS(Base!$AA$3:$AA$5001,Base!$A$3:$A$5001,AB$3,Base!$B$3:$B$5001,$A$147)))</f>
        <v/>
      </c>
      <c r="AC158" s="96" t="str">
        <f>IF(AC$3="","",IF(COUNTIFS(Base!$A$3:$A$5001,AC$3,Base!$B$3:$B$5001,$A$147,Base!$AA$3:$AA$5001,"&lt;&gt;")=0,"",SUMIFS(Base!$AA$3:$AA$5001,Base!$A$3:$A$5001,AC$3,Base!$B$3:$B$5001,$A$147)))</f>
        <v/>
      </c>
      <c r="AD158" s="96" t="str">
        <f>IF(AD$3="","",IF(COUNTIFS(Base!$A$3:$A$5001,AD$3,Base!$B$3:$B$5001,$A$147,Base!$AA$3:$AA$5001,"&lt;&gt;")=0,"",SUMIFS(Base!$AA$3:$AA$5001,Base!$A$3:$A$5001,AD$3,Base!$B$3:$B$5001,$A$147)))</f>
        <v/>
      </c>
      <c r="AE158" s="96" t="str">
        <f>IF(AE$3="","",IF(COUNTIFS(Base!$A$3:$A$5001,AE$3,Base!$B$3:$B$5001,$A$147,Base!$AA$3:$AA$5001,"&lt;&gt;")=0,"",SUMIFS(Base!$AA$3:$AA$5001,Base!$A$3:$A$5001,AE$3,Base!$B$3:$B$5001,$A$147)))</f>
        <v/>
      </c>
      <c r="AF158" s="96" t="str">
        <f>IF(AF$3="","",IF(COUNTIFS(Base!$A$3:$A$5001,AF$3,Base!$B$3:$B$5001,$A$147,Base!$AA$3:$AA$5001,"&lt;&gt;")=0,"",SUMIFS(Base!$AA$3:$AA$5001,Base!$A$3:$A$5001,AF$3,Base!$B$3:$B$5001,$A$147)))</f>
        <v/>
      </c>
      <c r="AG158" s="96" t="str">
        <f>IF(AG$3="","",IF(COUNTIFS(Base!$A$3:$A$5001,AG$3,Base!$B$3:$B$5001,$A$147,Base!$AA$3:$AA$5001,"&lt;&gt;")=0,"",SUMIFS(Base!$AA$3:$AA$5001,Base!$A$3:$A$5001,AG$3,Base!$B$3:$B$5001,$A$147)))</f>
        <v/>
      </c>
      <c r="AH158" s="96" t="str">
        <f>IF(AH$3="","",IF(COUNTIFS(Base!$A$3:$A$5001,AH$3,Base!$B$3:$B$5001,$A$147,Base!$AA$3:$AA$5001,"&lt;&gt;")=0,"",SUMIFS(Base!$AA$3:$AA$5001,Base!$A$3:$A$5001,AH$3,Base!$B$3:$B$5001,$A$147)))</f>
        <v/>
      </c>
      <c r="AI158" s="96" t="str">
        <f>IF(AI$3="","",IF(COUNTIFS(Base!$A$3:$A$5001,AI$3,Base!$B$3:$B$5001,$A$147,Base!$AA$3:$AA$5001,"&lt;&gt;")=0,"",SUMIFS(Base!$AA$3:$AA$5001,Base!$A$3:$A$5001,AI$3,Base!$B$3:$B$5001,$A$147)))</f>
        <v/>
      </c>
      <c r="AJ158" s="97" t="str">
        <f>IF(AJ$3="","",IF(COUNTIFS(Base!$A$3:$A$5001,AJ$3,Base!$B$3:$B$5001,$A$147,Base!$AA$3:$AA$5001,"&lt;&gt;")=0,"",SUMIFS(Base!$AA$3:$AA$5001,Base!$A$3:$A$5001,AJ$3,Base!$B$3:$B$5001,$A$147)))</f>
        <v/>
      </c>
      <c r="AK158" s="98" t="str">
        <f>IF(COUNT(F158:AJ158)=0,"",SUM(F158:AJ158))</f>
        <v/>
      </c>
    </row>
    <row r="159" ht="15.75" customHeight="1">
      <c r="A159" s="118"/>
      <c r="B159" s="115"/>
      <c r="C159" s="92" t="inlineStr">
        <is>
          <t xml:space="preserve">Folga</t>
        </is>
      </c>
      <c r="D159" s="93" t="str">
        <f>IFERROR(1/(1/INDEX(calculos!$C$55:$K$83,MATCH("Folga",calculos!$A$55:$A$83,0),MATCH($A$147,calculos!$C$54:$K$54,0))),"")</f>
        <v/>
      </c>
      <c r="E159" s="94"/>
      <c r="F159" s="95" t="str">
        <f>IF(F$3="","",IF(COUNTIFS(Base!$A$3:$A$5001,F$3,Base!$B$3:$B$5001,$A$147,Base!$AB$3:$AB$5001,"&lt;&gt;")=0,"",SUMIFS(Base!$AB$3:$AB$5001,Base!$A$3:$A$5001,F$3,Base!$B$3:$B$5001,$A$147)))</f>
        <v/>
      </c>
      <c r="G159" s="96" t="str">
        <f>IF(G$3="","",IF(COUNTIFS(Base!$A$3:$A$5001,G$3,Base!$B$3:$B$5001,$A$147,Base!$AB$3:$AB$5001,"&lt;&gt;")=0,"",SUMIFS(Base!$AB$3:$AB$5001,Base!$A$3:$A$5001,G$3,Base!$B$3:$B$5001,$A$147)))</f>
        <v/>
      </c>
      <c r="H159" s="96" t="str">
        <f>IF(H$3="","",IF(COUNTIFS(Base!$A$3:$A$5001,H$3,Base!$B$3:$B$5001,$A$147,Base!$AB$3:$AB$5001,"&lt;&gt;")=0,"",SUMIFS(Base!$AB$3:$AB$5001,Base!$A$3:$A$5001,H$3,Base!$B$3:$B$5001,$A$147)))</f>
        <v/>
      </c>
      <c r="I159" s="96" t="str">
        <f>IF(I$3="","",IF(COUNTIFS(Base!$A$3:$A$5001,I$3,Base!$B$3:$B$5001,$A$147,Base!$AB$3:$AB$5001,"&lt;&gt;")=0,"",SUMIFS(Base!$AB$3:$AB$5001,Base!$A$3:$A$5001,I$3,Base!$B$3:$B$5001,$A$147)))</f>
        <v/>
      </c>
      <c r="J159" s="96" t="str">
        <f>IF(J$3="","",IF(COUNTIFS(Base!$A$3:$A$5001,J$3,Base!$B$3:$B$5001,$A$147,Base!$AB$3:$AB$5001,"&lt;&gt;")=0,"",SUMIFS(Base!$AB$3:$AB$5001,Base!$A$3:$A$5001,J$3,Base!$B$3:$B$5001,$A$147)))</f>
        <v/>
      </c>
      <c r="K159" s="96" t="str">
        <f>IF(K$3="","",IF(COUNTIFS(Base!$A$3:$A$5001,K$3,Base!$B$3:$B$5001,$A$147,Base!$AB$3:$AB$5001,"&lt;&gt;")=0,"",SUMIFS(Base!$AB$3:$AB$5001,Base!$A$3:$A$5001,K$3,Base!$B$3:$B$5001,$A$147)))</f>
        <v/>
      </c>
      <c r="L159" s="96" t="str">
        <f>IF(L$3="","",IF(COUNTIFS(Base!$A$3:$A$5001,L$3,Base!$B$3:$B$5001,$A$147,Base!$AB$3:$AB$5001,"&lt;&gt;")=0,"",SUMIFS(Base!$AB$3:$AB$5001,Base!$A$3:$A$5001,L$3,Base!$B$3:$B$5001,$A$147)))</f>
        <v/>
      </c>
      <c r="M159" s="96" t="str">
        <f>IF(M$3="","",IF(COUNTIFS(Base!$A$3:$A$5001,M$3,Base!$B$3:$B$5001,$A$147,Base!$AB$3:$AB$5001,"&lt;&gt;")=0,"",SUMIFS(Base!$AB$3:$AB$5001,Base!$A$3:$A$5001,M$3,Base!$B$3:$B$5001,$A$147)))</f>
        <v/>
      </c>
      <c r="N159" s="96" t="str">
        <f>IF(N$3="","",IF(COUNTIFS(Base!$A$3:$A$5001,N$3,Base!$B$3:$B$5001,$A$147,Base!$AB$3:$AB$5001,"&lt;&gt;")=0,"",SUMIFS(Base!$AB$3:$AB$5001,Base!$A$3:$A$5001,N$3,Base!$B$3:$B$5001,$A$147)))</f>
        <v/>
      </c>
      <c r="O159" s="96" t="str">
        <f>IF(O$3="","",IF(COUNTIFS(Base!$A$3:$A$5001,O$3,Base!$B$3:$B$5001,$A$147,Base!$AB$3:$AB$5001,"&lt;&gt;")=0,"",SUMIFS(Base!$AB$3:$AB$5001,Base!$A$3:$A$5001,O$3,Base!$B$3:$B$5001,$A$147)))</f>
        <v/>
      </c>
      <c r="P159" s="96" t="str">
        <f>IF(P$3="","",IF(COUNTIFS(Base!$A$3:$A$5001,P$3,Base!$B$3:$B$5001,$A$147,Base!$AB$3:$AB$5001,"&lt;&gt;")=0,"",SUMIFS(Base!$AB$3:$AB$5001,Base!$A$3:$A$5001,P$3,Base!$B$3:$B$5001,$A$147)))</f>
        <v/>
      </c>
      <c r="Q159" s="96" t="str">
        <f>IF(Q$3="","",IF(COUNTIFS(Base!$A$3:$A$5001,Q$3,Base!$B$3:$B$5001,$A$147,Base!$AB$3:$AB$5001,"&lt;&gt;")=0,"",SUMIFS(Base!$AB$3:$AB$5001,Base!$A$3:$A$5001,Q$3,Base!$B$3:$B$5001,$A$147)))</f>
        <v/>
      </c>
      <c r="R159" s="96" t="str">
        <f>IF(R$3="","",IF(COUNTIFS(Base!$A$3:$A$5001,R$3,Base!$B$3:$B$5001,$A$147,Base!$AB$3:$AB$5001,"&lt;&gt;")=0,"",SUMIFS(Base!$AB$3:$AB$5001,Base!$A$3:$A$5001,R$3,Base!$B$3:$B$5001,$A$147)))</f>
        <v/>
      </c>
      <c r="S159" s="96" t="str">
        <f>IF(S$3="","",IF(COUNTIFS(Base!$A$3:$A$5001,S$3,Base!$B$3:$B$5001,$A$147,Base!$AB$3:$AB$5001,"&lt;&gt;")=0,"",SUMIFS(Base!$AB$3:$AB$5001,Base!$A$3:$A$5001,S$3,Base!$B$3:$B$5001,$A$147)))</f>
        <v/>
      </c>
      <c r="T159" s="96" t="str">
        <f>IF(T$3="","",IF(COUNTIFS(Base!$A$3:$A$5001,T$3,Base!$B$3:$B$5001,$A$147,Base!$AB$3:$AB$5001,"&lt;&gt;")=0,"",SUMIFS(Base!$AB$3:$AB$5001,Base!$A$3:$A$5001,T$3,Base!$B$3:$B$5001,$A$147)))</f>
        <v/>
      </c>
      <c r="U159" s="96" t="str">
        <f>IF(U$3="","",IF(COUNTIFS(Base!$A$3:$A$5001,U$3,Base!$B$3:$B$5001,$A$147,Base!$AB$3:$AB$5001,"&lt;&gt;")=0,"",SUMIFS(Base!$AB$3:$AB$5001,Base!$A$3:$A$5001,U$3,Base!$B$3:$B$5001,$A$147)))</f>
        <v/>
      </c>
      <c r="V159" s="96" t="str">
        <f>IF(V$3="","",IF(COUNTIFS(Base!$A$3:$A$5001,V$3,Base!$B$3:$B$5001,$A$147,Base!$AB$3:$AB$5001,"&lt;&gt;")=0,"",SUMIFS(Base!$AB$3:$AB$5001,Base!$A$3:$A$5001,V$3,Base!$B$3:$B$5001,$A$147)))</f>
        <v/>
      </c>
      <c r="W159" s="96" t="str">
        <f>IF(W$3="","",IF(COUNTIFS(Base!$A$3:$A$5001,W$3,Base!$B$3:$B$5001,$A$147,Base!$AB$3:$AB$5001,"&lt;&gt;")=0,"",SUMIFS(Base!$AB$3:$AB$5001,Base!$A$3:$A$5001,W$3,Base!$B$3:$B$5001,$A$147)))</f>
        <v/>
      </c>
      <c r="X159" s="96" t="str">
        <f>IF(X$3="","",IF(COUNTIFS(Base!$A$3:$A$5001,X$3,Base!$B$3:$B$5001,$A$147,Base!$AB$3:$AB$5001,"&lt;&gt;")=0,"",SUMIFS(Base!$AB$3:$AB$5001,Base!$A$3:$A$5001,X$3,Base!$B$3:$B$5001,$A$147)))</f>
        <v/>
      </c>
      <c r="Y159" s="96" t="str">
        <f>IF(Y$3="","",IF(COUNTIFS(Base!$A$3:$A$5001,Y$3,Base!$B$3:$B$5001,$A$147,Base!$AB$3:$AB$5001,"&lt;&gt;")=0,"",SUMIFS(Base!$AB$3:$AB$5001,Base!$A$3:$A$5001,Y$3,Base!$B$3:$B$5001,$A$147)))</f>
        <v/>
      </c>
      <c r="Z159" s="96" t="str">
        <f>IF(Z$3="","",IF(COUNTIFS(Base!$A$3:$A$5001,Z$3,Base!$B$3:$B$5001,$A$147,Base!$AB$3:$AB$5001,"&lt;&gt;")=0,"",SUMIFS(Base!$AB$3:$AB$5001,Base!$A$3:$A$5001,Z$3,Base!$B$3:$B$5001,$A$147)))</f>
        <v/>
      </c>
      <c r="AA159" s="96" t="str">
        <f>IF(AA$3="","",IF(COUNTIFS(Base!$A$3:$A$5001,AA$3,Base!$B$3:$B$5001,$A$147,Base!$AB$3:$AB$5001,"&lt;&gt;")=0,"",SUMIFS(Base!$AB$3:$AB$5001,Base!$A$3:$A$5001,AA$3,Base!$B$3:$B$5001,$A$147)))</f>
        <v/>
      </c>
      <c r="AB159" s="96" t="str">
        <f>IF(AB$3="","",IF(COUNTIFS(Base!$A$3:$A$5001,AB$3,Base!$B$3:$B$5001,$A$147,Base!$AB$3:$AB$5001,"&lt;&gt;")=0,"",SUMIFS(Base!$AB$3:$AB$5001,Base!$A$3:$A$5001,AB$3,Base!$B$3:$B$5001,$A$147)))</f>
        <v/>
      </c>
      <c r="AC159" s="96" t="str">
        <f>IF(AC$3="","",IF(COUNTIFS(Base!$A$3:$A$5001,AC$3,Base!$B$3:$B$5001,$A$147,Base!$AB$3:$AB$5001,"&lt;&gt;")=0,"",SUMIFS(Base!$AB$3:$AB$5001,Base!$A$3:$A$5001,AC$3,Base!$B$3:$B$5001,$A$147)))</f>
        <v/>
      </c>
      <c r="AD159" s="96" t="str">
        <f>IF(AD$3="","",IF(COUNTIFS(Base!$A$3:$A$5001,AD$3,Base!$B$3:$B$5001,$A$147,Base!$AB$3:$AB$5001,"&lt;&gt;")=0,"",SUMIFS(Base!$AB$3:$AB$5001,Base!$A$3:$A$5001,AD$3,Base!$B$3:$B$5001,$A$147)))</f>
        <v/>
      </c>
      <c r="AE159" s="96" t="str">
        <f>IF(AE$3="","",IF(COUNTIFS(Base!$A$3:$A$5001,AE$3,Base!$B$3:$B$5001,$A$147,Base!$AB$3:$AB$5001,"&lt;&gt;")=0,"",SUMIFS(Base!$AB$3:$AB$5001,Base!$A$3:$A$5001,AE$3,Base!$B$3:$B$5001,$A$147)))</f>
        <v/>
      </c>
      <c r="AF159" s="96" t="str">
        <f>IF(AF$3="","",IF(COUNTIFS(Base!$A$3:$A$5001,AF$3,Base!$B$3:$B$5001,$A$147,Base!$AB$3:$AB$5001,"&lt;&gt;")=0,"",SUMIFS(Base!$AB$3:$AB$5001,Base!$A$3:$A$5001,AF$3,Base!$B$3:$B$5001,$A$147)))</f>
        <v/>
      </c>
      <c r="AG159" s="96" t="str">
        <f>IF(AG$3="","",IF(COUNTIFS(Base!$A$3:$A$5001,AG$3,Base!$B$3:$B$5001,$A$147,Base!$AB$3:$AB$5001,"&lt;&gt;")=0,"",SUMIFS(Base!$AB$3:$AB$5001,Base!$A$3:$A$5001,AG$3,Base!$B$3:$B$5001,$A$147)))</f>
        <v/>
      </c>
      <c r="AH159" s="96" t="str">
        <f>IF(AH$3="","",IF(COUNTIFS(Base!$A$3:$A$5001,AH$3,Base!$B$3:$B$5001,$A$147,Base!$AB$3:$AB$5001,"&lt;&gt;")=0,"",SUMIFS(Base!$AB$3:$AB$5001,Base!$A$3:$A$5001,AH$3,Base!$B$3:$B$5001,$A$147)))</f>
        <v/>
      </c>
      <c r="AI159" s="96" t="str">
        <f>IF(AI$3="","",IF(COUNTIFS(Base!$A$3:$A$5001,AI$3,Base!$B$3:$B$5001,$A$147,Base!$AB$3:$AB$5001,"&lt;&gt;")=0,"",SUMIFS(Base!$AB$3:$AB$5001,Base!$A$3:$A$5001,AI$3,Base!$B$3:$B$5001,$A$147)))</f>
        <v/>
      </c>
      <c r="AJ159" s="97" t="str">
        <f>IF(AJ$3="","",IF(COUNTIFS(Base!$A$3:$A$5001,AJ$3,Base!$B$3:$B$5001,$A$147,Base!$AB$3:$AB$5001,"&lt;&gt;")=0,"",SUMIFS(Base!$AB$3:$AB$5001,Base!$A$3:$A$5001,AJ$3,Base!$B$3:$B$5001,$A$147)))</f>
        <v/>
      </c>
      <c r="AK159" s="98" t="str">
        <f>IF(COUNT(F159:AJ159)=0,"",SUM(F159:AJ159))</f>
        <v/>
      </c>
    </row>
    <row r="160" ht="15.75" customHeight="1">
      <c r="A160" s="118"/>
      <c r="B160" s="115"/>
      <c r="C160" s="92" t="inlineStr">
        <is>
          <t xml:space="preserve">Férias</t>
        </is>
      </c>
      <c r="D160" s="93" t="str">
        <f>IFERROR(1/(1/INDEX(calculos!$C$55:$K$83,MATCH("Férias",calculos!$A$55:$A$83,0),MATCH($A$147,calculos!$C$54:$K$54,0))),"")</f>
        <v/>
      </c>
      <c r="E160" s="94"/>
      <c r="F160" s="95" t="str">
        <f>IF(F$3="","",IF(COUNTIFS(Base!$A$3:$A$5001,F$3,Base!$B$3:$B$5001,$A$147,Base!$AC$3:$AC$5001,"&lt;&gt;")=0,"",SUMIFS(Base!$AC$3:$AC$5001,Base!$A$3:$A$5001,F$3,Base!$B$3:$B$5001,$A$147)))</f>
        <v/>
      </c>
      <c r="G160" s="96" t="str">
        <f>IF(G$3="","",IF(COUNTIFS(Base!$A$3:$A$5001,G$3,Base!$B$3:$B$5001,$A$147,Base!$AC$3:$AC$5001,"&lt;&gt;")=0,"",SUMIFS(Base!$AC$3:$AC$5001,Base!$A$3:$A$5001,G$3,Base!$B$3:$B$5001,$A$147)))</f>
        <v/>
      </c>
      <c r="H160" s="96" t="str">
        <f>IF(H$3="","",IF(COUNTIFS(Base!$A$3:$A$5001,H$3,Base!$B$3:$B$5001,$A$147,Base!$AC$3:$AC$5001,"&lt;&gt;")=0,"",SUMIFS(Base!$AC$3:$AC$5001,Base!$A$3:$A$5001,H$3,Base!$B$3:$B$5001,$A$147)))</f>
        <v/>
      </c>
      <c r="I160" s="96" t="str">
        <f>IF(I$3="","",IF(COUNTIFS(Base!$A$3:$A$5001,I$3,Base!$B$3:$B$5001,$A$147,Base!$AC$3:$AC$5001,"&lt;&gt;")=0,"",SUMIFS(Base!$AC$3:$AC$5001,Base!$A$3:$A$5001,I$3,Base!$B$3:$B$5001,$A$147)))</f>
        <v/>
      </c>
      <c r="J160" s="96" t="str">
        <f>IF(J$3="","",IF(COUNTIFS(Base!$A$3:$A$5001,J$3,Base!$B$3:$B$5001,$A$147,Base!$AC$3:$AC$5001,"&lt;&gt;")=0,"",SUMIFS(Base!$AC$3:$AC$5001,Base!$A$3:$A$5001,J$3,Base!$B$3:$B$5001,$A$147)))</f>
        <v/>
      </c>
      <c r="K160" s="96" t="str">
        <f>IF(K$3="","",IF(COUNTIFS(Base!$A$3:$A$5001,K$3,Base!$B$3:$B$5001,$A$147,Base!$AC$3:$AC$5001,"&lt;&gt;")=0,"",SUMIFS(Base!$AC$3:$AC$5001,Base!$A$3:$A$5001,K$3,Base!$B$3:$B$5001,$A$147)))</f>
        <v/>
      </c>
      <c r="L160" s="96" t="str">
        <f>IF(L$3="","",IF(COUNTIFS(Base!$A$3:$A$5001,L$3,Base!$B$3:$B$5001,$A$147,Base!$AC$3:$AC$5001,"&lt;&gt;")=0,"",SUMIFS(Base!$AC$3:$AC$5001,Base!$A$3:$A$5001,L$3,Base!$B$3:$B$5001,$A$147)))</f>
        <v/>
      </c>
      <c r="M160" s="96" t="str">
        <f>IF(M$3="","",IF(COUNTIFS(Base!$A$3:$A$5001,M$3,Base!$B$3:$B$5001,$A$147,Base!$AC$3:$AC$5001,"&lt;&gt;")=0,"",SUMIFS(Base!$AC$3:$AC$5001,Base!$A$3:$A$5001,M$3,Base!$B$3:$B$5001,$A$147)))</f>
        <v/>
      </c>
      <c r="N160" s="96" t="str">
        <f>IF(N$3="","",IF(COUNTIFS(Base!$A$3:$A$5001,N$3,Base!$B$3:$B$5001,$A$147,Base!$AC$3:$AC$5001,"&lt;&gt;")=0,"",SUMIFS(Base!$AC$3:$AC$5001,Base!$A$3:$A$5001,N$3,Base!$B$3:$B$5001,$A$147)))</f>
        <v/>
      </c>
      <c r="O160" s="96" t="str">
        <f>IF(O$3="","",IF(COUNTIFS(Base!$A$3:$A$5001,O$3,Base!$B$3:$B$5001,$A$147,Base!$AC$3:$AC$5001,"&lt;&gt;")=0,"",SUMIFS(Base!$AC$3:$AC$5001,Base!$A$3:$A$5001,O$3,Base!$B$3:$B$5001,$A$147)))</f>
        <v/>
      </c>
      <c r="P160" s="96" t="str">
        <f>IF(P$3="","",IF(COUNTIFS(Base!$A$3:$A$5001,P$3,Base!$B$3:$B$5001,$A$147,Base!$AC$3:$AC$5001,"&lt;&gt;")=0,"",SUMIFS(Base!$AC$3:$AC$5001,Base!$A$3:$A$5001,P$3,Base!$B$3:$B$5001,$A$147)))</f>
        <v/>
      </c>
      <c r="Q160" s="96" t="str">
        <f>IF(Q$3="","",IF(COUNTIFS(Base!$A$3:$A$5001,Q$3,Base!$B$3:$B$5001,$A$147,Base!$AC$3:$AC$5001,"&lt;&gt;")=0,"",SUMIFS(Base!$AC$3:$AC$5001,Base!$A$3:$A$5001,Q$3,Base!$B$3:$B$5001,$A$147)))</f>
        <v/>
      </c>
      <c r="R160" s="96" t="str">
        <f>IF(R$3="","",IF(COUNTIFS(Base!$A$3:$A$5001,R$3,Base!$B$3:$B$5001,$A$147,Base!$AC$3:$AC$5001,"&lt;&gt;")=0,"",SUMIFS(Base!$AC$3:$AC$5001,Base!$A$3:$A$5001,R$3,Base!$B$3:$B$5001,$A$147)))</f>
        <v/>
      </c>
      <c r="S160" s="96" t="str">
        <f>IF(S$3="","",IF(COUNTIFS(Base!$A$3:$A$5001,S$3,Base!$B$3:$B$5001,$A$147,Base!$AC$3:$AC$5001,"&lt;&gt;")=0,"",SUMIFS(Base!$AC$3:$AC$5001,Base!$A$3:$A$5001,S$3,Base!$B$3:$B$5001,$A$147)))</f>
        <v/>
      </c>
      <c r="T160" s="96" t="str">
        <f>IF(T$3="","",IF(COUNTIFS(Base!$A$3:$A$5001,T$3,Base!$B$3:$B$5001,$A$147,Base!$AC$3:$AC$5001,"&lt;&gt;")=0,"",SUMIFS(Base!$AC$3:$AC$5001,Base!$A$3:$A$5001,T$3,Base!$B$3:$B$5001,$A$147)))</f>
        <v/>
      </c>
      <c r="U160" s="96" t="str">
        <f>IF(U$3="","",IF(COUNTIFS(Base!$A$3:$A$5001,U$3,Base!$B$3:$B$5001,$A$147,Base!$AC$3:$AC$5001,"&lt;&gt;")=0,"",SUMIFS(Base!$AC$3:$AC$5001,Base!$A$3:$A$5001,U$3,Base!$B$3:$B$5001,$A$147)))</f>
        <v/>
      </c>
      <c r="V160" s="96" t="str">
        <f>IF(V$3="","",IF(COUNTIFS(Base!$A$3:$A$5001,V$3,Base!$B$3:$B$5001,$A$147,Base!$AC$3:$AC$5001,"&lt;&gt;")=0,"",SUMIFS(Base!$AC$3:$AC$5001,Base!$A$3:$A$5001,V$3,Base!$B$3:$B$5001,$A$147)))</f>
        <v/>
      </c>
      <c r="W160" s="96" t="str">
        <f>IF(W$3="","",IF(COUNTIFS(Base!$A$3:$A$5001,W$3,Base!$B$3:$B$5001,$A$147,Base!$AC$3:$AC$5001,"&lt;&gt;")=0,"",SUMIFS(Base!$AC$3:$AC$5001,Base!$A$3:$A$5001,W$3,Base!$B$3:$B$5001,$A$147)))</f>
        <v/>
      </c>
      <c r="X160" s="96" t="str">
        <f>IF(X$3="","",IF(COUNTIFS(Base!$A$3:$A$5001,X$3,Base!$B$3:$B$5001,$A$147,Base!$AC$3:$AC$5001,"&lt;&gt;")=0,"",SUMIFS(Base!$AC$3:$AC$5001,Base!$A$3:$A$5001,X$3,Base!$B$3:$B$5001,$A$147)))</f>
        <v/>
      </c>
      <c r="Y160" s="96" t="str">
        <f>IF(Y$3="","",IF(COUNTIFS(Base!$A$3:$A$5001,Y$3,Base!$B$3:$B$5001,$A$147,Base!$AC$3:$AC$5001,"&lt;&gt;")=0,"",SUMIFS(Base!$AC$3:$AC$5001,Base!$A$3:$A$5001,Y$3,Base!$B$3:$B$5001,$A$147)))</f>
        <v/>
      </c>
      <c r="Z160" s="96" t="str">
        <f>IF(Z$3="","",IF(COUNTIFS(Base!$A$3:$A$5001,Z$3,Base!$B$3:$B$5001,$A$147,Base!$AC$3:$AC$5001,"&lt;&gt;")=0,"",SUMIFS(Base!$AC$3:$AC$5001,Base!$A$3:$A$5001,Z$3,Base!$B$3:$B$5001,$A$147)))</f>
        <v/>
      </c>
      <c r="AA160" s="96" t="str">
        <f>IF(AA$3="","",IF(COUNTIFS(Base!$A$3:$A$5001,AA$3,Base!$B$3:$B$5001,$A$147,Base!$AC$3:$AC$5001,"&lt;&gt;")=0,"",SUMIFS(Base!$AC$3:$AC$5001,Base!$A$3:$A$5001,AA$3,Base!$B$3:$B$5001,$A$147)))</f>
        <v/>
      </c>
      <c r="AB160" s="96" t="str">
        <f>IF(AB$3="","",IF(COUNTIFS(Base!$A$3:$A$5001,AB$3,Base!$B$3:$B$5001,$A$147,Base!$AC$3:$AC$5001,"&lt;&gt;")=0,"",SUMIFS(Base!$AC$3:$AC$5001,Base!$A$3:$A$5001,AB$3,Base!$B$3:$B$5001,$A$147)))</f>
        <v/>
      </c>
      <c r="AC160" s="96" t="str">
        <f>IF(AC$3="","",IF(COUNTIFS(Base!$A$3:$A$5001,AC$3,Base!$B$3:$B$5001,$A$147,Base!$AC$3:$AC$5001,"&lt;&gt;")=0,"",SUMIFS(Base!$AC$3:$AC$5001,Base!$A$3:$A$5001,AC$3,Base!$B$3:$B$5001,$A$147)))</f>
        <v/>
      </c>
      <c r="AD160" s="96" t="str">
        <f>IF(AD$3="","",IF(COUNTIFS(Base!$A$3:$A$5001,AD$3,Base!$B$3:$B$5001,$A$147,Base!$AC$3:$AC$5001,"&lt;&gt;")=0,"",SUMIFS(Base!$AC$3:$AC$5001,Base!$A$3:$A$5001,AD$3,Base!$B$3:$B$5001,$A$147)))</f>
        <v/>
      </c>
      <c r="AE160" s="96" t="str">
        <f>IF(AE$3="","",IF(COUNTIFS(Base!$A$3:$A$5001,AE$3,Base!$B$3:$B$5001,$A$147,Base!$AC$3:$AC$5001,"&lt;&gt;")=0,"",SUMIFS(Base!$AC$3:$AC$5001,Base!$A$3:$A$5001,AE$3,Base!$B$3:$B$5001,$A$147)))</f>
        <v/>
      </c>
      <c r="AF160" s="96" t="str">
        <f>IF(AF$3="","",IF(COUNTIFS(Base!$A$3:$A$5001,AF$3,Base!$B$3:$B$5001,$A$147,Base!$AC$3:$AC$5001,"&lt;&gt;")=0,"",SUMIFS(Base!$AC$3:$AC$5001,Base!$A$3:$A$5001,AF$3,Base!$B$3:$B$5001,$A$147)))</f>
        <v/>
      </c>
      <c r="AG160" s="96" t="str">
        <f>IF(AG$3="","",IF(COUNTIFS(Base!$A$3:$A$5001,AG$3,Base!$B$3:$B$5001,$A$147,Base!$AC$3:$AC$5001,"&lt;&gt;")=0,"",SUMIFS(Base!$AC$3:$AC$5001,Base!$A$3:$A$5001,AG$3,Base!$B$3:$B$5001,$A$147)))</f>
        <v/>
      </c>
      <c r="AH160" s="96" t="str">
        <f>IF(AH$3="","",IF(COUNTIFS(Base!$A$3:$A$5001,AH$3,Base!$B$3:$B$5001,$A$147,Base!$AC$3:$AC$5001,"&lt;&gt;")=0,"",SUMIFS(Base!$AC$3:$AC$5001,Base!$A$3:$A$5001,AH$3,Base!$B$3:$B$5001,$A$147)))</f>
        <v/>
      </c>
      <c r="AI160" s="96" t="str">
        <f>IF(AI$3="","",IF(COUNTIFS(Base!$A$3:$A$5001,AI$3,Base!$B$3:$B$5001,$A$147,Base!$AC$3:$AC$5001,"&lt;&gt;")=0,"",SUMIFS(Base!$AC$3:$AC$5001,Base!$A$3:$A$5001,AI$3,Base!$B$3:$B$5001,$A$147)))</f>
        <v/>
      </c>
      <c r="AJ160" s="97" t="str">
        <f>IF(AJ$3="","",IF(COUNTIFS(Base!$A$3:$A$5001,AJ$3,Base!$B$3:$B$5001,$A$147,Base!$AC$3:$AC$5001,"&lt;&gt;")=0,"",SUMIFS(Base!$AC$3:$AC$5001,Base!$A$3:$A$5001,AJ$3,Base!$B$3:$B$5001,$A$147)))</f>
        <v/>
      </c>
      <c r="AK160" s="98" t="str">
        <f>IF(COUNT(F160:AJ160)=0,"",SUM(F160:AJ160))</f>
        <v/>
      </c>
    </row>
    <row r="161" ht="15.75" customHeight="1">
      <c r="A161" s="119"/>
      <c r="B161" s="116"/>
      <c r="C161" s="99" t="inlineStr">
        <is>
          <t xml:space="preserve">Desligamentos</t>
        </is>
      </c>
      <c r="D161" s="100" t="str">
        <f>IFERROR(1/(1/INDEX(calculos!$C$55:$K$83,MATCH("Desligamentos",calculos!$A$55:$A$83,0),MATCH($A$147,calculos!$C$54:$K$54,0))),"")</f>
        <v/>
      </c>
      <c r="E161" s="101"/>
      <c r="F161" s="102" t="str">
        <f>IF(F$3="","",IF(COUNTIFS(Base!$A$3:$A$5001,F$3,Base!$B$3:$B$5001,$A$147,Base!$AD$3:$AD$5001,"&lt;&gt;")=0,"",SUMIFS(Base!$AD$3:$AD$5001,Base!$A$3:$A$5001,F$3,Base!$B$3:$B$5001,$A$147)))</f>
        <v/>
      </c>
      <c r="G161" s="103" t="str">
        <f>IF(G$3="","",IF(COUNTIFS(Base!$A$3:$A$5001,G$3,Base!$B$3:$B$5001,$A$147,Base!$AD$3:$AD$5001,"&lt;&gt;")=0,"",SUMIFS(Base!$AD$3:$AD$5001,Base!$A$3:$A$5001,G$3,Base!$B$3:$B$5001,$A$147)))</f>
        <v/>
      </c>
      <c r="H161" s="103" t="str">
        <f>IF(H$3="","",IF(COUNTIFS(Base!$A$3:$A$5001,H$3,Base!$B$3:$B$5001,$A$147,Base!$AD$3:$AD$5001,"&lt;&gt;")=0,"",SUMIFS(Base!$AD$3:$AD$5001,Base!$A$3:$A$5001,H$3,Base!$B$3:$B$5001,$A$147)))</f>
        <v/>
      </c>
      <c r="I161" s="103" t="str">
        <f>IF(I$3="","",IF(COUNTIFS(Base!$A$3:$A$5001,I$3,Base!$B$3:$B$5001,$A$147,Base!$AD$3:$AD$5001,"&lt;&gt;")=0,"",SUMIFS(Base!$AD$3:$AD$5001,Base!$A$3:$A$5001,I$3,Base!$B$3:$B$5001,$A$147)))</f>
        <v/>
      </c>
      <c r="J161" s="103" t="str">
        <f>IF(J$3="","",IF(COUNTIFS(Base!$A$3:$A$5001,J$3,Base!$B$3:$B$5001,$A$147,Base!$AD$3:$AD$5001,"&lt;&gt;")=0,"",SUMIFS(Base!$AD$3:$AD$5001,Base!$A$3:$A$5001,J$3,Base!$B$3:$B$5001,$A$147)))</f>
        <v/>
      </c>
      <c r="K161" s="103" t="str">
        <f>IF(K$3="","",IF(COUNTIFS(Base!$A$3:$A$5001,K$3,Base!$B$3:$B$5001,$A$147,Base!$AD$3:$AD$5001,"&lt;&gt;")=0,"",SUMIFS(Base!$AD$3:$AD$5001,Base!$A$3:$A$5001,K$3,Base!$B$3:$B$5001,$A$147)))</f>
        <v/>
      </c>
      <c r="L161" s="103" t="str">
        <f>IF(L$3="","",IF(COUNTIFS(Base!$A$3:$A$5001,L$3,Base!$B$3:$B$5001,$A$147,Base!$AD$3:$AD$5001,"&lt;&gt;")=0,"",SUMIFS(Base!$AD$3:$AD$5001,Base!$A$3:$A$5001,L$3,Base!$B$3:$B$5001,$A$147)))</f>
        <v/>
      </c>
      <c r="M161" s="103" t="str">
        <f>IF(M$3="","",IF(COUNTIFS(Base!$A$3:$A$5001,M$3,Base!$B$3:$B$5001,$A$147,Base!$AD$3:$AD$5001,"&lt;&gt;")=0,"",SUMIFS(Base!$AD$3:$AD$5001,Base!$A$3:$A$5001,M$3,Base!$B$3:$B$5001,$A$147)))</f>
        <v/>
      </c>
      <c r="N161" s="103" t="str">
        <f>IF(N$3="","",IF(COUNTIFS(Base!$A$3:$A$5001,N$3,Base!$B$3:$B$5001,$A$147,Base!$AD$3:$AD$5001,"&lt;&gt;")=0,"",SUMIFS(Base!$AD$3:$AD$5001,Base!$A$3:$A$5001,N$3,Base!$B$3:$B$5001,$A$147)))</f>
        <v/>
      </c>
      <c r="O161" s="103" t="str">
        <f>IF(O$3="","",IF(COUNTIFS(Base!$A$3:$A$5001,O$3,Base!$B$3:$B$5001,$A$147,Base!$AD$3:$AD$5001,"&lt;&gt;")=0,"",SUMIFS(Base!$AD$3:$AD$5001,Base!$A$3:$A$5001,O$3,Base!$B$3:$B$5001,$A$147)))</f>
        <v/>
      </c>
      <c r="P161" s="103" t="str">
        <f>IF(P$3="","",IF(COUNTIFS(Base!$A$3:$A$5001,P$3,Base!$B$3:$B$5001,$A$147,Base!$AD$3:$AD$5001,"&lt;&gt;")=0,"",SUMIFS(Base!$AD$3:$AD$5001,Base!$A$3:$A$5001,P$3,Base!$B$3:$B$5001,$A$147)))</f>
        <v/>
      </c>
      <c r="Q161" s="103" t="str">
        <f>IF(Q$3="","",IF(COUNTIFS(Base!$A$3:$A$5001,Q$3,Base!$B$3:$B$5001,$A$147,Base!$AD$3:$AD$5001,"&lt;&gt;")=0,"",SUMIFS(Base!$AD$3:$AD$5001,Base!$A$3:$A$5001,Q$3,Base!$B$3:$B$5001,$A$147)))</f>
        <v/>
      </c>
      <c r="R161" s="103" t="str">
        <f>IF(R$3="","",IF(COUNTIFS(Base!$A$3:$A$5001,R$3,Base!$B$3:$B$5001,$A$147,Base!$AD$3:$AD$5001,"&lt;&gt;")=0,"",SUMIFS(Base!$AD$3:$AD$5001,Base!$A$3:$A$5001,R$3,Base!$B$3:$B$5001,$A$147)))</f>
        <v/>
      </c>
      <c r="S161" s="103" t="str">
        <f>IF(S$3="","",IF(COUNTIFS(Base!$A$3:$A$5001,S$3,Base!$B$3:$B$5001,$A$147,Base!$AD$3:$AD$5001,"&lt;&gt;")=0,"",SUMIFS(Base!$AD$3:$AD$5001,Base!$A$3:$A$5001,S$3,Base!$B$3:$B$5001,$A$147)))</f>
        <v/>
      </c>
      <c r="T161" s="103" t="str">
        <f>IF(T$3="","",IF(COUNTIFS(Base!$A$3:$A$5001,T$3,Base!$B$3:$B$5001,$A$147,Base!$AD$3:$AD$5001,"&lt;&gt;")=0,"",SUMIFS(Base!$AD$3:$AD$5001,Base!$A$3:$A$5001,T$3,Base!$B$3:$B$5001,$A$147)))</f>
        <v/>
      </c>
      <c r="U161" s="103" t="str">
        <f>IF(U$3="","",IF(COUNTIFS(Base!$A$3:$A$5001,U$3,Base!$B$3:$B$5001,$A$147,Base!$AD$3:$AD$5001,"&lt;&gt;")=0,"",SUMIFS(Base!$AD$3:$AD$5001,Base!$A$3:$A$5001,U$3,Base!$B$3:$B$5001,$A$147)))</f>
        <v/>
      </c>
      <c r="V161" s="103" t="str">
        <f>IF(V$3="","",IF(COUNTIFS(Base!$A$3:$A$5001,V$3,Base!$B$3:$B$5001,$A$147,Base!$AD$3:$AD$5001,"&lt;&gt;")=0,"",SUMIFS(Base!$AD$3:$AD$5001,Base!$A$3:$A$5001,V$3,Base!$B$3:$B$5001,$A$147)))</f>
        <v/>
      </c>
      <c r="W161" s="103" t="str">
        <f>IF(W$3="","",IF(COUNTIFS(Base!$A$3:$A$5001,W$3,Base!$B$3:$B$5001,$A$147,Base!$AD$3:$AD$5001,"&lt;&gt;")=0,"",SUMIFS(Base!$AD$3:$AD$5001,Base!$A$3:$A$5001,W$3,Base!$B$3:$B$5001,$A$147)))</f>
        <v/>
      </c>
      <c r="X161" s="103" t="str">
        <f>IF(X$3="","",IF(COUNTIFS(Base!$A$3:$A$5001,X$3,Base!$B$3:$B$5001,$A$147,Base!$AD$3:$AD$5001,"&lt;&gt;")=0,"",SUMIFS(Base!$AD$3:$AD$5001,Base!$A$3:$A$5001,X$3,Base!$B$3:$B$5001,$A$147)))</f>
        <v/>
      </c>
      <c r="Y161" s="103" t="str">
        <f>IF(Y$3="","",IF(COUNTIFS(Base!$A$3:$A$5001,Y$3,Base!$B$3:$B$5001,$A$147,Base!$AD$3:$AD$5001,"&lt;&gt;")=0,"",SUMIFS(Base!$AD$3:$AD$5001,Base!$A$3:$A$5001,Y$3,Base!$B$3:$B$5001,$A$147)))</f>
        <v/>
      </c>
      <c r="Z161" s="103" t="str">
        <f>IF(Z$3="","",IF(COUNTIFS(Base!$A$3:$A$5001,Z$3,Base!$B$3:$B$5001,$A$147,Base!$AD$3:$AD$5001,"&lt;&gt;")=0,"",SUMIFS(Base!$AD$3:$AD$5001,Base!$A$3:$A$5001,Z$3,Base!$B$3:$B$5001,$A$147)))</f>
        <v/>
      </c>
      <c r="AA161" s="103" t="str">
        <f>IF(AA$3="","",IF(COUNTIFS(Base!$A$3:$A$5001,AA$3,Base!$B$3:$B$5001,$A$147,Base!$AD$3:$AD$5001,"&lt;&gt;")=0,"",SUMIFS(Base!$AD$3:$AD$5001,Base!$A$3:$A$5001,AA$3,Base!$B$3:$B$5001,$A$147)))</f>
        <v/>
      </c>
      <c r="AB161" s="103" t="str">
        <f>IF(AB$3="","",IF(COUNTIFS(Base!$A$3:$A$5001,AB$3,Base!$B$3:$B$5001,$A$147,Base!$AD$3:$AD$5001,"&lt;&gt;")=0,"",SUMIFS(Base!$AD$3:$AD$5001,Base!$A$3:$A$5001,AB$3,Base!$B$3:$B$5001,$A$147)))</f>
        <v/>
      </c>
      <c r="AC161" s="103" t="str">
        <f>IF(AC$3="","",IF(COUNTIFS(Base!$A$3:$A$5001,AC$3,Base!$B$3:$B$5001,$A$147,Base!$AD$3:$AD$5001,"&lt;&gt;")=0,"",SUMIFS(Base!$AD$3:$AD$5001,Base!$A$3:$A$5001,AC$3,Base!$B$3:$B$5001,$A$147)))</f>
        <v/>
      </c>
      <c r="AD161" s="103" t="str">
        <f>IF(AD$3="","",IF(COUNTIFS(Base!$A$3:$A$5001,AD$3,Base!$B$3:$B$5001,$A$147,Base!$AD$3:$AD$5001,"&lt;&gt;")=0,"",SUMIFS(Base!$AD$3:$AD$5001,Base!$A$3:$A$5001,AD$3,Base!$B$3:$B$5001,$A$147)))</f>
        <v/>
      </c>
      <c r="AE161" s="103" t="str">
        <f>IF(AE$3="","",IF(COUNTIFS(Base!$A$3:$A$5001,AE$3,Base!$B$3:$B$5001,$A$147,Base!$AD$3:$AD$5001,"&lt;&gt;")=0,"",SUMIFS(Base!$AD$3:$AD$5001,Base!$A$3:$A$5001,AE$3,Base!$B$3:$B$5001,$A$147)))</f>
        <v/>
      </c>
      <c r="AF161" s="103" t="str">
        <f>IF(AF$3="","",IF(COUNTIFS(Base!$A$3:$A$5001,AF$3,Base!$B$3:$B$5001,$A$147,Base!$AD$3:$AD$5001,"&lt;&gt;")=0,"",SUMIFS(Base!$AD$3:$AD$5001,Base!$A$3:$A$5001,AF$3,Base!$B$3:$B$5001,$A$147)))</f>
        <v/>
      </c>
      <c r="AG161" s="103" t="str">
        <f>IF(AG$3="","",IF(COUNTIFS(Base!$A$3:$A$5001,AG$3,Base!$B$3:$B$5001,$A$147,Base!$AD$3:$AD$5001,"&lt;&gt;")=0,"",SUMIFS(Base!$AD$3:$AD$5001,Base!$A$3:$A$5001,AG$3,Base!$B$3:$B$5001,$A$147)))</f>
        <v/>
      </c>
      <c r="AH161" s="103" t="str">
        <f>IF(AH$3="","",IF(COUNTIFS(Base!$A$3:$A$5001,AH$3,Base!$B$3:$B$5001,$A$147,Base!$AD$3:$AD$5001,"&lt;&gt;")=0,"",SUMIFS(Base!$AD$3:$AD$5001,Base!$A$3:$A$5001,AH$3,Base!$B$3:$B$5001,$A$147)))</f>
        <v/>
      </c>
      <c r="AI161" s="103" t="str">
        <f>IF(AI$3="","",IF(COUNTIFS(Base!$A$3:$A$5001,AI$3,Base!$B$3:$B$5001,$A$147,Base!$AD$3:$AD$5001,"&lt;&gt;")=0,"",SUMIFS(Base!$AD$3:$AD$5001,Base!$A$3:$A$5001,AI$3,Base!$B$3:$B$5001,$A$147)))</f>
        <v/>
      </c>
      <c r="AJ161" s="104" t="str">
        <f>IF(AJ$3="","",IF(COUNTIFS(Base!$A$3:$A$5001,AJ$3,Base!$B$3:$B$5001,$A$147,Base!$AD$3:$AD$5001,"&lt;&gt;")=0,"",SUMIFS(Base!$AD$3:$AD$5001,Base!$A$3:$A$5001,AJ$3,Base!$B$3:$B$5001,$A$147)))</f>
        <v/>
      </c>
      <c r="AK161" s="100" t="str">
        <f>IF(COUNT(F161:AJ161)=0,"",SUM(F161:AJ161))</f>
        <v/>
      </c>
    </row>
    <row r="164">
      <c r="A164" s="120" t="inlineStr">
        <is>
          <t xml:space="preserve">Mês / ano: filtro na célula vermelha do canto superior direito. Cada cliente mostra só os indicadores que usa. Célula vazia = sem registro. MÊS: soma nos fluxos e NC; último dado em backlog, posições e efetivo. Taxa = ocupadas ÷ disponíveis. Destaques: incidente &gt; 0; ocupação ≥ 70% (atenção) e ≥ 90% (crítico). META: aba calculos (oculta).</t>
        </is>
      </c>
    </row>
  </sheetData>
  <mergeCells count="61">
    <mergeCell ref="F1:AD1"/>
    <mergeCell ref="AE1:AK1"/>
    <mergeCell ref="A2:A3"/>
    <mergeCell ref="B2:C3"/>
    <mergeCell ref="D2:D3"/>
    <mergeCell ref="F2:AJ2"/>
    <mergeCell ref="AK2:AK3"/>
    <mergeCell ref="B5:B7"/>
    <mergeCell ref="B8:B10"/>
    <mergeCell ref="B11:B13"/>
    <mergeCell ref="B14:B16"/>
    <mergeCell ref="B17:B21"/>
    <mergeCell ref="A5:A21"/>
    <mergeCell ref="B23:B25"/>
    <mergeCell ref="B26:B28"/>
    <mergeCell ref="B29:B31"/>
    <mergeCell ref="B32:B34"/>
    <mergeCell ref="B35:B39"/>
    <mergeCell ref="A23:A39"/>
    <mergeCell ref="B41:B44"/>
    <mergeCell ref="B45:B48"/>
    <mergeCell ref="B49:B51"/>
    <mergeCell ref="B52:B54"/>
    <mergeCell ref="B55:B59"/>
    <mergeCell ref="A41:A59"/>
    <mergeCell ref="B61:B63"/>
    <mergeCell ref="B64:B66"/>
    <mergeCell ref="B67:B69"/>
    <mergeCell ref="B70:B72"/>
    <mergeCell ref="B73:B77"/>
    <mergeCell ref="A61:A77"/>
    <mergeCell ref="B79:B82"/>
    <mergeCell ref="B83:B86"/>
    <mergeCell ref="B87:B89"/>
    <mergeCell ref="B90:B92"/>
    <mergeCell ref="B93:B97"/>
    <mergeCell ref="A79:A97"/>
    <mergeCell ref="B99:B100"/>
    <mergeCell ref="B101:B102"/>
    <mergeCell ref="B103:B105"/>
    <mergeCell ref="B106:B108"/>
    <mergeCell ref="B109:B113"/>
    <mergeCell ref="A99:A113"/>
    <mergeCell ref="B115:B116"/>
    <mergeCell ref="B117:B118"/>
    <mergeCell ref="B119:B121"/>
    <mergeCell ref="B122:B124"/>
    <mergeCell ref="B125:B129"/>
    <mergeCell ref="A115:A129"/>
    <mergeCell ref="B131:B132"/>
    <mergeCell ref="B133:B134"/>
    <mergeCell ref="B135:B137"/>
    <mergeCell ref="B138:B140"/>
    <mergeCell ref="B141:B145"/>
    <mergeCell ref="A131:A145"/>
    <mergeCell ref="B147:B148"/>
    <mergeCell ref="B149:B150"/>
    <mergeCell ref="B151:B153"/>
    <mergeCell ref="B154:B156"/>
    <mergeCell ref="B157:B161"/>
    <mergeCell ref="A147:A161"/>
  </mergeCells>
  <conditionalFormatting sqref="F3:AJ3">
    <cfRule type="expression" dxfId="9" priority="1">
      <formula>AND(ISNUMBER(F3),WEEKDAY(F3,2)&gt;5)</formula>
    </cfRule>
  </conditionalFormatting>
  <conditionalFormatting sqref="F11:AJ11">
    <cfRule type="expression" dxfId="0" priority="2">
      <formula>AND(ISNUMBER(F11),F11&gt;0)</formula>
    </cfRule>
  </conditionalFormatting>
  <conditionalFormatting sqref="F16:AK16">
    <cfRule type="expression" dxfId="1" priority="3" stopIfTrue="1">
      <formula>AND(ISNUMBER(F16),F16&gt;=0.9)</formula>
    </cfRule>
    <cfRule type="expression" dxfId="2" priority="4">
      <formula>AND(ISNUMBER(F16),F16&gt;=0.7)</formula>
    </cfRule>
  </conditionalFormatting>
  <conditionalFormatting sqref="F29:AJ29">
    <cfRule type="expression" dxfId="0" priority="5">
      <formula>AND(ISNUMBER(F29),F29&gt;0)</formula>
    </cfRule>
  </conditionalFormatting>
  <conditionalFormatting sqref="F34:AK34">
    <cfRule type="expression" dxfId="1" priority="6" stopIfTrue="1">
      <formula>AND(ISNUMBER(F34),F34&gt;=0.9)</formula>
    </cfRule>
    <cfRule type="expression" dxfId="2" priority="7">
      <formula>AND(ISNUMBER(F34),F34&gt;=0.7)</formula>
    </cfRule>
  </conditionalFormatting>
  <conditionalFormatting sqref="F49:AJ49">
    <cfRule type="expression" dxfId="0" priority="8">
      <formula>AND(ISNUMBER(F49),F49&gt;0)</formula>
    </cfRule>
  </conditionalFormatting>
  <conditionalFormatting sqref="F54:AK54">
    <cfRule type="expression" dxfId="1" priority="9" stopIfTrue="1">
      <formula>AND(ISNUMBER(F54),F54&gt;=0.9)</formula>
    </cfRule>
    <cfRule type="expression" dxfId="2" priority="10">
      <formula>AND(ISNUMBER(F54),F54&gt;=0.7)</formula>
    </cfRule>
  </conditionalFormatting>
  <conditionalFormatting sqref="F67:AJ67">
    <cfRule type="expression" dxfId="0" priority="11">
      <formula>AND(ISNUMBER(F67),F67&gt;0)</formula>
    </cfRule>
  </conditionalFormatting>
  <conditionalFormatting sqref="F72:AK72">
    <cfRule type="expression" dxfId="1" priority="12" stopIfTrue="1">
      <formula>AND(ISNUMBER(F72),F72&gt;=0.9)</formula>
    </cfRule>
    <cfRule type="expression" dxfId="2" priority="13">
      <formula>AND(ISNUMBER(F72),F72&gt;=0.7)</formula>
    </cfRule>
  </conditionalFormatting>
  <conditionalFormatting sqref="F87:AJ87">
    <cfRule type="expression" dxfId="0" priority="14">
      <formula>AND(ISNUMBER(F87),F87&gt;0)</formula>
    </cfRule>
  </conditionalFormatting>
  <conditionalFormatting sqref="F92:AK92">
    <cfRule type="expression" dxfId="1" priority="15" stopIfTrue="1">
      <formula>AND(ISNUMBER(F92),F92&gt;=0.9)</formula>
    </cfRule>
    <cfRule type="expression" dxfId="2" priority="16">
      <formula>AND(ISNUMBER(F92),F92&gt;=0.7)</formula>
    </cfRule>
  </conditionalFormatting>
  <conditionalFormatting sqref="F103:AJ103">
    <cfRule type="expression" dxfId="0" priority="17">
      <formula>AND(ISNUMBER(F103),F103&gt;0)</formula>
    </cfRule>
  </conditionalFormatting>
  <conditionalFormatting sqref="F108:AK108">
    <cfRule type="expression" dxfId="1" priority="18" stopIfTrue="1">
      <formula>AND(ISNUMBER(F108),F108&gt;=0.9)</formula>
    </cfRule>
    <cfRule type="expression" dxfId="2" priority="19">
      <formula>AND(ISNUMBER(F108),F108&gt;=0.7)</formula>
    </cfRule>
  </conditionalFormatting>
  <conditionalFormatting sqref="F119:AJ119">
    <cfRule type="expression" dxfId="0" priority="20">
      <formula>AND(ISNUMBER(F119),F119&gt;0)</formula>
    </cfRule>
  </conditionalFormatting>
  <conditionalFormatting sqref="F124:AK124">
    <cfRule type="expression" dxfId="1" priority="21" stopIfTrue="1">
      <formula>AND(ISNUMBER(F124),F124&gt;=0.9)</formula>
    </cfRule>
    <cfRule type="expression" dxfId="2" priority="22">
      <formula>AND(ISNUMBER(F124),F124&gt;=0.7)</formula>
    </cfRule>
  </conditionalFormatting>
  <conditionalFormatting sqref="F135:AJ135">
    <cfRule type="expression" dxfId="0" priority="23">
      <formula>AND(ISNUMBER(F135),F135&gt;0)</formula>
    </cfRule>
  </conditionalFormatting>
  <conditionalFormatting sqref="F140:AK140">
    <cfRule type="expression" dxfId="1" priority="24" stopIfTrue="1">
      <formula>AND(ISNUMBER(F140),F140&gt;=0.9)</formula>
    </cfRule>
    <cfRule type="expression" dxfId="2" priority="25">
      <formula>AND(ISNUMBER(F140),F140&gt;=0.7)</formula>
    </cfRule>
  </conditionalFormatting>
  <conditionalFormatting sqref="F151:AJ151">
    <cfRule type="expression" dxfId="0" priority="26">
      <formula>AND(ISNUMBER(F151),F151&gt;0)</formula>
    </cfRule>
  </conditionalFormatting>
  <conditionalFormatting sqref="F156:AK156">
    <cfRule type="expression" dxfId="1" priority="27" stopIfTrue="1">
      <formula>AND(ISNUMBER(F156),F156&gt;=0.9)</formula>
    </cfRule>
    <cfRule type="expression" dxfId="2" priority="28">
      <formula>AND(ISNUMBER(F156),F156&gt;=0.7)</formula>
    </cfRule>
  </conditionalFormatting>
  <dataValidations count="1">
    <dataValidation type="list" allowBlank="0" showInputMessage="1" showErrorMessage="1" errorTitle="Mês / ano" error="Escolha um item da lista." promptTitle="Mês / ano" prompt="Escolha o mês / ano desta aba. Os dados vêm da aba Base." sqref="AE1">
      <formula1>calculos!$AN$12:$AN$35</formula1>
    </dataValidation>
  </dataValidations>
  <pageMargins left="0.25" right="0.25" top="0.4" bottom="0.4" header="0.2" footer="0.2"/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AA80"/>
  <sheetViews>
    <sheetView showGridLines="0" zoomScale="85" zoomScaleNormal="85"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2" customWidth="1"/>
    <col min="2" max="2" width="10" customWidth="1"/>
    <col min="3" max="3" width="10" customWidth="1"/>
    <col min="4" max="4" width="10" customWidth="1"/>
    <col min="5" max="5" width="10" customWidth="1"/>
    <col min="6" max="6" width="2.5" customWidth="1"/>
    <col min="7" max="7" width="10" customWidth="1"/>
    <col min="8" max="8" width="10" customWidth="1"/>
    <col min="9" max="9" width="10" customWidth="1"/>
    <col min="10" max="10" width="10" customWidth="1"/>
    <col min="11" max="11" width="2.5" customWidth="1"/>
    <col min="12" max="12" width="10" customWidth="1"/>
    <col min="13" max="13" width="10" customWidth="1"/>
    <col min="14" max="14" width="10" customWidth="1"/>
    <col min="15" max="15" width="10" customWidth="1"/>
    <col min="16" max="16" width="2.5" customWidth="1"/>
    <col min="17" max="17" width="10" customWidth="1"/>
    <col min="18" max="18" width="10" customWidth="1"/>
    <col min="19" max="19" width="10" customWidth="1"/>
    <col min="20" max="20" width="10" customWidth="1"/>
    <col min="21" max="21" width="2.5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2" customWidth="1"/>
  </cols>
  <sheetData>
    <row r="1" ht="34.5" customHeight="1">
      <c r="A1" s="1"/>
      <c r="B1" s="1"/>
      <c r="C1" s="1"/>
      <c r="D1" s="1"/>
      <c r="E1" s="2" t="inlineStr">
        <is>
          <t xml:space="preserve">QUADRO DE INDICADORES · DETALHE DO MÊS</t>
        </is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inlineStr">
        <is>
          <t xml:space="preserve">SETEMBRO · 2026</t>
        </is>
      </c>
      <c r="W1" s="3"/>
      <c r="X1" s="3"/>
      <c r="Y1" s="3"/>
      <c r="Z1" s="3"/>
      <c r="AA1" s="3"/>
    </row>
    <row r="3" ht="24" customHeight="1">
      <c r="B3" s="175" t="str">
        <f>"Cliente: "&amp;calculos_quadro!$B$2&amp;"     ·     para trocar o cliente, use o filtro da aba Indicadores"</f>
        <v>Cliente: Todos     ·     para trocar o cliente, use o filtro da aba Indicadores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Q3" s="176" t="str">
        <f>IF(calculos_quadro!$B$9=0,"Sem dados na Base para o mês escolhido","Dados até "&amp;TEXT(calculos_quadro!$C$7+calculos_quadro!$B$9-1,"dd/mm")&amp;"/"&amp;YEAR(calculos_quadro!$C$7)&amp;" · comparação: "&amp;calculos_quadro!$B$8&amp;", dias 1 a "&amp;calculos_quadro!$B$9)</f>
        <v>Sem dados na Base para o mês escolhido</v>
      </c>
      <c r="R3" s="176"/>
      <c r="S3" s="176"/>
      <c r="T3" s="176"/>
      <c r="U3" s="176"/>
      <c r="V3" s="176"/>
      <c r="W3" s="176"/>
      <c r="X3" s="176"/>
      <c r="Y3" s="176"/>
      <c r="Z3" s="176"/>
    </row>
    <row r="5" ht="20" customHeight="1">
      <c r="B5" s="177" t="inlineStr">
        <is>
          <t xml:space="preserve">QUADRO DE INDICADORES · cliente e mês selecionados</t>
        </is>
      </c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 ht="28" customHeight="1">
      <c r="B6" s="178" t="inlineStr">
        <is>
          <t xml:space="preserve">GRUPO</t>
        </is>
      </c>
      <c r="C6" s="179"/>
      <c r="D6" s="178" t="inlineStr">
        <is>
          <t xml:space="preserve">INDICADOR</t>
        </is>
      </c>
      <c r="E6" s="180"/>
      <c r="F6" s="180"/>
      <c r="G6" s="179"/>
      <c r="H6" s="181" t="inlineStr">
        <is>
          <t xml:space="preserve">META</t>
        </is>
      </c>
      <c r="I6" s="182"/>
      <c r="J6" s="181" t="inlineStr">
        <is>
          <t xml:space="preserve">REALIZADO</t>
        </is>
      </c>
      <c r="K6" s="183"/>
      <c r="L6" s="182"/>
      <c r="M6" s="181" t="inlineStr">
        <is>
          <t xml:space="preserve">MÉDIA / DIA</t>
        </is>
      </c>
      <c r="N6" s="182"/>
      <c r="O6" s="181" t="inlineStr">
        <is>
          <t xml:space="preserve">MÁXIMO NO DIA</t>
        </is>
      </c>
      <c r="P6" s="183"/>
      <c r="Q6" s="182"/>
      <c r="R6" s="181" t="inlineStr">
        <is>
          <t xml:space="preserve">MÊS ANTERIOR</t>
        </is>
      </c>
      <c r="S6" s="182"/>
      <c r="T6" s="181" t="inlineStr">
        <is>
          <t xml:space="preserve">VARIAÇÃO</t>
        </is>
      </c>
      <c r="U6" s="183"/>
      <c r="V6" s="182"/>
      <c r="W6" s="181" t="inlineStr">
        <is>
          <t xml:space="preserve">% DA META</t>
        </is>
      </c>
      <c r="X6" s="182"/>
      <c r="Y6" s="181" t="inlineStr">
        <is>
          <t xml:space="preserve">STATUS</t>
        </is>
      </c>
      <c r="Z6" s="182"/>
    </row>
    <row r="7" ht="16" customHeight="1">
      <c r="B7" s="394" t="inlineStr">
        <is>
          <t xml:space="preserve">IN</t>
        </is>
      </c>
      <c r="C7" s="21"/>
      <c r="D7" s="185" t="str">
        <f>IF(calculos_quadro!$D$2="","",MID(calculos_quadro!$D$2,FIND(" ",calculos_quadro!$D$2)+1,99))</f>
        <v>Veículos Recebidos</v>
      </c>
      <c r="E7" s="184"/>
      <c r="F7" s="184"/>
      <c r="G7" s="184"/>
      <c r="H7" s="187" t="str">
        <f>IF(calculos_quadro!$D$2="","",INDEX(calculos_quadro!$C$48:$AE$48,MATCH(calculos_quadro!$D$2,calculos_quadro!$C$11:$AE$11,0)))</f>
        <v/>
      </c>
      <c r="I7" s="186"/>
      <c r="J7" s="189">
        <f>IF(calculos_quadro!$D$2="","",INDEX(calculos_quadro!$C$43:$AE$43,MATCH(calculos_quadro!$D$2,calculos_quadro!$C$11:$AE$11,0)))</f>
        <v>0</v>
      </c>
      <c r="K7" s="188"/>
      <c r="L7" s="188"/>
      <c r="M7" s="191" t="str">
        <f>IF(calculos_quadro!$D$2="","",INDEX(calculos_quadro!$C$44:$AE$44,MATCH(calculos_quadro!$D$2,calculos_quadro!$C$11:$AE$11,0)))</f>
        <v/>
      </c>
      <c r="N7" s="190"/>
      <c r="O7" s="193">
        <f>IF(calculos_quadro!$D$2="","",INDEX(calculos_quadro!$C$45:$AE$45,MATCH(calculos_quadro!$D$2,calculos_quadro!$C$11:$AE$11,0)))</f>
        <v>0</v>
      </c>
      <c r="P7" s="192"/>
      <c r="Q7" s="192"/>
      <c r="R7" s="193">
        <f>IF(calculos_quadro!$D$2="","",INDEX(calculos_quadro!$C$46:$AE$46,MATCH(calculos_quadro!$D$2,calculos_quadro!$C$11:$AE$11,0)))</f>
        <v>0</v>
      </c>
      <c r="S7" s="192"/>
      <c r="T7" s="195" t="str">
        <f>IF(calculos_quadro!$D$2="","",INDEX(calculos_quadro!$C$47:$AE$47,MATCH(calculos_quadro!$D$2,calculos_quadro!$C$11:$AE$11,0)))</f>
        <v/>
      </c>
      <c r="U7" s="194"/>
      <c r="V7" s="194"/>
      <c r="W7" s="197" t="str">
        <f>IF(calculos_quadro!$D$2="","",INDEX(calculos_quadro!$C$49:$AE$49,MATCH(calculos_quadro!$D$2,calculos_quadro!$C$11:$AE$11,0)))</f>
        <v/>
      </c>
      <c r="X7" s="196"/>
      <c r="Y7" s="199" t="str">
        <f>IF(calculos_quadro!$D$2="","",INDEX(calculos_quadro!$C$50:$AE$50,MATCH(calculos_quadro!$D$2,calculos_quadro!$C$11:$AE$11,0)))</f>
        <v/>
      </c>
      <c r="Z7" s="200"/>
    </row>
    <row r="8" ht="16" customHeight="1">
      <c r="B8" s="395"/>
      <c r="C8" s="28"/>
      <c r="D8" s="202" t="str">
        <f>IF(calculos_quadro!$E$2="","",MID(calculos_quadro!$E$2,FIND(" ",calculos_quadro!$E$2)+1,99))</f>
        <v>Pallets Movimentados</v>
      </c>
      <c r="E8" s="201"/>
      <c r="F8" s="201"/>
      <c r="G8" s="201"/>
      <c r="H8" s="204" t="str">
        <f>IF(calculos_quadro!$E$2="","",INDEX(calculos_quadro!$C$48:$AE$48,MATCH(calculos_quadro!$E$2,calculos_quadro!$C$11:$AE$11,0)))</f>
        <v/>
      </c>
      <c r="I8" s="203"/>
      <c r="J8" s="206">
        <f>IF(calculos_quadro!$E$2="","",INDEX(calculos_quadro!$C$43:$AE$43,MATCH(calculos_quadro!$E$2,calculos_quadro!$C$11:$AE$11,0)))</f>
        <v>0</v>
      </c>
      <c r="K8" s="205"/>
      <c r="L8" s="205"/>
      <c r="M8" s="208" t="str">
        <f>IF(calculos_quadro!$E$2="","",INDEX(calculos_quadro!$C$44:$AE$44,MATCH(calculos_quadro!$E$2,calculos_quadro!$C$11:$AE$11,0)))</f>
        <v/>
      </c>
      <c r="N8" s="207"/>
      <c r="O8" s="210">
        <f>IF(calculos_quadro!$E$2="","",INDEX(calculos_quadro!$C$45:$AE$45,MATCH(calculos_quadro!$E$2,calculos_quadro!$C$11:$AE$11,0)))</f>
        <v>0</v>
      </c>
      <c r="P8" s="209"/>
      <c r="Q8" s="209"/>
      <c r="R8" s="210">
        <f>IF(calculos_quadro!$E$2="","",INDEX(calculos_quadro!$C$46:$AE$46,MATCH(calculos_quadro!$E$2,calculos_quadro!$C$11:$AE$11,0)))</f>
        <v>0</v>
      </c>
      <c r="S8" s="209"/>
      <c r="T8" s="212" t="str">
        <f>IF(calculos_quadro!$E$2="","",INDEX(calculos_quadro!$C$47:$AE$47,MATCH(calculos_quadro!$E$2,calculos_quadro!$C$11:$AE$11,0)))</f>
        <v/>
      </c>
      <c r="U8" s="211"/>
      <c r="V8" s="211"/>
      <c r="W8" s="214" t="str">
        <f>IF(calculos_quadro!$E$2="","",INDEX(calculos_quadro!$C$49:$AE$49,MATCH(calculos_quadro!$E$2,calculos_quadro!$C$11:$AE$11,0)))</f>
        <v/>
      </c>
      <c r="X8" s="213"/>
      <c r="Y8" s="216" t="str">
        <f>IF(calculos_quadro!$E$2="","",INDEX(calculos_quadro!$C$50:$AE$50,MATCH(calculos_quadro!$E$2,calculos_quadro!$C$11:$AE$11,0)))</f>
        <v/>
      </c>
      <c r="Z8" s="217"/>
    </row>
    <row r="9" ht="16" customHeight="1">
      <c r="B9" s="395"/>
      <c r="C9" s="28"/>
      <c r="D9" s="202" t="str">
        <f>IF(calculos_quadro!$F$2="","",MID(calculos_quadro!$F$2,FIND(" ",calculos_quadro!$F$2)+1,99))</f>
        <v>Toneladas Movimentadas</v>
      </c>
      <c r="E9" s="201"/>
      <c r="F9" s="201"/>
      <c r="G9" s="201"/>
      <c r="H9" s="204" t="str">
        <f>IF(calculos_quadro!$F$2="","",INDEX(calculos_quadro!$C$48:$AE$48,MATCH(calculos_quadro!$F$2,calculos_quadro!$C$11:$AE$11,0)))</f>
        <v/>
      </c>
      <c r="I9" s="203"/>
      <c r="J9" s="206">
        <f>IF(calculos_quadro!$F$2="","",INDEX(calculos_quadro!$C$43:$AE$43,MATCH(calculos_quadro!$F$2,calculos_quadro!$C$11:$AE$11,0)))</f>
        <v>0</v>
      </c>
      <c r="K9" s="205"/>
      <c r="L9" s="205"/>
      <c r="M9" s="208" t="str">
        <f>IF(calculos_quadro!$F$2="","",INDEX(calculos_quadro!$C$44:$AE$44,MATCH(calculos_quadro!$F$2,calculos_quadro!$C$11:$AE$11,0)))</f>
        <v/>
      </c>
      <c r="N9" s="207"/>
      <c r="O9" s="210">
        <f>IF(calculos_quadro!$F$2="","",INDEX(calculos_quadro!$C$45:$AE$45,MATCH(calculos_quadro!$F$2,calculos_quadro!$C$11:$AE$11,0)))</f>
        <v>0</v>
      </c>
      <c r="P9" s="209"/>
      <c r="Q9" s="209"/>
      <c r="R9" s="210">
        <f>IF(calculos_quadro!$F$2="","",INDEX(calculos_quadro!$C$46:$AE$46,MATCH(calculos_quadro!$F$2,calculos_quadro!$C$11:$AE$11,0)))</f>
        <v>0</v>
      </c>
      <c r="S9" s="209"/>
      <c r="T9" s="212" t="str">
        <f>IF(calculos_quadro!$F$2="","",INDEX(calculos_quadro!$C$47:$AE$47,MATCH(calculos_quadro!$F$2,calculos_quadro!$C$11:$AE$11,0)))</f>
        <v/>
      </c>
      <c r="U9" s="211"/>
      <c r="V9" s="211"/>
      <c r="W9" s="214" t="str">
        <f>IF(calculos_quadro!$F$2="","",INDEX(calculos_quadro!$C$49:$AE$49,MATCH(calculos_quadro!$F$2,calculos_quadro!$C$11:$AE$11,0)))</f>
        <v/>
      </c>
      <c r="X9" s="213"/>
      <c r="Y9" s="216" t="str">
        <f>IF(calculos_quadro!$F$2="","",INDEX(calculos_quadro!$C$50:$AE$50,MATCH(calculos_quadro!$F$2,calculos_quadro!$C$11:$AE$11,0)))</f>
        <v/>
      </c>
      <c r="Z9" s="217"/>
    </row>
    <row r="10" ht="16" customHeight="1">
      <c r="B10" s="396"/>
      <c r="C10" s="35"/>
      <c r="D10" s="219" t="str">
        <f>IF(calculos_quadro!$G$2="","",MID(calculos_quadro!$G$2,FIND(" ",calculos_quadro!$G$2)+1,99))</f>
        <v>Linhas NF</v>
      </c>
      <c r="E10" s="218"/>
      <c r="F10" s="218"/>
      <c r="G10" s="218"/>
      <c r="H10" s="221" t="str">
        <f>IF(calculos_quadro!$G$2="","",INDEX(calculos_quadro!$C$48:$AE$48,MATCH(calculos_quadro!$G$2,calculos_quadro!$C$11:$AE$11,0)))</f>
        <v/>
      </c>
      <c r="I10" s="220"/>
      <c r="J10" s="477">
        <f>IF(calculos_quadro!$G$2="","",INDEX(calculos_quadro!$C$43:$AE$43,MATCH(calculos_quadro!$G$2,calculos_quadro!$C$11:$AE$11,0)))</f>
        <v>0</v>
      </c>
      <c r="K10" s="222"/>
      <c r="L10" s="222"/>
      <c r="M10" s="225" t="str">
        <f>IF(calculos_quadro!$G$2="","",INDEX(calculos_quadro!$C$44:$AE$44,MATCH(calculos_quadro!$G$2,calculos_quadro!$C$11:$AE$11,0)))</f>
        <v/>
      </c>
      <c r="N10" s="224"/>
      <c r="O10" s="478">
        <f>IF(calculos_quadro!$G$2="","",INDEX(calculos_quadro!$C$45:$AE$45,MATCH(calculos_quadro!$G$2,calculos_quadro!$C$11:$AE$11,0)))</f>
        <v>0</v>
      </c>
      <c r="P10" s="224"/>
      <c r="Q10" s="224"/>
      <c r="R10" s="478">
        <f>IF(calculos_quadro!$G$2="","",INDEX(calculos_quadro!$C$46:$AE$46,MATCH(calculos_quadro!$G$2,calculos_quadro!$C$11:$AE$11,0)))</f>
        <v>0</v>
      </c>
      <c r="S10" s="224"/>
      <c r="T10" s="227" t="str">
        <f>IF(calculos_quadro!$G$2="","",INDEX(calculos_quadro!$C$47:$AE$47,MATCH(calculos_quadro!$G$2,calculos_quadro!$C$11:$AE$11,0)))</f>
        <v/>
      </c>
      <c r="U10" s="226"/>
      <c r="V10" s="226"/>
      <c r="W10" s="229" t="str">
        <f>IF(calculos_quadro!$G$2="","",INDEX(calculos_quadro!$C$49:$AE$49,MATCH(calculos_quadro!$G$2,calculos_quadro!$C$11:$AE$11,0)))</f>
        <v/>
      </c>
      <c r="X10" s="228"/>
      <c r="Y10" s="231" t="str">
        <f>IF(calculos_quadro!$G$2="","",INDEX(calculos_quadro!$C$50:$AE$50,MATCH(calculos_quadro!$G$2,calculos_quadro!$C$11:$AE$11,0)))</f>
        <v/>
      </c>
      <c r="Z10" s="232"/>
    </row>
    <row r="11" ht="16" customHeight="1">
      <c r="B11" s="397" t="inlineStr">
        <is>
          <t xml:space="preserve">OUT</t>
        </is>
      </c>
      <c r="C11" s="41"/>
      <c r="D11" s="234" t="str">
        <f>IF(calculos_quadro!$H$2="","",MID(calculos_quadro!$H$2,FIND(" ",calculos_quadro!$H$2)+1,99))</f>
        <v>Veículos Expedidos</v>
      </c>
      <c r="E11" s="233"/>
      <c r="F11" s="233"/>
      <c r="G11" s="233"/>
      <c r="H11" s="236" t="str">
        <f>IF(calculos_quadro!$H$2="","",INDEX(calculos_quadro!$C$48:$AE$48,MATCH(calculos_quadro!$H$2,calculos_quadro!$C$11:$AE$11,0)))</f>
        <v/>
      </c>
      <c r="I11" s="235"/>
      <c r="J11" s="238">
        <f>IF(calculos_quadro!$H$2="","",INDEX(calculos_quadro!$C$43:$AE$43,MATCH(calculos_quadro!$H$2,calculos_quadro!$C$11:$AE$11,0)))</f>
        <v>0</v>
      </c>
      <c r="K11" s="237"/>
      <c r="L11" s="237"/>
      <c r="M11" s="240" t="str">
        <f>IF(calculos_quadro!$H$2="","",INDEX(calculos_quadro!$C$44:$AE$44,MATCH(calculos_quadro!$H$2,calculos_quadro!$C$11:$AE$11,0)))</f>
        <v/>
      </c>
      <c r="N11" s="239"/>
      <c r="O11" s="242">
        <f>IF(calculos_quadro!$H$2="","",INDEX(calculos_quadro!$C$45:$AE$45,MATCH(calculos_quadro!$H$2,calculos_quadro!$C$11:$AE$11,0)))</f>
        <v>0</v>
      </c>
      <c r="P11" s="241"/>
      <c r="Q11" s="241"/>
      <c r="R11" s="242">
        <f>IF(calculos_quadro!$H$2="","",INDEX(calculos_quadro!$C$46:$AE$46,MATCH(calculos_quadro!$H$2,calculos_quadro!$C$11:$AE$11,0)))</f>
        <v>0</v>
      </c>
      <c r="S11" s="241"/>
      <c r="T11" s="244" t="str">
        <f>IF(calculos_quadro!$H$2="","",INDEX(calculos_quadro!$C$47:$AE$47,MATCH(calculos_quadro!$H$2,calculos_quadro!$C$11:$AE$11,0)))</f>
        <v/>
      </c>
      <c r="U11" s="243"/>
      <c r="V11" s="243"/>
      <c r="W11" s="246" t="str">
        <f>IF(calculos_quadro!$H$2="","",INDEX(calculos_quadro!$C$49:$AE$49,MATCH(calculos_quadro!$H$2,calculos_quadro!$C$11:$AE$11,0)))</f>
        <v/>
      </c>
      <c r="X11" s="245"/>
      <c r="Y11" s="248" t="str">
        <f>IF(calculos_quadro!$H$2="","",INDEX(calculos_quadro!$C$50:$AE$50,MATCH(calculos_quadro!$H$2,calculos_quadro!$C$11:$AE$11,0)))</f>
        <v/>
      </c>
      <c r="Z11" s="249"/>
    </row>
    <row r="12" ht="16" customHeight="1">
      <c r="B12" s="398"/>
      <c r="C12" s="48"/>
      <c r="D12" s="251" t="str">
        <f>IF(calculos_quadro!$I$2="","",MID(calculos_quadro!$I$2,FIND(" ",calculos_quadro!$I$2)+1,99))</f>
        <v>Pallets Movimentados</v>
      </c>
      <c r="E12" s="250"/>
      <c r="F12" s="250"/>
      <c r="G12" s="250"/>
      <c r="H12" s="253" t="str">
        <f>IF(calculos_quadro!$I$2="","",INDEX(calculos_quadro!$C$48:$AE$48,MATCH(calculos_quadro!$I$2,calculos_quadro!$C$11:$AE$11,0)))</f>
        <v/>
      </c>
      <c r="I12" s="252"/>
      <c r="J12" s="255">
        <f>IF(calculos_quadro!$I$2="","",INDEX(calculos_quadro!$C$43:$AE$43,MATCH(calculos_quadro!$I$2,calculos_quadro!$C$11:$AE$11,0)))</f>
        <v>0</v>
      </c>
      <c r="K12" s="254"/>
      <c r="L12" s="254"/>
      <c r="M12" s="257" t="str">
        <f>IF(calculos_quadro!$I$2="","",INDEX(calculos_quadro!$C$44:$AE$44,MATCH(calculos_quadro!$I$2,calculos_quadro!$C$11:$AE$11,0)))</f>
        <v/>
      </c>
      <c r="N12" s="256"/>
      <c r="O12" s="259">
        <f>IF(calculos_quadro!$I$2="","",INDEX(calculos_quadro!$C$45:$AE$45,MATCH(calculos_quadro!$I$2,calculos_quadro!$C$11:$AE$11,0)))</f>
        <v>0</v>
      </c>
      <c r="P12" s="258"/>
      <c r="Q12" s="258"/>
      <c r="R12" s="259">
        <f>IF(calculos_quadro!$I$2="","",INDEX(calculos_quadro!$C$46:$AE$46,MATCH(calculos_quadro!$I$2,calculos_quadro!$C$11:$AE$11,0)))</f>
        <v>0</v>
      </c>
      <c r="S12" s="258"/>
      <c r="T12" s="261" t="str">
        <f>IF(calculos_quadro!$I$2="","",INDEX(calculos_quadro!$C$47:$AE$47,MATCH(calculos_quadro!$I$2,calculos_quadro!$C$11:$AE$11,0)))</f>
        <v/>
      </c>
      <c r="U12" s="260"/>
      <c r="V12" s="260"/>
      <c r="W12" s="263" t="str">
        <f>IF(calculos_quadro!$I$2="","",INDEX(calculos_quadro!$C$49:$AE$49,MATCH(calculos_quadro!$I$2,calculos_quadro!$C$11:$AE$11,0)))</f>
        <v/>
      </c>
      <c r="X12" s="262"/>
      <c r="Y12" s="265" t="str">
        <f>IF(calculos_quadro!$I$2="","",INDEX(calculos_quadro!$C$50:$AE$50,MATCH(calculos_quadro!$I$2,calculos_quadro!$C$11:$AE$11,0)))</f>
        <v/>
      </c>
      <c r="Z12" s="266"/>
    </row>
    <row r="13" ht="16" customHeight="1">
      <c r="B13" s="398"/>
      <c r="C13" s="48"/>
      <c r="D13" s="251" t="str">
        <f>IF(calculos_quadro!$J$2="","",MID(calculos_quadro!$J$2,FIND(" ",calculos_quadro!$J$2)+1,99))</f>
        <v>Toneladas Movimentadas</v>
      </c>
      <c r="E13" s="250"/>
      <c r="F13" s="250"/>
      <c r="G13" s="250"/>
      <c r="H13" s="253" t="str">
        <f>IF(calculos_quadro!$J$2="","",INDEX(calculos_quadro!$C$48:$AE$48,MATCH(calculos_quadro!$J$2,calculos_quadro!$C$11:$AE$11,0)))</f>
        <v/>
      </c>
      <c r="I13" s="252"/>
      <c r="J13" s="255">
        <f>IF(calculos_quadro!$J$2="","",INDEX(calculos_quadro!$C$43:$AE$43,MATCH(calculos_quadro!$J$2,calculos_quadro!$C$11:$AE$11,0)))</f>
        <v>0</v>
      </c>
      <c r="K13" s="254"/>
      <c r="L13" s="254"/>
      <c r="M13" s="257" t="str">
        <f>IF(calculos_quadro!$J$2="","",INDEX(calculos_quadro!$C$44:$AE$44,MATCH(calculos_quadro!$J$2,calculos_quadro!$C$11:$AE$11,0)))</f>
        <v/>
      </c>
      <c r="N13" s="256"/>
      <c r="O13" s="259">
        <f>IF(calculos_quadro!$J$2="","",INDEX(calculos_quadro!$C$45:$AE$45,MATCH(calculos_quadro!$J$2,calculos_quadro!$C$11:$AE$11,0)))</f>
        <v>0</v>
      </c>
      <c r="P13" s="258"/>
      <c r="Q13" s="258"/>
      <c r="R13" s="259">
        <f>IF(calculos_quadro!$J$2="","",INDEX(calculos_quadro!$C$46:$AE$46,MATCH(calculos_quadro!$J$2,calculos_quadro!$C$11:$AE$11,0)))</f>
        <v>0</v>
      </c>
      <c r="S13" s="258"/>
      <c r="T13" s="261" t="str">
        <f>IF(calculos_quadro!$J$2="","",INDEX(calculos_quadro!$C$47:$AE$47,MATCH(calculos_quadro!$J$2,calculos_quadro!$C$11:$AE$11,0)))</f>
        <v/>
      </c>
      <c r="U13" s="260"/>
      <c r="V13" s="260"/>
      <c r="W13" s="263" t="str">
        <f>IF(calculos_quadro!$J$2="","",INDEX(calculos_quadro!$C$49:$AE$49,MATCH(calculos_quadro!$J$2,calculos_quadro!$C$11:$AE$11,0)))</f>
        <v/>
      </c>
      <c r="X13" s="262"/>
      <c r="Y13" s="265" t="str">
        <f>IF(calculos_quadro!$J$2="","",INDEX(calculos_quadro!$C$50:$AE$50,MATCH(calculos_quadro!$J$2,calculos_quadro!$C$11:$AE$11,0)))</f>
        <v/>
      </c>
      <c r="Z13" s="266"/>
    </row>
    <row r="14" ht="16" customHeight="1">
      <c r="B14" s="399"/>
      <c r="C14" s="55"/>
      <c r="D14" s="268" t="str">
        <f>IF(calculos_quadro!$K$2="","",MID(calculos_quadro!$K$2,FIND(" ",calculos_quadro!$K$2)+1,99))</f>
        <v>Linhas NF</v>
      </c>
      <c r="E14" s="267"/>
      <c r="F14" s="267"/>
      <c r="G14" s="267"/>
      <c r="H14" s="270" t="str">
        <f>IF(calculos_quadro!$K$2="","",INDEX(calculos_quadro!$C$48:$AE$48,MATCH(calculos_quadro!$K$2,calculos_quadro!$C$11:$AE$11,0)))</f>
        <v/>
      </c>
      <c r="I14" s="269"/>
      <c r="J14" s="479">
        <f>IF(calculos_quadro!$K$2="","",INDEX(calculos_quadro!$C$43:$AE$43,MATCH(calculos_quadro!$K$2,calculos_quadro!$C$11:$AE$11,0)))</f>
        <v>0</v>
      </c>
      <c r="K14" s="271"/>
      <c r="L14" s="271"/>
      <c r="M14" s="274" t="str">
        <f>IF(calculos_quadro!$K$2="","",INDEX(calculos_quadro!$C$44:$AE$44,MATCH(calculos_quadro!$K$2,calculos_quadro!$C$11:$AE$11,0)))</f>
        <v/>
      </c>
      <c r="N14" s="273"/>
      <c r="O14" s="480">
        <f>IF(calculos_quadro!$K$2="","",INDEX(calculos_quadro!$C$45:$AE$45,MATCH(calculos_quadro!$K$2,calculos_quadro!$C$11:$AE$11,0)))</f>
        <v>0</v>
      </c>
      <c r="P14" s="273"/>
      <c r="Q14" s="273"/>
      <c r="R14" s="480">
        <f>IF(calculos_quadro!$K$2="","",INDEX(calculos_quadro!$C$46:$AE$46,MATCH(calculos_quadro!$K$2,calculos_quadro!$C$11:$AE$11,0)))</f>
        <v>0</v>
      </c>
      <c r="S14" s="273"/>
      <c r="T14" s="276" t="str">
        <f>IF(calculos_quadro!$K$2="","",INDEX(calculos_quadro!$C$47:$AE$47,MATCH(calculos_quadro!$K$2,calculos_quadro!$C$11:$AE$11,0)))</f>
        <v/>
      </c>
      <c r="U14" s="275"/>
      <c r="V14" s="275"/>
      <c r="W14" s="278" t="str">
        <f>IF(calculos_quadro!$K$2="","",INDEX(calculos_quadro!$C$49:$AE$49,MATCH(calculos_quadro!$K$2,calculos_quadro!$C$11:$AE$11,0)))</f>
        <v/>
      </c>
      <c r="X14" s="277"/>
      <c r="Y14" s="280" t="str">
        <f>IF(calculos_quadro!$K$2="","",INDEX(calculos_quadro!$C$50:$AE$50,MATCH(calculos_quadro!$K$2,calculos_quadro!$C$11:$AE$11,0)))</f>
        <v/>
      </c>
      <c r="Z14" s="281"/>
    </row>
    <row r="15" ht="16" customHeight="1">
      <c r="B15" s="400" t="inlineStr">
        <is>
          <t xml:space="preserve">NC</t>
        </is>
      </c>
      <c r="C15" s="61"/>
      <c r="D15" s="283" t="inlineStr">
        <is>
          <t xml:space="preserve">Incidentes</t>
        </is>
      </c>
      <c r="E15" s="282"/>
      <c r="F15" s="282"/>
      <c r="G15" s="282"/>
      <c r="H15" s="285" t="str">
        <f>calculos_quadro!$U$48</f>
        <v/>
      </c>
      <c r="I15" s="284"/>
      <c r="J15" s="287">
        <f>calculos_quadro!$U$43</f>
        <v>0</v>
      </c>
      <c r="K15" s="286"/>
      <c r="L15" s="286"/>
      <c r="M15" s="289" t="str">
        <f>calculos_quadro!$U$44</f>
        <v/>
      </c>
      <c r="N15" s="288"/>
      <c r="O15" s="291">
        <f>calculos_quadro!$U$45</f>
        <v>0</v>
      </c>
      <c r="P15" s="290"/>
      <c r="Q15" s="290"/>
      <c r="R15" s="291">
        <f>calculos_quadro!$U$46</f>
        <v>0</v>
      </c>
      <c r="S15" s="290"/>
      <c r="T15" s="293" t="str">
        <f>calculos_quadro!$U$47</f>
        <v/>
      </c>
      <c r="U15" s="292"/>
      <c r="V15" s="292"/>
      <c r="W15" s="295" t="str">
        <f>calculos_quadro!$U$49</f>
        <v/>
      </c>
      <c r="X15" s="294"/>
      <c r="Y15" s="297" t="str">
        <f>calculos_quadro!$U$50</f>
        <v/>
      </c>
      <c r="Z15" s="298"/>
    </row>
    <row r="16" ht="16" customHeight="1">
      <c r="B16" s="401"/>
      <c r="C16" s="68"/>
      <c r="D16" s="300" t="inlineStr">
        <is>
          <t xml:space="preserve">No show</t>
        </is>
      </c>
      <c r="E16" s="299"/>
      <c r="F16" s="299"/>
      <c r="G16" s="299"/>
      <c r="H16" s="302" t="str">
        <f>calculos_quadro!$V$48</f>
        <v/>
      </c>
      <c r="I16" s="301"/>
      <c r="J16" s="304">
        <f>calculos_quadro!$V$43</f>
        <v>0</v>
      </c>
      <c r="K16" s="303"/>
      <c r="L16" s="303"/>
      <c r="M16" s="306" t="str">
        <f>calculos_quadro!$V$44</f>
        <v/>
      </c>
      <c r="N16" s="305"/>
      <c r="O16" s="308">
        <f>calculos_quadro!$V$45</f>
        <v>0</v>
      </c>
      <c r="P16" s="307"/>
      <c r="Q16" s="307"/>
      <c r="R16" s="308">
        <f>calculos_quadro!$V$46</f>
        <v>0</v>
      </c>
      <c r="S16" s="307"/>
      <c r="T16" s="310" t="str">
        <f>calculos_quadro!$V$47</f>
        <v/>
      </c>
      <c r="U16" s="309"/>
      <c r="V16" s="309"/>
      <c r="W16" s="312" t="str">
        <f>calculos_quadro!$V$49</f>
        <v/>
      </c>
      <c r="X16" s="311"/>
      <c r="Y16" s="314" t="str">
        <f>calculos_quadro!$V$50</f>
        <v/>
      </c>
      <c r="Z16" s="315"/>
    </row>
    <row r="17" ht="16" customHeight="1">
      <c r="B17" s="402"/>
      <c r="C17" s="75"/>
      <c r="D17" s="317" t="inlineStr">
        <is>
          <t xml:space="preserve">Backlog</t>
        </is>
      </c>
      <c r="E17" s="316"/>
      <c r="F17" s="316"/>
      <c r="G17" s="316"/>
      <c r="H17" s="319" t="str">
        <f>calculos_quadro!$W$48</f>
        <v/>
      </c>
      <c r="I17" s="318"/>
      <c r="J17" s="321" t="str">
        <f>calculos_quadro!$W$43</f>
        <v/>
      </c>
      <c r="K17" s="320"/>
      <c r="L17" s="320"/>
      <c r="M17" s="323" t="str">
        <f>calculos_quadro!$W$44</f>
        <v/>
      </c>
      <c r="N17" s="322"/>
      <c r="O17" s="325" t="str">
        <f>calculos_quadro!$W$45</f>
        <v/>
      </c>
      <c r="P17" s="324"/>
      <c r="Q17" s="324"/>
      <c r="R17" s="325" t="str">
        <f>calculos_quadro!$W$46</f>
        <v/>
      </c>
      <c r="S17" s="324"/>
      <c r="T17" s="327" t="str">
        <f>calculos_quadro!$W$47</f>
        <v/>
      </c>
      <c r="U17" s="326"/>
      <c r="V17" s="326"/>
      <c r="W17" s="329" t="str">
        <f>calculos_quadro!$W$49</f>
        <v/>
      </c>
      <c r="X17" s="328"/>
      <c r="Y17" s="331" t="str">
        <f>calculos_quadro!$W$50</f>
        <v/>
      </c>
      <c r="Z17" s="332"/>
    </row>
    <row r="18" ht="16" customHeight="1">
      <c r="B18" s="394" t="inlineStr">
        <is>
          <t xml:space="preserve">OCUPAÇÃO (P.P)</t>
        </is>
      </c>
      <c r="C18" s="21"/>
      <c r="D18" s="185" t="inlineStr">
        <is>
          <t xml:space="preserve">Posições Disponíveis</t>
        </is>
      </c>
      <c r="E18" s="184"/>
      <c r="F18" s="184"/>
      <c r="G18" s="184"/>
      <c r="H18" s="187" t="str">
        <f>calculos_quadro!$X$48</f>
        <v/>
      </c>
      <c r="I18" s="186"/>
      <c r="J18" s="334" t="str">
        <f>calculos_quadro!$X$43</f>
        <v/>
      </c>
      <c r="K18" s="333"/>
      <c r="L18" s="333"/>
      <c r="M18" s="191"/>
      <c r="N18" s="190"/>
      <c r="O18" s="336" t="str">
        <f>calculos_quadro!$X$45</f>
        <v/>
      </c>
      <c r="P18" s="335"/>
      <c r="Q18" s="335"/>
      <c r="R18" s="336" t="str">
        <f>calculos_quadro!$X$46</f>
        <v/>
      </c>
      <c r="S18" s="335"/>
      <c r="T18" s="195" t="str">
        <f>calculos_quadro!$X$47</f>
        <v/>
      </c>
      <c r="U18" s="194"/>
      <c r="V18" s="194"/>
      <c r="W18" s="197" t="str">
        <f>calculos_quadro!$X$49</f>
        <v/>
      </c>
      <c r="X18" s="196"/>
      <c r="Y18" s="199" t="str">
        <f>calculos_quadro!$X$50</f>
        <v/>
      </c>
      <c r="Z18" s="200"/>
    </row>
    <row r="19" ht="16" customHeight="1">
      <c r="B19" s="395"/>
      <c r="C19" s="28"/>
      <c r="D19" s="202" t="inlineStr">
        <is>
          <t xml:space="preserve">Posições Ocupadas</t>
        </is>
      </c>
      <c r="E19" s="201"/>
      <c r="F19" s="201"/>
      <c r="G19" s="201"/>
      <c r="H19" s="204" t="str">
        <f>calculos_quadro!$Y$48</f>
        <v/>
      </c>
      <c r="I19" s="203"/>
      <c r="J19" s="206" t="str">
        <f>calculos_quadro!$Y$43</f>
        <v/>
      </c>
      <c r="K19" s="205"/>
      <c r="L19" s="205"/>
      <c r="M19" s="208" t="str">
        <f>calculos_quadro!$Y$44</f>
        <v/>
      </c>
      <c r="N19" s="207"/>
      <c r="O19" s="210" t="str">
        <f>calculos_quadro!$Y$45</f>
        <v/>
      </c>
      <c r="P19" s="209"/>
      <c r="Q19" s="209"/>
      <c r="R19" s="210" t="str">
        <f>calculos_quadro!$Y$46</f>
        <v/>
      </c>
      <c r="S19" s="209"/>
      <c r="T19" s="212" t="str">
        <f>calculos_quadro!$Y$47</f>
        <v/>
      </c>
      <c r="U19" s="211"/>
      <c r="V19" s="211"/>
      <c r="W19" s="214" t="str">
        <f>calculos_quadro!$Y$49</f>
        <v/>
      </c>
      <c r="X19" s="213"/>
      <c r="Y19" s="216" t="str">
        <f>calculos_quadro!$Y$50</f>
        <v/>
      </c>
      <c r="Z19" s="217"/>
    </row>
    <row r="20" ht="16" customHeight="1">
      <c r="B20" s="396"/>
      <c r="C20" s="35"/>
      <c r="D20" s="219" t="inlineStr">
        <is>
          <t xml:space="preserve">Taxa de Ocupação</t>
        </is>
      </c>
      <c r="E20" s="218"/>
      <c r="F20" s="218"/>
      <c r="G20" s="218"/>
      <c r="H20" s="338" t="str">
        <f>calculos_quadro!$Z$48</f>
        <v/>
      </c>
      <c r="I20" s="337"/>
      <c r="J20" s="340" t="str">
        <f>calculos_quadro!$Z$43</f>
        <v/>
      </c>
      <c r="K20" s="339"/>
      <c r="L20" s="339"/>
      <c r="M20" s="342" t="str">
        <f>calculos_quadro!$Z$44</f>
        <v/>
      </c>
      <c r="N20" s="341"/>
      <c r="O20" s="342" t="str">
        <f>calculos_quadro!$Z$45</f>
        <v/>
      </c>
      <c r="P20" s="341"/>
      <c r="Q20" s="341"/>
      <c r="R20" s="342" t="str">
        <f>calculos_quadro!$Z$46</f>
        <v/>
      </c>
      <c r="S20" s="341"/>
      <c r="T20" s="227" t="str">
        <f>calculos_quadro!$Z$47</f>
        <v/>
      </c>
      <c r="U20" s="226"/>
      <c r="V20" s="226"/>
      <c r="W20" s="229" t="str">
        <f>calculos_quadro!$Z$49</f>
        <v/>
      </c>
      <c r="X20" s="228"/>
      <c r="Y20" s="231" t="str">
        <f>calculos_quadro!$Z$50</f>
        <v/>
      </c>
      <c r="Z20" s="232"/>
    </row>
    <row r="21" ht="16" customHeight="1">
      <c r="B21" s="403" t="inlineStr">
        <is>
          <t xml:space="preserve">GENTE</t>
        </is>
      </c>
      <c r="C21" s="85"/>
      <c r="D21" s="344" t="inlineStr">
        <is>
          <t xml:space="preserve">Efetivo</t>
        </is>
      </c>
      <c r="E21" s="343"/>
      <c r="F21" s="343"/>
      <c r="G21" s="343"/>
      <c r="H21" s="346" t="str">
        <f>calculos_quadro!$AA$48</f>
        <v/>
      </c>
      <c r="I21" s="345"/>
      <c r="J21" s="348" t="str">
        <f>calculos_quadro!$AA$43</f>
        <v/>
      </c>
      <c r="K21" s="347"/>
      <c r="L21" s="347"/>
      <c r="M21" s="350" t="str">
        <f>calculos_quadro!$AA$44</f>
        <v/>
      </c>
      <c r="N21" s="349"/>
      <c r="O21" s="352" t="str">
        <f>calculos_quadro!$AA$45</f>
        <v/>
      </c>
      <c r="P21" s="351"/>
      <c r="Q21" s="351"/>
      <c r="R21" s="352" t="str">
        <f>calculos_quadro!$AA$46</f>
        <v/>
      </c>
      <c r="S21" s="351"/>
      <c r="T21" s="354" t="str">
        <f>calculos_quadro!$AA$47</f>
        <v/>
      </c>
      <c r="U21" s="353"/>
      <c r="V21" s="353"/>
      <c r="W21" s="356" t="str">
        <f>calculos_quadro!$AA$49</f>
        <v/>
      </c>
      <c r="X21" s="355"/>
      <c r="Y21" s="358" t="str">
        <f>calculos_quadro!$AA$50</f>
        <v/>
      </c>
      <c r="Z21" s="359"/>
    </row>
    <row r="22" ht="16" customHeight="1">
      <c r="B22" s="404"/>
      <c r="C22" s="92"/>
      <c r="D22" s="361" t="inlineStr">
        <is>
          <t xml:space="preserve">Falta</t>
        </is>
      </c>
      <c r="E22" s="360"/>
      <c r="F22" s="360"/>
      <c r="G22" s="360"/>
      <c r="H22" s="363" t="str">
        <f>calculos_quadro!$AB$48</f>
        <v/>
      </c>
      <c r="I22" s="362"/>
      <c r="J22" s="365">
        <f>calculos_quadro!$AB$43</f>
        <v>0</v>
      </c>
      <c r="K22" s="364"/>
      <c r="L22" s="364"/>
      <c r="M22" s="367" t="str">
        <f>calculos_quadro!$AB$44</f>
        <v/>
      </c>
      <c r="N22" s="366"/>
      <c r="O22" s="369">
        <f>calculos_quadro!$AB$45</f>
        <v>0</v>
      </c>
      <c r="P22" s="368"/>
      <c r="Q22" s="368"/>
      <c r="R22" s="369">
        <f>calculos_quadro!$AB$46</f>
        <v>0</v>
      </c>
      <c r="S22" s="368"/>
      <c r="T22" s="371" t="str">
        <f>calculos_quadro!$AB$47</f>
        <v/>
      </c>
      <c r="U22" s="370"/>
      <c r="V22" s="370"/>
      <c r="W22" s="373" t="str">
        <f>calculos_quadro!$AB$49</f>
        <v/>
      </c>
      <c r="X22" s="372"/>
      <c r="Y22" s="375" t="str">
        <f>calculos_quadro!$AB$50</f>
        <v/>
      </c>
      <c r="Z22" s="376"/>
    </row>
    <row r="23" ht="16" customHeight="1">
      <c r="B23" s="404"/>
      <c r="C23" s="92"/>
      <c r="D23" s="361" t="inlineStr">
        <is>
          <t xml:space="preserve">Folga</t>
        </is>
      </c>
      <c r="E23" s="360"/>
      <c r="F23" s="360"/>
      <c r="G23" s="360"/>
      <c r="H23" s="363" t="str">
        <f>calculos_quadro!$AC$48</f>
        <v/>
      </c>
      <c r="I23" s="362"/>
      <c r="J23" s="365">
        <f>calculos_quadro!$AC$43</f>
        <v>0</v>
      </c>
      <c r="K23" s="364"/>
      <c r="L23" s="364"/>
      <c r="M23" s="367" t="str">
        <f>calculos_quadro!$AC$44</f>
        <v/>
      </c>
      <c r="N23" s="366"/>
      <c r="O23" s="369">
        <f>calculos_quadro!$AC$45</f>
        <v>0</v>
      </c>
      <c r="P23" s="368"/>
      <c r="Q23" s="368"/>
      <c r="R23" s="369">
        <f>calculos_quadro!$AC$46</f>
        <v>0</v>
      </c>
      <c r="S23" s="368"/>
      <c r="T23" s="371" t="str">
        <f>calculos_quadro!$AC$47</f>
        <v/>
      </c>
      <c r="U23" s="370"/>
      <c r="V23" s="370"/>
      <c r="W23" s="373" t="str">
        <f>calculos_quadro!$AC$49</f>
        <v/>
      </c>
      <c r="X23" s="372"/>
      <c r="Y23" s="375" t="str">
        <f>calculos_quadro!$AC$50</f>
        <v/>
      </c>
      <c r="Z23" s="376"/>
    </row>
    <row r="24" ht="16" customHeight="1">
      <c r="B24" s="404"/>
      <c r="C24" s="92"/>
      <c r="D24" s="361" t="inlineStr">
        <is>
          <t xml:space="preserve">Férias</t>
        </is>
      </c>
      <c r="E24" s="360"/>
      <c r="F24" s="360"/>
      <c r="G24" s="360"/>
      <c r="H24" s="363" t="str">
        <f>calculos_quadro!$AD$48</f>
        <v/>
      </c>
      <c r="I24" s="362"/>
      <c r="J24" s="365">
        <f>calculos_quadro!$AD$43</f>
        <v>0</v>
      </c>
      <c r="K24" s="364"/>
      <c r="L24" s="364"/>
      <c r="M24" s="367" t="str">
        <f>calculos_quadro!$AD$44</f>
        <v/>
      </c>
      <c r="N24" s="366"/>
      <c r="O24" s="369">
        <f>calculos_quadro!$AD$45</f>
        <v>0</v>
      </c>
      <c r="P24" s="368"/>
      <c r="Q24" s="368"/>
      <c r="R24" s="369">
        <f>calculos_quadro!$AD$46</f>
        <v>0</v>
      </c>
      <c r="S24" s="368"/>
      <c r="T24" s="371" t="str">
        <f>calculos_quadro!$AD$47</f>
        <v/>
      </c>
      <c r="U24" s="370"/>
      <c r="V24" s="370"/>
      <c r="W24" s="373" t="str">
        <f>calculos_quadro!$AD$49</f>
        <v/>
      </c>
      <c r="X24" s="372"/>
      <c r="Y24" s="375" t="str">
        <f>calculos_quadro!$AD$50</f>
        <v/>
      </c>
      <c r="Z24" s="376"/>
    </row>
    <row r="25" ht="16" customHeight="1">
      <c r="B25" s="405"/>
      <c r="C25" s="99"/>
      <c r="D25" s="378" t="inlineStr">
        <is>
          <t xml:space="preserve">Desligamentos</t>
        </is>
      </c>
      <c r="E25" s="377"/>
      <c r="F25" s="377"/>
      <c r="G25" s="377"/>
      <c r="H25" s="380" t="str">
        <f>calculos_quadro!$AE$48</f>
        <v/>
      </c>
      <c r="I25" s="379"/>
      <c r="J25" s="382">
        <f>calculos_quadro!$AE$43</f>
        <v>0</v>
      </c>
      <c r="K25" s="381"/>
      <c r="L25" s="381"/>
      <c r="M25" s="384" t="str">
        <f>calculos_quadro!$AE$44</f>
        <v/>
      </c>
      <c r="N25" s="383"/>
      <c r="O25" s="386">
        <f>calculos_quadro!$AE$45</f>
        <v>0</v>
      </c>
      <c r="P25" s="385"/>
      <c r="Q25" s="385"/>
      <c r="R25" s="386">
        <f>calculos_quadro!$AE$46</f>
        <v>0</v>
      </c>
      <c r="S25" s="385"/>
      <c r="T25" s="388" t="str">
        <f>calculos_quadro!$AE$47</f>
        <v/>
      </c>
      <c r="U25" s="387"/>
      <c r="V25" s="387"/>
      <c r="W25" s="390" t="str">
        <f>calculos_quadro!$AE$49</f>
        <v/>
      </c>
      <c r="X25" s="389"/>
      <c r="Y25" s="392" t="str">
        <f>calculos_quadro!$AE$50</f>
        <v/>
      </c>
      <c r="Z25" s="393"/>
    </row>
    <row r="26">
      <c r="B26" s="120" t="inlineStr">
        <is>
          <t xml:space="preserve">IN e OUT mostram os indicadores do cliente escolhido na aba Indicadores (em "Todos": veículos, pallets, toneladas e linhas NF). Realizado: soma do mês nos fluxos; último valor em backlog, posições e efetivo. Média/dia: dias com movimento. Metas e faixas: aba calculos (oculta). Vazio = sem registro.</t>
        </is>
      </c>
    </row>
    <row r="28" ht="20" customHeight="1">
      <c r="B28" s="177" t="inlineStr">
        <is>
          <t xml:space="preserve">RESUMO POR CLIENTE · mês inteiro (1/2) · "—" = indicador não usado pelo cliente</t>
        </is>
      </c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</row>
    <row r="29" ht="30" customHeight="1">
      <c r="B29" s="406" t="inlineStr">
        <is>
          <t xml:space="preserve">GRUPO</t>
        </is>
      </c>
      <c r="C29" s="407"/>
      <c r="D29" s="406" t="inlineStr">
        <is>
          <t xml:space="preserve">INDICADOR</t>
        </is>
      </c>
      <c r="E29" s="408"/>
      <c r="F29" s="408"/>
      <c r="G29" s="407"/>
      <c r="H29" s="409" t="inlineStr">
        <is>
          <t xml:space="preserve">BASF</t>
        </is>
      </c>
      <c r="I29" s="410"/>
      <c r="J29" s="409" t="inlineStr">
        <is>
          <t xml:space="preserve">BEAUTYBIZ</t>
        </is>
      </c>
      <c r="K29" s="411"/>
      <c r="L29" s="410"/>
      <c r="M29" s="409" t="inlineStr">
        <is>
          <t xml:space="preserve">BOTICÁRIO</t>
        </is>
      </c>
      <c r="N29" s="410"/>
      <c r="O29" s="409" t="inlineStr">
        <is>
          <t xml:space="preserve">SUPPLY</t>
        </is>
      </c>
      <c r="P29" s="411"/>
      <c r="Q29" s="410"/>
      <c r="R29" s="409" t="inlineStr">
        <is>
          <t xml:space="preserve">GE VERNOVA</t>
        </is>
      </c>
      <c r="S29" s="410"/>
      <c r="T29" s="412" t="inlineStr">
        <is>
          <t xml:space="preserve">TOTAL CD</t>
        </is>
      </c>
      <c r="U29" s="413"/>
      <c r="V29" s="414"/>
    </row>
    <row r="30" ht="15.75" customHeight="1">
      <c r="B30" s="394" t="inlineStr">
        <is>
          <t xml:space="preserve">IN</t>
        </is>
      </c>
      <c r="C30" s="21"/>
      <c r="D30" s="185" t="inlineStr">
        <is>
          <t xml:space="preserve">Veículos Recebidos</t>
        </is>
      </c>
      <c r="E30" s="184"/>
      <c r="F30" s="184"/>
      <c r="G30" s="184"/>
      <c r="H30" s="193">
        <f>calculos_quadro!B96</f>
        <v>0</v>
      </c>
      <c r="I30" s="192"/>
      <c r="J30" s="193">
        <f>calculos_quadro!C96</f>
        <v>0</v>
      </c>
      <c r="K30" s="192"/>
      <c r="L30" s="192"/>
      <c r="M30" s="193">
        <f>calculos_quadro!D96</f>
        <v>0</v>
      </c>
      <c r="N30" s="192"/>
      <c r="O30" s="193">
        <f>calculos_quadro!E96</f>
        <v>0</v>
      </c>
      <c r="P30" s="192"/>
      <c r="Q30" s="192"/>
      <c r="R30" s="193">
        <f>calculos_quadro!F96</f>
        <v>0</v>
      </c>
      <c r="S30" s="192"/>
      <c r="T30" s="187">
        <f>calculos_quadro!K96</f>
        <v>0</v>
      </c>
      <c r="U30" s="186"/>
      <c r="V30" s="415"/>
    </row>
    <row r="31" ht="15.75" customHeight="1">
      <c r="B31" s="395"/>
      <c r="C31" s="28"/>
      <c r="D31" s="202" t="inlineStr">
        <is>
          <t xml:space="preserve">Pallets Movimentados</t>
        </is>
      </c>
      <c r="E31" s="201"/>
      <c r="F31" s="201"/>
      <c r="G31" s="201"/>
      <c r="H31" s="210">
        <f>calculos_quadro!B97</f>
        <v>0</v>
      </c>
      <c r="I31" s="209"/>
      <c r="J31" s="210">
        <f>calculos_quadro!C97</f>
        <v>0</v>
      </c>
      <c r="K31" s="209"/>
      <c r="L31" s="209"/>
      <c r="M31" s="210" t="str">
        <f>calculos_quadro!D97</f>
        <v>—</v>
      </c>
      <c r="N31" s="209"/>
      <c r="O31" s="210">
        <f>calculos_quadro!E97</f>
        <v>0</v>
      </c>
      <c r="P31" s="209"/>
      <c r="Q31" s="209"/>
      <c r="R31" s="210">
        <f>calculos_quadro!F97</f>
        <v>0</v>
      </c>
      <c r="S31" s="209"/>
      <c r="T31" s="204">
        <f>calculos_quadro!K97</f>
        <v>0</v>
      </c>
      <c r="U31" s="203"/>
      <c r="V31" s="416"/>
    </row>
    <row r="32" ht="15.75" customHeight="1">
      <c r="B32" s="395"/>
      <c r="C32" s="28"/>
      <c r="D32" s="202" t="inlineStr">
        <is>
          <t xml:space="preserve">Toneladas Movimentadas</t>
        </is>
      </c>
      <c r="E32" s="201"/>
      <c r="F32" s="201"/>
      <c r="G32" s="201"/>
      <c r="H32" s="481">
        <f>calculos_quadro!B98</f>
        <v>0</v>
      </c>
      <c r="I32" s="483"/>
      <c r="J32" s="481" t="str">
        <f>calculos_quadro!C98</f>
        <v>—</v>
      </c>
      <c r="K32" s="483"/>
      <c r="L32" s="483"/>
      <c r="M32" s="481" t="str">
        <f>calculos_quadro!D98</f>
        <v>—</v>
      </c>
      <c r="N32" s="483"/>
      <c r="O32" s="481">
        <f>calculos_quadro!E98</f>
        <v>0</v>
      </c>
      <c r="P32" s="483"/>
      <c r="Q32" s="483"/>
      <c r="R32" s="481" t="str">
        <f>calculos_quadro!F98</f>
        <v>—</v>
      </c>
      <c r="S32" s="483"/>
      <c r="T32" s="482">
        <f>calculos_quadro!K98</f>
        <v>0</v>
      </c>
      <c r="U32" s="484"/>
      <c r="V32" s="485"/>
    </row>
    <row r="33" ht="15.75" customHeight="1">
      <c r="B33" s="395"/>
      <c r="C33" s="28"/>
      <c r="D33" s="202" t="inlineStr">
        <is>
          <t xml:space="preserve">Caixas Movimentadas</t>
        </is>
      </c>
      <c r="E33" s="201"/>
      <c r="F33" s="201"/>
      <c r="G33" s="201"/>
      <c r="H33" s="210" t="str">
        <f>calculos_quadro!B99</f>
        <v>—</v>
      </c>
      <c r="I33" s="209"/>
      <c r="J33" s="210">
        <f>calculos_quadro!C99</f>
        <v>0</v>
      </c>
      <c r="K33" s="209"/>
      <c r="L33" s="209"/>
      <c r="M33" s="210" t="str">
        <f>calculos_quadro!D99</f>
        <v>—</v>
      </c>
      <c r="N33" s="209"/>
      <c r="O33" s="210" t="str">
        <f>calculos_quadro!E99</f>
        <v>—</v>
      </c>
      <c r="P33" s="209"/>
      <c r="Q33" s="209"/>
      <c r="R33" s="210" t="str">
        <f>calculos_quadro!F99</f>
        <v>—</v>
      </c>
      <c r="S33" s="209"/>
      <c r="T33" s="204">
        <f>calculos_quadro!K99</f>
        <v>0</v>
      </c>
      <c r="U33" s="203"/>
      <c r="V33" s="416"/>
    </row>
    <row r="34" ht="15.75" customHeight="1">
      <c r="B34" s="395"/>
      <c r="C34" s="28"/>
      <c r="D34" s="202" t="inlineStr">
        <is>
          <t xml:space="preserve">Itens Recebidos CX Mista</t>
        </is>
      </c>
      <c r="E34" s="201"/>
      <c r="F34" s="201"/>
      <c r="G34" s="201"/>
      <c r="H34" s="210" t="str">
        <f>calculos_quadro!B100</f>
        <v>—</v>
      </c>
      <c r="I34" s="209"/>
      <c r="J34" s="210" t="str">
        <f>calculos_quadro!C100</f>
        <v>—</v>
      </c>
      <c r="K34" s="209"/>
      <c r="L34" s="209"/>
      <c r="M34" s="210">
        <f>calculos_quadro!D100</f>
        <v>0</v>
      </c>
      <c r="N34" s="209"/>
      <c r="O34" s="210" t="str">
        <f>calculos_quadro!E100</f>
        <v>—</v>
      </c>
      <c r="P34" s="209"/>
      <c r="Q34" s="209"/>
      <c r="R34" s="210" t="str">
        <f>calculos_quadro!F100</f>
        <v>—</v>
      </c>
      <c r="S34" s="209"/>
      <c r="T34" s="204">
        <f>calculos_quadro!K100</f>
        <v>0</v>
      </c>
      <c r="U34" s="203"/>
      <c r="V34" s="416"/>
    </row>
    <row r="35" ht="15.75" customHeight="1">
      <c r="B35" s="395"/>
      <c r="C35" s="28"/>
      <c r="D35" s="202" t="inlineStr">
        <is>
          <t xml:space="preserve">Caixas Mistas Recebidas</t>
        </is>
      </c>
      <c r="E35" s="201"/>
      <c r="F35" s="201"/>
      <c r="G35" s="201"/>
      <c r="H35" s="210" t="str">
        <f>calculos_quadro!B101</f>
        <v>—</v>
      </c>
      <c r="I35" s="209"/>
      <c r="J35" s="210" t="str">
        <f>calculos_quadro!C101</f>
        <v>—</v>
      </c>
      <c r="K35" s="209"/>
      <c r="L35" s="209"/>
      <c r="M35" s="210">
        <f>calculos_quadro!D101</f>
        <v>0</v>
      </c>
      <c r="N35" s="209"/>
      <c r="O35" s="210" t="str">
        <f>calculos_quadro!E101</f>
        <v>—</v>
      </c>
      <c r="P35" s="209"/>
      <c r="Q35" s="209"/>
      <c r="R35" s="210" t="str">
        <f>calculos_quadro!F101</f>
        <v>—</v>
      </c>
      <c r="S35" s="209"/>
      <c r="T35" s="204">
        <f>calculos_quadro!K101</f>
        <v>0</v>
      </c>
      <c r="U35" s="203"/>
      <c r="V35" s="416"/>
    </row>
    <row r="36" ht="15.75" customHeight="1">
      <c r="B36" s="395"/>
      <c r="C36" s="28"/>
      <c r="D36" s="202" t="inlineStr">
        <is>
          <t xml:space="preserve">Caixas Fechadas</t>
        </is>
      </c>
      <c r="E36" s="201"/>
      <c r="F36" s="201"/>
      <c r="G36" s="201"/>
      <c r="H36" s="210" t="str">
        <f>calculos_quadro!B102</f>
        <v>—</v>
      </c>
      <c r="I36" s="209"/>
      <c r="J36" s="210" t="str">
        <f>calculos_quadro!C102</f>
        <v>—</v>
      </c>
      <c r="K36" s="209"/>
      <c r="L36" s="209"/>
      <c r="M36" s="210">
        <f>calculos_quadro!D102</f>
        <v>0</v>
      </c>
      <c r="N36" s="209"/>
      <c r="O36" s="210" t="str">
        <f>calculos_quadro!E102</f>
        <v>—</v>
      </c>
      <c r="P36" s="209"/>
      <c r="Q36" s="209"/>
      <c r="R36" s="210" t="str">
        <f>calculos_quadro!F102</f>
        <v>—</v>
      </c>
      <c r="S36" s="209"/>
      <c r="T36" s="204">
        <f>calculos_quadro!K102</f>
        <v>0</v>
      </c>
      <c r="U36" s="203"/>
      <c r="V36" s="416"/>
    </row>
    <row r="37" ht="15.75" customHeight="1">
      <c r="B37" s="395"/>
      <c r="C37" s="28"/>
      <c r="D37" s="202" t="inlineStr">
        <is>
          <t xml:space="preserve">Peças Movimentadas</t>
        </is>
      </c>
      <c r="E37" s="201"/>
      <c r="F37" s="201"/>
      <c r="G37" s="201"/>
      <c r="H37" s="210" t="str">
        <f>calculos_quadro!B103</f>
        <v>—</v>
      </c>
      <c r="I37" s="209"/>
      <c r="J37" s="210" t="str">
        <f>calculos_quadro!C103</f>
        <v>—</v>
      </c>
      <c r="K37" s="209"/>
      <c r="L37" s="209"/>
      <c r="M37" s="210" t="str">
        <f>calculos_quadro!D103</f>
        <v>—</v>
      </c>
      <c r="N37" s="209"/>
      <c r="O37" s="210" t="str">
        <f>calculos_quadro!E103</f>
        <v>—</v>
      </c>
      <c r="P37" s="209"/>
      <c r="Q37" s="209"/>
      <c r="R37" s="210">
        <f>calculos_quadro!F103</f>
        <v>0</v>
      </c>
      <c r="S37" s="209"/>
      <c r="T37" s="204">
        <f>calculos_quadro!K103</f>
        <v>0</v>
      </c>
      <c r="U37" s="203"/>
      <c r="V37" s="416"/>
    </row>
    <row r="38" ht="15.75" customHeight="1">
      <c r="B38" s="396"/>
      <c r="C38" s="35"/>
      <c r="D38" s="219" t="inlineStr">
        <is>
          <t xml:space="preserve">Linhas NF</t>
        </is>
      </c>
      <c r="E38" s="218"/>
      <c r="F38" s="218"/>
      <c r="G38" s="218"/>
      <c r="H38" s="478" t="str">
        <f>calculos_quadro!B104</f>
        <v>—</v>
      </c>
      <c r="I38" s="487"/>
      <c r="J38" s="478" t="str">
        <f>calculos_quadro!C104</f>
        <v>—</v>
      </c>
      <c r="K38" s="487"/>
      <c r="L38" s="487"/>
      <c r="M38" s="478" t="str">
        <f>calculos_quadro!D104</f>
        <v>—</v>
      </c>
      <c r="N38" s="487"/>
      <c r="O38" s="478" t="str">
        <f>calculos_quadro!E104</f>
        <v>—</v>
      </c>
      <c r="P38" s="487"/>
      <c r="Q38" s="487"/>
      <c r="R38" s="478">
        <f>calculos_quadro!F104</f>
        <v>0</v>
      </c>
      <c r="S38" s="487"/>
      <c r="T38" s="486">
        <f>calculos_quadro!K104</f>
        <v>0</v>
      </c>
      <c r="U38" s="488"/>
      <c r="V38" s="489"/>
    </row>
    <row r="39" ht="15.75" customHeight="1">
      <c r="B39" s="397" t="inlineStr">
        <is>
          <t xml:space="preserve">OUT</t>
        </is>
      </c>
      <c r="C39" s="41"/>
      <c r="D39" s="234" t="inlineStr">
        <is>
          <t xml:space="preserve">Veículos Expedidos</t>
        </is>
      </c>
      <c r="E39" s="233"/>
      <c r="F39" s="233"/>
      <c r="G39" s="233"/>
      <c r="H39" s="242">
        <f>calculos_quadro!B105</f>
        <v>0</v>
      </c>
      <c r="I39" s="241"/>
      <c r="J39" s="242">
        <f>calculos_quadro!C105</f>
        <v>0</v>
      </c>
      <c r="K39" s="241"/>
      <c r="L39" s="241"/>
      <c r="M39" s="242">
        <f>calculos_quadro!D105</f>
        <v>0</v>
      </c>
      <c r="N39" s="241"/>
      <c r="O39" s="242">
        <f>calculos_quadro!E105</f>
        <v>0</v>
      </c>
      <c r="P39" s="241"/>
      <c r="Q39" s="241"/>
      <c r="R39" s="242">
        <f>calculos_quadro!F105</f>
        <v>0</v>
      </c>
      <c r="S39" s="241"/>
      <c r="T39" s="236">
        <f>calculos_quadro!K105</f>
        <v>0</v>
      </c>
      <c r="U39" s="235"/>
      <c r="V39" s="420"/>
    </row>
    <row r="40" ht="15.75" customHeight="1">
      <c r="B40" s="398"/>
      <c r="C40" s="48"/>
      <c r="D40" s="251" t="inlineStr">
        <is>
          <t xml:space="preserve">Pallets Movimentados</t>
        </is>
      </c>
      <c r="E40" s="250"/>
      <c r="F40" s="250"/>
      <c r="G40" s="250"/>
      <c r="H40" s="259">
        <f>calculos_quadro!B106</f>
        <v>0</v>
      </c>
      <c r="I40" s="258"/>
      <c r="J40" s="259">
        <f>calculos_quadro!C106</f>
        <v>0</v>
      </c>
      <c r="K40" s="258"/>
      <c r="L40" s="258"/>
      <c r="M40" s="259">
        <f>calculos_quadro!D106</f>
        <v>0</v>
      </c>
      <c r="N40" s="258"/>
      <c r="O40" s="259">
        <f>calculos_quadro!E106</f>
        <v>0</v>
      </c>
      <c r="P40" s="258"/>
      <c r="Q40" s="258"/>
      <c r="R40" s="259">
        <f>calculos_quadro!F106</f>
        <v>0</v>
      </c>
      <c r="S40" s="258"/>
      <c r="T40" s="253">
        <f>calculos_quadro!K106</f>
        <v>0</v>
      </c>
      <c r="U40" s="252"/>
      <c r="V40" s="421"/>
    </row>
    <row r="41" ht="15.75" customHeight="1">
      <c r="B41" s="398"/>
      <c r="C41" s="48"/>
      <c r="D41" s="251" t="inlineStr">
        <is>
          <t xml:space="preserve">Toneladas Movimentadas</t>
        </is>
      </c>
      <c r="E41" s="250"/>
      <c r="F41" s="250"/>
      <c r="G41" s="250"/>
      <c r="H41" s="490">
        <f>calculos_quadro!B107</f>
        <v>0</v>
      </c>
      <c r="I41" s="492"/>
      <c r="J41" s="490" t="str">
        <f>calculos_quadro!C107</f>
        <v>—</v>
      </c>
      <c r="K41" s="492"/>
      <c r="L41" s="492"/>
      <c r="M41" s="490" t="str">
        <f>calculos_quadro!D107</f>
        <v>—</v>
      </c>
      <c r="N41" s="492"/>
      <c r="O41" s="490">
        <f>calculos_quadro!E107</f>
        <v>0</v>
      </c>
      <c r="P41" s="492"/>
      <c r="Q41" s="492"/>
      <c r="R41" s="490" t="str">
        <f>calculos_quadro!F107</f>
        <v>—</v>
      </c>
      <c r="S41" s="492"/>
      <c r="T41" s="491">
        <f>calculos_quadro!K107</f>
        <v>0</v>
      </c>
      <c r="U41" s="493"/>
      <c r="V41" s="494"/>
    </row>
    <row r="42" ht="15.75" customHeight="1">
      <c r="B42" s="398"/>
      <c r="C42" s="48"/>
      <c r="D42" s="251" t="inlineStr">
        <is>
          <t xml:space="preserve">Pedidos Expedidos</t>
        </is>
      </c>
      <c r="E42" s="250"/>
      <c r="F42" s="250"/>
      <c r="G42" s="250"/>
      <c r="H42" s="259" t="str">
        <f>calculos_quadro!B109</f>
        <v>—</v>
      </c>
      <c r="I42" s="258"/>
      <c r="J42" s="259">
        <f>calculos_quadro!C109</f>
        <v>0</v>
      </c>
      <c r="K42" s="258"/>
      <c r="L42" s="258"/>
      <c r="M42" s="259" t="str">
        <f>calculos_quadro!D109</f>
        <v>—</v>
      </c>
      <c r="N42" s="258"/>
      <c r="O42" s="259" t="str">
        <f>calculos_quadro!E109</f>
        <v>—</v>
      </c>
      <c r="P42" s="258"/>
      <c r="Q42" s="258"/>
      <c r="R42" s="259" t="str">
        <f>calculos_quadro!F109</f>
        <v>—</v>
      </c>
      <c r="S42" s="258"/>
      <c r="T42" s="253">
        <f>calculos_quadro!K109</f>
        <v>0</v>
      </c>
      <c r="U42" s="252"/>
      <c r="V42" s="421"/>
    </row>
    <row r="43" ht="15.75" customHeight="1">
      <c r="B43" s="398"/>
      <c r="C43" s="48"/>
      <c r="D43" s="251" t="inlineStr">
        <is>
          <t xml:space="preserve">Pedidos Faturados</t>
        </is>
      </c>
      <c r="E43" s="250"/>
      <c r="F43" s="250"/>
      <c r="G43" s="250"/>
      <c r="H43" s="259" t="str">
        <f>calculos_quadro!B110</f>
        <v>—</v>
      </c>
      <c r="I43" s="258"/>
      <c r="J43" s="259" t="str">
        <f>calculos_quadro!C110</f>
        <v>—</v>
      </c>
      <c r="K43" s="258"/>
      <c r="L43" s="258"/>
      <c r="M43" s="259">
        <f>calculos_quadro!D110</f>
        <v>0</v>
      </c>
      <c r="N43" s="258"/>
      <c r="O43" s="259" t="str">
        <f>calculos_quadro!E110</f>
        <v>—</v>
      </c>
      <c r="P43" s="258"/>
      <c r="Q43" s="258"/>
      <c r="R43" s="259" t="str">
        <f>calculos_quadro!F110</f>
        <v>—</v>
      </c>
      <c r="S43" s="258"/>
      <c r="T43" s="253">
        <f>calculos_quadro!K110</f>
        <v>0</v>
      </c>
      <c r="U43" s="252"/>
      <c r="V43" s="421"/>
    </row>
    <row r="44" ht="15.75" customHeight="1">
      <c r="B44" s="398"/>
      <c r="C44" s="48"/>
      <c r="D44" s="251" t="inlineStr">
        <is>
          <t xml:space="preserve">Itens Expedidos</t>
        </is>
      </c>
      <c r="E44" s="250"/>
      <c r="F44" s="250"/>
      <c r="G44" s="250"/>
      <c r="H44" s="259" t="str">
        <f>calculos_quadro!B111</f>
        <v>—</v>
      </c>
      <c r="I44" s="258"/>
      <c r="J44" s="259" t="str">
        <f>calculos_quadro!C111</f>
        <v>—</v>
      </c>
      <c r="K44" s="258"/>
      <c r="L44" s="258"/>
      <c r="M44" s="259">
        <f>calculos_quadro!D111</f>
        <v>0</v>
      </c>
      <c r="N44" s="258"/>
      <c r="O44" s="259" t="str">
        <f>calculos_quadro!E111</f>
        <v>—</v>
      </c>
      <c r="P44" s="258"/>
      <c r="Q44" s="258"/>
      <c r="R44" s="259" t="str">
        <f>calculos_quadro!F111</f>
        <v>—</v>
      </c>
      <c r="S44" s="258"/>
      <c r="T44" s="253">
        <f>calculos_quadro!K111</f>
        <v>0</v>
      </c>
      <c r="U44" s="252"/>
      <c r="V44" s="421"/>
    </row>
    <row r="45" ht="15.75" customHeight="1">
      <c r="B45" s="398"/>
      <c r="C45" s="48"/>
      <c r="D45" s="251" t="inlineStr">
        <is>
          <t xml:space="preserve">Peças Movimentadas</t>
        </is>
      </c>
      <c r="E45" s="250"/>
      <c r="F45" s="250"/>
      <c r="G45" s="250"/>
      <c r="H45" s="259" t="str">
        <f>calculos_quadro!B112</f>
        <v>—</v>
      </c>
      <c r="I45" s="258"/>
      <c r="J45" s="259" t="str">
        <f>calculos_quadro!C112</f>
        <v>—</v>
      </c>
      <c r="K45" s="258"/>
      <c r="L45" s="258"/>
      <c r="M45" s="259" t="str">
        <f>calculos_quadro!D112</f>
        <v>—</v>
      </c>
      <c r="N45" s="258"/>
      <c r="O45" s="259" t="str">
        <f>calculos_quadro!E112</f>
        <v>—</v>
      </c>
      <c r="P45" s="258"/>
      <c r="Q45" s="258"/>
      <c r="R45" s="259">
        <f>calculos_quadro!F112</f>
        <v>0</v>
      </c>
      <c r="S45" s="258"/>
      <c r="T45" s="253">
        <f>calculos_quadro!K112</f>
        <v>0</v>
      </c>
      <c r="U45" s="252"/>
      <c r="V45" s="421"/>
    </row>
    <row r="46" ht="15.75" customHeight="1">
      <c r="B46" s="399"/>
      <c r="C46" s="55"/>
      <c r="D46" s="268" t="inlineStr">
        <is>
          <t xml:space="preserve">Linhas NF</t>
        </is>
      </c>
      <c r="E46" s="267"/>
      <c r="F46" s="267"/>
      <c r="G46" s="267"/>
      <c r="H46" s="480" t="str">
        <f>calculos_quadro!B113</f>
        <v>—</v>
      </c>
      <c r="I46" s="496"/>
      <c r="J46" s="480" t="str">
        <f>calculos_quadro!C113</f>
        <v>—</v>
      </c>
      <c r="K46" s="496"/>
      <c r="L46" s="496"/>
      <c r="M46" s="480" t="str">
        <f>calculos_quadro!D113</f>
        <v>—</v>
      </c>
      <c r="N46" s="496"/>
      <c r="O46" s="480" t="str">
        <f>calculos_quadro!E113</f>
        <v>—</v>
      </c>
      <c r="P46" s="496"/>
      <c r="Q46" s="496"/>
      <c r="R46" s="480">
        <f>calculos_quadro!F113</f>
        <v>0</v>
      </c>
      <c r="S46" s="496"/>
      <c r="T46" s="495">
        <f>calculos_quadro!K113</f>
        <v>0</v>
      </c>
      <c r="U46" s="497"/>
      <c r="V46" s="498"/>
    </row>
    <row r="47" ht="15.75" customHeight="1">
      <c r="B47" s="400" t="inlineStr">
        <is>
          <t xml:space="preserve">NC</t>
        </is>
      </c>
      <c r="C47" s="61"/>
      <c r="D47" s="283" t="inlineStr">
        <is>
          <t xml:space="preserve">Incidentes</t>
        </is>
      </c>
      <c r="E47" s="282"/>
      <c r="F47" s="282"/>
      <c r="G47" s="282"/>
      <c r="H47" s="291">
        <f>calculos_quadro!B114</f>
        <v>0</v>
      </c>
      <c r="I47" s="290"/>
      <c r="J47" s="291">
        <f>calculos_quadro!C114</f>
        <v>0</v>
      </c>
      <c r="K47" s="290"/>
      <c r="L47" s="290"/>
      <c r="M47" s="291">
        <f>calculos_quadro!D114</f>
        <v>0</v>
      </c>
      <c r="N47" s="290"/>
      <c r="O47" s="291">
        <f>calculos_quadro!E114</f>
        <v>0</v>
      </c>
      <c r="P47" s="290"/>
      <c r="Q47" s="290"/>
      <c r="R47" s="291">
        <f>calculos_quadro!F114</f>
        <v>0</v>
      </c>
      <c r="S47" s="290"/>
      <c r="T47" s="285">
        <f>calculos_quadro!K114</f>
        <v>0</v>
      </c>
      <c r="U47" s="284"/>
      <c r="V47" s="425"/>
    </row>
    <row r="48" ht="15.75" customHeight="1">
      <c r="B48" s="401"/>
      <c r="C48" s="68"/>
      <c r="D48" s="300" t="inlineStr">
        <is>
          <t xml:space="preserve">No show</t>
        </is>
      </c>
      <c r="E48" s="299"/>
      <c r="F48" s="299"/>
      <c r="G48" s="299"/>
      <c r="H48" s="308">
        <f>calculos_quadro!B115</f>
        <v>0</v>
      </c>
      <c r="I48" s="307"/>
      <c r="J48" s="308">
        <f>calculos_quadro!C115</f>
        <v>0</v>
      </c>
      <c r="K48" s="307"/>
      <c r="L48" s="307"/>
      <c r="M48" s="308">
        <f>calculos_quadro!D115</f>
        <v>0</v>
      </c>
      <c r="N48" s="307"/>
      <c r="O48" s="308">
        <f>calculos_quadro!E115</f>
        <v>0</v>
      </c>
      <c r="P48" s="307"/>
      <c r="Q48" s="307"/>
      <c r="R48" s="308">
        <f>calculos_quadro!F115</f>
        <v>0</v>
      </c>
      <c r="S48" s="307"/>
      <c r="T48" s="302">
        <f>calculos_quadro!K115</f>
        <v>0</v>
      </c>
      <c r="U48" s="301"/>
      <c r="V48" s="426"/>
    </row>
    <row r="49" ht="15.75" customHeight="1">
      <c r="B49" s="402"/>
      <c r="C49" s="75"/>
      <c r="D49" s="317" t="inlineStr">
        <is>
          <t xml:space="preserve">Backlog</t>
        </is>
      </c>
      <c r="E49" s="316"/>
      <c r="F49" s="316"/>
      <c r="G49" s="316"/>
      <c r="H49" s="325" t="str">
        <f>calculos_quadro!B116</f>
        <v/>
      </c>
      <c r="I49" s="324"/>
      <c r="J49" s="325" t="str">
        <f>calculos_quadro!C116</f>
        <v/>
      </c>
      <c r="K49" s="324"/>
      <c r="L49" s="324"/>
      <c r="M49" s="325" t="str">
        <f>calculos_quadro!D116</f>
        <v/>
      </c>
      <c r="N49" s="324"/>
      <c r="O49" s="325" t="str">
        <f>calculos_quadro!E116</f>
        <v/>
      </c>
      <c r="P49" s="324"/>
      <c r="Q49" s="324"/>
      <c r="R49" s="325" t="str">
        <f>calculos_quadro!F116</f>
        <v/>
      </c>
      <c r="S49" s="324"/>
      <c r="T49" s="319" t="str">
        <f>calculos_quadro!K116</f>
        <v/>
      </c>
      <c r="U49" s="318"/>
      <c r="V49" s="427"/>
    </row>
    <row r="50" ht="15.75" customHeight="1">
      <c r="B50" s="394" t="inlineStr">
        <is>
          <t xml:space="preserve">OCUPAÇÃO (P.P)</t>
        </is>
      </c>
      <c r="C50" s="21"/>
      <c r="D50" s="185" t="inlineStr">
        <is>
          <t xml:space="preserve">Posições Disponíveis</t>
        </is>
      </c>
      <c r="E50" s="184"/>
      <c r="F50" s="184"/>
      <c r="G50" s="184"/>
      <c r="H50" s="193" t="str">
        <f>calculos_quadro!B117</f>
        <v/>
      </c>
      <c r="I50" s="192"/>
      <c r="J50" s="193" t="str">
        <f>calculos_quadro!C117</f>
        <v/>
      </c>
      <c r="K50" s="192"/>
      <c r="L50" s="192"/>
      <c r="M50" s="193" t="str">
        <f>calculos_quadro!D117</f>
        <v/>
      </c>
      <c r="N50" s="192"/>
      <c r="O50" s="193" t="str">
        <f>calculos_quadro!E117</f>
        <v/>
      </c>
      <c r="P50" s="192"/>
      <c r="Q50" s="192"/>
      <c r="R50" s="193" t="str">
        <f>calculos_quadro!F117</f>
        <v/>
      </c>
      <c r="S50" s="192"/>
      <c r="T50" s="187" t="str">
        <f>calculos_quadro!K117</f>
        <v/>
      </c>
      <c r="U50" s="186"/>
      <c r="V50" s="415"/>
    </row>
    <row r="51" ht="15.75" customHeight="1">
      <c r="B51" s="395"/>
      <c r="C51" s="28"/>
      <c r="D51" s="202" t="inlineStr">
        <is>
          <t xml:space="preserve">Posições Ocupadas</t>
        </is>
      </c>
      <c r="E51" s="201"/>
      <c r="F51" s="201"/>
      <c r="G51" s="201"/>
      <c r="H51" s="210" t="str">
        <f>calculos_quadro!B118</f>
        <v/>
      </c>
      <c r="I51" s="209"/>
      <c r="J51" s="210" t="str">
        <f>calculos_quadro!C118</f>
        <v/>
      </c>
      <c r="K51" s="209"/>
      <c r="L51" s="209"/>
      <c r="M51" s="210" t="str">
        <f>calculos_quadro!D118</f>
        <v/>
      </c>
      <c r="N51" s="209"/>
      <c r="O51" s="210" t="str">
        <f>calculos_quadro!E118</f>
        <v/>
      </c>
      <c r="P51" s="209"/>
      <c r="Q51" s="209"/>
      <c r="R51" s="210" t="str">
        <f>calculos_quadro!F118</f>
        <v/>
      </c>
      <c r="S51" s="209"/>
      <c r="T51" s="204" t="str">
        <f>calculos_quadro!K118</f>
        <v/>
      </c>
      <c r="U51" s="203"/>
      <c r="V51" s="416"/>
    </row>
    <row r="52" ht="15.75" customHeight="1">
      <c r="B52" s="396"/>
      <c r="C52" s="35"/>
      <c r="D52" s="219" t="inlineStr">
        <is>
          <t xml:space="preserve">Taxa de Ocupação</t>
        </is>
      </c>
      <c r="E52" s="218"/>
      <c r="F52" s="218"/>
      <c r="G52" s="218"/>
      <c r="H52" s="229" t="str">
        <f>calculos_quadro!B119</f>
        <v/>
      </c>
      <c r="I52" s="228"/>
      <c r="J52" s="229" t="str">
        <f>calculos_quadro!C119</f>
        <v/>
      </c>
      <c r="K52" s="228"/>
      <c r="L52" s="228"/>
      <c r="M52" s="229" t="str">
        <f>calculos_quadro!D119</f>
        <v/>
      </c>
      <c r="N52" s="228"/>
      <c r="O52" s="229" t="str">
        <f>calculos_quadro!E119</f>
        <v/>
      </c>
      <c r="P52" s="228"/>
      <c r="Q52" s="228"/>
      <c r="R52" s="229" t="str">
        <f>calculos_quadro!F119</f>
        <v/>
      </c>
      <c r="S52" s="228"/>
      <c r="T52" s="338" t="str">
        <f>calculos_quadro!K119</f>
        <v/>
      </c>
      <c r="U52" s="337"/>
      <c r="V52" s="428"/>
    </row>
    <row r="53" ht="15.75" customHeight="1">
      <c r="B53" s="403" t="inlineStr">
        <is>
          <t xml:space="preserve">GENTE</t>
        </is>
      </c>
      <c r="C53" s="85"/>
      <c r="D53" s="344" t="inlineStr">
        <is>
          <t xml:space="preserve">Efetivo</t>
        </is>
      </c>
      <c r="E53" s="343"/>
      <c r="F53" s="343"/>
      <c r="G53" s="343"/>
      <c r="H53" s="352" t="str">
        <f>calculos_quadro!B120</f>
        <v/>
      </c>
      <c r="I53" s="351"/>
      <c r="J53" s="352" t="str">
        <f>calculos_quadro!C120</f>
        <v/>
      </c>
      <c r="K53" s="351"/>
      <c r="L53" s="351"/>
      <c r="M53" s="352" t="str">
        <f>calculos_quadro!D120</f>
        <v/>
      </c>
      <c r="N53" s="351"/>
      <c r="O53" s="352" t="str">
        <f>calculos_quadro!E120</f>
        <v/>
      </c>
      <c r="P53" s="351"/>
      <c r="Q53" s="351"/>
      <c r="R53" s="352" t="str">
        <f>calculos_quadro!F120</f>
        <v/>
      </c>
      <c r="S53" s="351"/>
      <c r="T53" s="346" t="str">
        <f>calculos_quadro!K120</f>
        <v/>
      </c>
      <c r="U53" s="345"/>
      <c r="V53" s="429"/>
    </row>
    <row r="54" ht="15.75" customHeight="1">
      <c r="B54" s="404"/>
      <c r="C54" s="92"/>
      <c r="D54" s="361" t="inlineStr">
        <is>
          <t xml:space="preserve">Falta</t>
        </is>
      </c>
      <c r="E54" s="360"/>
      <c r="F54" s="360"/>
      <c r="G54" s="360"/>
      <c r="H54" s="369">
        <f>calculos_quadro!B121</f>
        <v>0</v>
      </c>
      <c r="I54" s="368"/>
      <c r="J54" s="369">
        <f>calculos_quadro!C121</f>
        <v>0</v>
      </c>
      <c r="K54" s="368"/>
      <c r="L54" s="368"/>
      <c r="M54" s="369">
        <f>calculos_quadro!D121</f>
        <v>0</v>
      </c>
      <c r="N54" s="368"/>
      <c r="O54" s="369">
        <f>calculos_quadro!E121</f>
        <v>0</v>
      </c>
      <c r="P54" s="368"/>
      <c r="Q54" s="368"/>
      <c r="R54" s="369">
        <f>calculos_quadro!F121</f>
        <v>0</v>
      </c>
      <c r="S54" s="368"/>
      <c r="T54" s="363">
        <f>calculos_quadro!K121</f>
        <v>0</v>
      </c>
      <c r="U54" s="362"/>
      <c r="V54" s="430"/>
    </row>
    <row r="55" ht="15.75" customHeight="1">
      <c r="B55" s="404"/>
      <c r="C55" s="92"/>
      <c r="D55" s="361" t="inlineStr">
        <is>
          <t xml:space="preserve">Folga</t>
        </is>
      </c>
      <c r="E55" s="360"/>
      <c r="F55" s="360"/>
      <c r="G55" s="360"/>
      <c r="H55" s="369">
        <f>calculos_quadro!B122</f>
        <v>0</v>
      </c>
      <c r="I55" s="368"/>
      <c r="J55" s="369">
        <f>calculos_quadro!C122</f>
        <v>0</v>
      </c>
      <c r="K55" s="368"/>
      <c r="L55" s="368"/>
      <c r="M55" s="369">
        <f>calculos_quadro!D122</f>
        <v>0</v>
      </c>
      <c r="N55" s="368"/>
      <c r="O55" s="369">
        <f>calculos_quadro!E122</f>
        <v>0</v>
      </c>
      <c r="P55" s="368"/>
      <c r="Q55" s="368"/>
      <c r="R55" s="369">
        <f>calculos_quadro!F122</f>
        <v>0</v>
      </c>
      <c r="S55" s="368"/>
      <c r="T55" s="363">
        <f>calculos_quadro!K122</f>
        <v>0</v>
      </c>
      <c r="U55" s="362"/>
      <c r="V55" s="430"/>
    </row>
    <row r="56" ht="15.75" customHeight="1">
      <c r="B56" s="404"/>
      <c r="C56" s="92"/>
      <c r="D56" s="361" t="inlineStr">
        <is>
          <t xml:space="preserve">Férias</t>
        </is>
      </c>
      <c r="E56" s="360"/>
      <c r="F56" s="360"/>
      <c r="G56" s="360"/>
      <c r="H56" s="369">
        <f>calculos_quadro!B123</f>
        <v>0</v>
      </c>
      <c r="I56" s="368"/>
      <c r="J56" s="369">
        <f>calculos_quadro!C123</f>
        <v>0</v>
      </c>
      <c r="K56" s="368"/>
      <c r="L56" s="368"/>
      <c r="M56" s="369">
        <f>calculos_quadro!D123</f>
        <v>0</v>
      </c>
      <c r="N56" s="368"/>
      <c r="O56" s="369">
        <f>calculos_quadro!E123</f>
        <v>0</v>
      </c>
      <c r="P56" s="368"/>
      <c r="Q56" s="368"/>
      <c r="R56" s="369">
        <f>calculos_quadro!F123</f>
        <v>0</v>
      </c>
      <c r="S56" s="368"/>
      <c r="T56" s="363">
        <f>calculos_quadro!K123</f>
        <v>0</v>
      </c>
      <c r="U56" s="362"/>
      <c r="V56" s="430"/>
    </row>
    <row r="57" ht="15.75" customHeight="1">
      <c r="B57" s="405"/>
      <c r="C57" s="99"/>
      <c r="D57" s="378" t="inlineStr">
        <is>
          <t xml:space="preserve">Desligamentos</t>
        </is>
      </c>
      <c r="E57" s="377"/>
      <c r="F57" s="377"/>
      <c r="G57" s="377"/>
      <c r="H57" s="386">
        <f>calculos_quadro!B124</f>
        <v>0</v>
      </c>
      <c r="I57" s="385"/>
      <c r="J57" s="386">
        <f>calculos_quadro!C124</f>
        <v>0</v>
      </c>
      <c r="K57" s="385"/>
      <c r="L57" s="385"/>
      <c r="M57" s="386">
        <f>calculos_quadro!D124</f>
        <v>0</v>
      </c>
      <c r="N57" s="385"/>
      <c r="O57" s="386">
        <f>calculos_quadro!E124</f>
        <v>0</v>
      </c>
      <c r="P57" s="385"/>
      <c r="Q57" s="385"/>
      <c r="R57" s="386">
        <f>calculos_quadro!F124</f>
        <v>0</v>
      </c>
      <c r="S57" s="385"/>
      <c r="T57" s="380">
        <f>calculos_quadro!K124</f>
        <v>0</v>
      </c>
      <c r="U57" s="379"/>
      <c r="V57" s="431"/>
    </row>
    <row r="59" ht="20" customHeight="1">
      <c r="B59" s="177" t="inlineStr">
        <is>
          <t xml:space="preserve">RESUMO POR CLIENTE · mês inteiro (2/2) · "—" = indicador não usado pelo cliente</t>
        </is>
      </c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ht="30" customHeight="1">
      <c r="B60" s="406" t="inlineStr">
        <is>
          <t xml:space="preserve">GRUPO</t>
        </is>
      </c>
      <c r="C60" s="407"/>
      <c r="D60" s="406" t="inlineStr">
        <is>
          <t xml:space="preserve">INDICADOR</t>
        </is>
      </c>
      <c r="E60" s="408"/>
      <c r="F60" s="408"/>
      <c r="G60" s="407"/>
      <c r="H60" s="409" t="inlineStr">
        <is>
          <t xml:space="preserve">VESTAS</t>
        </is>
      </c>
      <c r="I60" s="410"/>
      <c r="J60" s="409" t="inlineStr">
        <is>
          <t xml:space="preserve">VEDACIT</t>
        </is>
      </c>
      <c r="K60" s="411"/>
      <c r="L60" s="410"/>
      <c r="M60" s="409" t="inlineStr">
        <is>
          <t xml:space="preserve">OMNLIFE</t>
        </is>
      </c>
      <c r="N60" s="410"/>
      <c r="O60" s="409" t="inlineStr">
        <is>
          <t xml:space="preserve">ALPARGATAS</t>
        </is>
      </c>
      <c r="P60" s="411"/>
      <c r="Q60" s="410"/>
      <c r="R60" s="409"/>
      <c r="S60" s="410"/>
      <c r="T60" s="412" t="inlineStr">
        <is>
          <t xml:space="preserve">TOTAL CD</t>
        </is>
      </c>
      <c r="U60" s="413"/>
      <c r="V60" s="414"/>
    </row>
    <row r="61" ht="15.75" customHeight="1">
      <c r="B61" s="394" t="inlineStr">
        <is>
          <t xml:space="preserve">IN</t>
        </is>
      </c>
      <c r="C61" s="21"/>
      <c r="D61" s="185" t="inlineStr">
        <is>
          <t xml:space="preserve">Veículos Recebidos</t>
        </is>
      </c>
      <c r="E61" s="184"/>
      <c r="F61" s="184"/>
      <c r="G61" s="184"/>
      <c r="H61" s="193">
        <f>calculos_quadro!G96</f>
        <v>0</v>
      </c>
      <c r="I61" s="192"/>
      <c r="J61" s="193">
        <f>calculos_quadro!H96</f>
        <v>0</v>
      </c>
      <c r="K61" s="192"/>
      <c r="L61" s="192"/>
      <c r="M61" s="193">
        <f>calculos_quadro!I96</f>
        <v>0</v>
      </c>
      <c r="N61" s="192"/>
      <c r="O61" s="193">
        <f>calculos_quadro!J96</f>
        <v>0</v>
      </c>
      <c r="P61" s="192"/>
      <c r="Q61" s="192"/>
      <c r="R61" s="193"/>
      <c r="S61" s="192"/>
      <c r="T61" s="187">
        <f>calculos_quadro!K96</f>
        <v>0</v>
      </c>
      <c r="U61" s="186"/>
      <c r="V61" s="415"/>
    </row>
    <row r="62" ht="15.75" customHeight="1">
      <c r="B62" s="395"/>
      <c r="C62" s="28"/>
      <c r="D62" s="202" t="inlineStr">
        <is>
          <t xml:space="preserve">Pallets Movimentados</t>
        </is>
      </c>
      <c r="E62" s="201"/>
      <c r="F62" s="201"/>
      <c r="G62" s="201"/>
      <c r="H62" s="210" t="str">
        <f>calculos_quadro!G97</f>
        <v>—</v>
      </c>
      <c r="I62" s="209"/>
      <c r="J62" s="210">
        <f>calculos_quadro!H97</f>
        <v>0</v>
      </c>
      <c r="K62" s="209"/>
      <c r="L62" s="209"/>
      <c r="M62" s="210">
        <f>calculos_quadro!I97</f>
        <v>0</v>
      </c>
      <c r="N62" s="209"/>
      <c r="O62" s="210" t="str">
        <f>calculos_quadro!J97</f>
        <v>—</v>
      </c>
      <c r="P62" s="209"/>
      <c r="Q62" s="209"/>
      <c r="R62" s="210"/>
      <c r="S62" s="209"/>
      <c r="T62" s="204">
        <f>calculos_quadro!K97</f>
        <v>0</v>
      </c>
      <c r="U62" s="203"/>
      <c r="V62" s="416"/>
    </row>
    <row r="63" ht="15.75" customHeight="1">
      <c r="B63" s="395"/>
      <c r="C63" s="28"/>
      <c r="D63" s="202" t="inlineStr">
        <is>
          <t xml:space="preserve">Caixas Movimentadas</t>
        </is>
      </c>
      <c r="E63" s="201"/>
      <c r="F63" s="201"/>
      <c r="G63" s="201"/>
      <c r="H63" s="210" t="str">
        <f>calculos_quadro!G99</f>
        <v>—</v>
      </c>
      <c r="I63" s="209"/>
      <c r="J63" s="210" t="str">
        <f>calculos_quadro!H99</f>
        <v>—</v>
      </c>
      <c r="K63" s="209"/>
      <c r="L63" s="209"/>
      <c r="M63" s="210" t="str">
        <f>calculos_quadro!I99</f>
        <v>—</v>
      </c>
      <c r="N63" s="209"/>
      <c r="O63" s="210">
        <f>calculos_quadro!J99</f>
        <v>0</v>
      </c>
      <c r="P63" s="209"/>
      <c r="Q63" s="209"/>
      <c r="R63" s="210"/>
      <c r="S63" s="209"/>
      <c r="T63" s="204">
        <f>calculos_quadro!K99</f>
        <v>0</v>
      </c>
      <c r="U63" s="203"/>
      <c r="V63" s="416"/>
    </row>
    <row r="64" ht="15.75" customHeight="1">
      <c r="B64" s="396"/>
      <c r="C64" s="35"/>
      <c r="D64" s="219" t="inlineStr">
        <is>
          <t xml:space="preserve">Linhas NF</t>
        </is>
      </c>
      <c r="E64" s="218"/>
      <c r="F64" s="218"/>
      <c r="G64" s="218"/>
      <c r="H64" s="478">
        <f>calculos_quadro!G104</f>
        <v>0</v>
      </c>
      <c r="I64" s="487"/>
      <c r="J64" s="478" t="str">
        <f>calculos_quadro!H104</f>
        <v>—</v>
      </c>
      <c r="K64" s="487"/>
      <c r="L64" s="487"/>
      <c r="M64" s="478" t="str">
        <f>calculos_quadro!I104</f>
        <v>—</v>
      </c>
      <c r="N64" s="487"/>
      <c r="O64" s="478" t="str">
        <f>calculos_quadro!J104</f>
        <v>—</v>
      </c>
      <c r="P64" s="487"/>
      <c r="Q64" s="487"/>
      <c r="R64" s="478"/>
      <c r="S64" s="487"/>
      <c r="T64" s="486">
        <f>calculos_quadro!K104</f>
        <v>0</v>
      </c>
      <c r="U64" s="488"/>
      <c r="V64" s="489"/>
    </row>
    <row r="65" ht="15.75" customHeight="1">
      <c r="B65" s="397" t="inlineStr">
        <is>
          <t xml:space="preserve">OUT</t>
        </is>
      </c>
      <c r="C65" s="41"/>
      <c r="D65" s="234" t="inlineStr">
        <is>
          <t xml:space="preserve">Veículos Expedidos</t>
        </is>
      </c>
      <c r="E65" s="233"/>
      <c r="F65" s="233"/>
      <c r="G65" s="233"/>
      <c r="H65" s="242">
        <f>calculos_quadro!G105</f>
        <v>0</v>
      </c>
      <c r="I65" s="241"/>
      <c r="J65" s="242">
        <f>calculos_quadro!H105</f>
        <v>0</v>
      </c>
      <c r="K65" s="241"/>
      <c r="L65" s="241"/>
      <c r="M65" s="242">
        <f>calculos_quadro!I105</f>
        <v>0</v>
      </c>
      <c r="N65" s="241"/>
      <c r="O65" s="242">
        <f>calculos_quadro!J105</f>
        <v>0</v>
      </c>
      <c r="P65" s="241"/>
      <c r="Q65" s="241"/>
      <c r="R65" s="242"/>
      <c r="S65" s="241"/>
      <c r="T65" s="236">
        <f>calculos_quadro!K105</f>
        <v>0</v>
      </c>
      <c r="U65" s="235"/>
      <c r="V65" s="420"/>
    </row>
    <row r="66" ht="15.75" customHeight="1">
      <c r="B66" s="398"/>
      <c r="C66" s="48"/>
      <c r="D66" s="251" t="inlineStr">
        <is>
          <t xml:space="preserve">Pallets Movimentados</t>
        </is>
      </c>
      <c r="E66" s="250"/>
      <c r="F66" s="250"/>
      <c r="G66" s="250"/>
      <c r="H66" s="259" t="str">
        <f>calculos_quadro!G106</f>
        <v>—</v>
      </c>
      <c r="I66" s="258"/>
      <c r="J66" s="259">
        <f>calculos_quadro!H106</f>
        <v>0</v>
      </c>
      <c r="K66" s="258"/>
      <c r="L66" s="258"/>
      <c r="M66" s="259">
        <f>calculos_quadro!I106</f>
        <v>0</v>
      </c>
      <c r="N66" s="258"/>
      <c r="O66" s="259" t="str">
        <f>calculos_quadro!J106</f>
        <v>—</v>
      </c>
      <c r="P66" s="258"/>
      <c r="Q66" s="258"/>
      <c r="R66" s="259"/>
      <c r="S66" s="258"/>
      <c r="T66" s="253">
        <f>calculos_quadro!K106</f>
        <v>0</v>
      </c>
      <c r="U66" s="252"/>
      <c r="V66" s="421"/>
    </row>
    <row r="67" ht="15.75" customHeight="1">
      <c r="B67" s="398"/>
      <c r="C67" s="48"/>
      <c r="D67" s="251" t="inlineStr">
        <is>
          <t xml:space="preserve">Caixas Expedidas</t>
        </is>
      </c>
      <c r="E67" s="250"/>
      <c r="F67" s="250"/>
      <c r="G67" s="250"/>
      <c r="H67" s="259" t="str">
        <f>calculos_quadro!G108</f>
        <v>—</v>
      </c>
      <c r="I67" s="258"/>
      <c r="J67" s="259" t="str">
        <f>calculos_quadro!H108</f>
        <v>—</v>
      </c>
      <c r="K67" s="258"/>
      <c r="L67" s="258"/>
      <c r="M67" s="259" t="str">
        <f>calculos_quadro!I108</f>
        <v>—</v>
      </c>
      <c r="N67" s="258"/>
      <c r="O67" s="259">
        <f>calculos_quadro!J108</f>
        <v>0</v>
      </c>
      <c r="P67" s="258"/>
      <c r="Q67" s="258"/>
      <c r="R67" s="259"/>
      <c r="S67" s="258"/>
      <c r="T67" s="253">
        <f>calculos_quadro!K108</f>
        <v>0</v>
      </c>
      <c r="U67" s="252"/>
      <c r="V67" s="421"/>
    </row>
    <row r="68" ht="15.75" customHeight="1">
      <c r="B68" s="399"/>
      <c r="C68" s="55"/>
      <c r="D68" s="268" t="inlineStr">
        <is>
          <t xml:space="preserve">Linhas NF</t>
        </is>
      </c>
      <c r="E68" s="267"/>
      <c r="F68" s="267"/>
      <c r="G68" s="267"/>
      <c r="H68" s="480">
        <f>calculos_quadro!G113</f>
        <v>0</v>
      </c>
      <c r="I68" s="496"/>
      <c r="J68" s="480" t="str">
        <f>calculos_quadro!H113</f>
        <v>—</v>
      </c>
      <c r="K68" s="496"/>
      <c r="L68" s="496"/>
      <c r="M68" s="480" t="str">
        <f>calculos_quadro!I113</f>
        <v>—</v>
      </c>
      <c r="N68" s="496"/>
      <c r="O68" s="480" t="str">
        <f>calculos_quadro!J113</f>
        <v>—</v>
      </c>
      <c r="P68" s="496"/>
      <c r="Q68" s="496"/>
      <c r="R68" s="480"/>
      <c r="S68" s="496"/>
      <c r="T68" s="495">
        <f>calculos_quadro!K113</f>
        <v>0</v>
      </c>
      <c r="U68" s="497"/>
      <c r="V68" s="498"/>
    </row>
    <row r="69" ht="15.75" customHeight="1">
      <c r="B69" s="400" t="inlineStr">
        <is>
          <t xml:space="preserve">NC</t>
        </is>
      </c>
      <c r="C69" s="61"/>
      <c r="D69" s="283" t="inlineStr">
        <is>
          <t xml:space="preserve">Incidentes</t>
        </is>
      </c>
      <c r="E69" s="282"/>
      <c r="F69" s="282"/>
      <c r="G69" s="282"/>
      <c r="H69" s="291">
        <f>calculos_quadro!G114</f>
        <v>0</v>
      </c>
      <c r="I69" s="290"/>
      <c r="J69" s="291">
        <f>calculos_quadro!H114</f>
        <v>0</v>
      </c>
      <c r="K69" s="290"/>
      <c r="L69" s="290"/>
      <c r="M69" s="291">
        <f>calculos_quadro!I114</f>
        <v>0</v>
      </c>
      <c r="N69" s="290"/>
      <c r="O69" s="291">
        <f>calculos_quadro!J114</f>
        <v>0</v>
      </c>
      <c r="P69" s="290"/>
      <c r="Q69" s="290"/>
      <c r="R69" s="291"/>
      <c r="S69" s="290"/>
      <c r="T69" s="285">
        <f>calculos_quadro!K114</f>
        <v>0</v>
      </c>
      <c r="U69" s="284"/>
      <c r="V69" s="425"/>
    </row>
    <row r="70" ht="15.75" customHeight="1">
      <c r="B70" s="401"/>
      <c r="C70" s="68"/>
      <c r="D70" s="300" t="inlineStr">
        <is>
          <t xml:space="preserve">No show</t>
        </is>
      </c>
      <c r="E70" s="299"/>
      <c r="F70" s="299"/>
      <c r="G70" s="299"/>
      <c r="H70" s="308">
        <f>calculos_quadro!G115</f>
        <v>0</v>
      </c>
      <c r="I70" s="307"/>
      <c r="J70" s="308">
        <f>calculos_quadro!H115</f>
        <v>0</v>
      </c>
      <c r="K70" s="307"/>
      <c r="L70" s="307"/>
      <c r="M70" s="308">
        <f>calculos_quadro!I115</f>
        <v>0</v>
      </c>
      <c r="N70" s="307"/>
      <c r="O70" s="308">
        <f>calculos_quadro!J115</f>
        <v>0</v>
      </c>
      <c r="P70" s="307"/>
      <c r="Q70" s="307"/>
      <c r="R70" s="308"/>
      <c r="S70" s="307"/>
      <c r="T70" s="302">
        <f>calculos_quadro!K115</f>
        <v>0</v>
      </c>
      <c r="U70" s="301"/>
      <c r="V70" s="426"/>
    </row>
    <row r="71" ht="15.75" customHeight="1">
      <c r="B71" s="402"/>
      <c r="C71" s="75"/>
      <c r="D71" s="317" t="inlineStr">
        <is>
          <t xml:space="preserve">Backlog</t>
        </is>
      </c>
      <c r="E71" s="316"/>
      <c r="F71" s="316"/>
      <c r="G71" s="316"/>
      <c r="H71" s="325" t="str">
        <f>calculos_quadro!G116</f>
        <v/>
      </c>
      <c r="I71" s="324"/>
      <c r="J71" s="325" t="str">
        <f>calculos_quadro!H116</f>
        <v/>
      </c>
      <c r="K71" s="324"/>
      <c r="L71" s="324"/>
      <c r="M71" s="325" t="str">
        <f>calculos_quadro!I116</f>
        <v/>
      </c>
      <c r="N71" s="324"/>
      <c r="O71" s="325" t="str">
        <f>calculos_quadro!J116</f>
        <v/>
      </c>
      <c r="P71" s="324"/>
      <c r="Q71" s="324"/>
      <c r="R71" s="325"/>
      <c r="S71" s="324"/>
      <c r="T71" s="319" t="str">
        <f>calculos_quadro!K116</f>
        <v/>
      </c>
      <c r="U71" s="318"/>
      <c r="V71" s="427"/>
    </row>
    <row r="72" ht="15.75" customHeight="1">
      <c r="B72" s="394" t="inlineStr">
        <is>
          <t xml:space="preserve">OCUPAÇÃO (P.P)</t>
        </is>
      </c>
      <c r="C72" s="21"/>
      <c r="D72" s="185" t="inlineStr">
        <is>
          <t xml:space="preserve">Posições Disponíveis</t>
        </is>
      </c>
      <c r="E72" s="184"/>
      <c r="F72" s="184"/>
      <c r="G72" s="184"/>
      <c r="H72" s="193" t="str">
        <f>calculos_quadro!G117</f>
        <v/>
      </c>
      <c r="I72" s="192"/>
      <c r="J72" s="193" t="str">
        <f>calculos_quadro!H117</f>
        <v/>
      </c>
      <c r="K72" s="192"/>
      <c r="L72" s="192"/>
      <c r="M72" s="193" t="str">
        <f>calculos_quadro!I117</f>
        <v/>
      </c>
      <c r="N72" s="192"/>
      <c r="O72" s="193" t="str">
        <f>calculos_quadro!J117</f>
        <v/>
      </c>
      <c r="P72" s="192"/>
      <c r="Q72" s="192"/>
      <c r="R72" s="193"/>
      <c r="S72" s="192"/>
      <c r="T72" s="187" t="str">
        <f>calculos_quadro!K117</f>
        <v/>
      </c>
      <c r="U72" s="186"/>
      <c r="V72" s="415"/>
    </row>
    <row r="73" ht="15.75" customHeight="1">
      <c r="B73" s="395"/>
      <c r="C73" s="28"/>
      <c r="D73" s="202" t="inlineStr">
        <is>
          <t xml:space="preserve">Posições Ocupadas</t>
        </is>
      </c>
      <c r="E73" s="201"/>
      <c r="F73" s="201"/>
      <c r="G73" s="201"/>
      <c r="H73" s="210" t="str">
        <f>calculos_quadro!G118</f>
        <v/>
      </c>
      <c r="I73" s="209"/>
      <c r="J73" s="210" t="str">
        <f>calculos_quadro!H118</f>
        <v/>
      </c>
      <c r="K73" s="209"/>
      <c r="L73" s="209"/>
      <c r="M73" s="210" t="str">
        <f>calculos_quadro!I118</f>
        <v/>
      </c>
      <c r="N73" s="209"/>
      <c r="O73" s="210" t="str">
        <f>calculos_quadro!J118</f>
        <v/>
      </c>
      <c r="P73" s="209"/>
      <c r="Q73" s="209"/>
      <c r="R73" s="210"/>
      <c r="S73" s="209"/>
      <c r="T73" s="204" t="str">
        <f>calculos_quadro!K118</f>
        <v/>
      </c>
      <c r="U73" s="203"/>
      <c r="V73" s="416"/>
    </row>
    <row r="74" ht="15.75" customHeight="1">
      <c r="B74" s="396"/>
      <c r="C74" s="35"/>
      <c r="D74" s="219" t="inlineStr">
        <is>
          <t xml:space="preserve">Taxa de Ocupação</t>
        </is>
      </c>
      <c r="E74" s="218"/>
      <c r="F74" s="218"/>
      <c r="G74" s="218"/>
      <c r="H74" s="229" t="str">
        <f>calculos_quadro!G119</f>
        <v/>
      </c>
      <c r="I74" s="228"/>
      <c r="J74" s="229" t="str">
        <f>calculos_quadro!H119</f>
        <v/>
      </c>
      <c r="K74" s="228"/>
      <c r="L74" s="228"/>
      <c r="M74" s="229" t="str">
        <f>calculos_quadro!I119</f>
        <v/>
      </c>
      <c r="N74" s="228"/>
      <c r="O74" s="229" t="str">
        <f>calculos_quadro!J119</f>
        <v/>
      </c>
      <c r="P74" s="228"/>
      <c r="Q74" s="228"/>
      <c r="R74" s="229"/>
      <c r="S74" s="228"/>
      <c r="T74" s="338" t="str">
        <f>calculos_quadro!K119</f>
        <v/>
      </c>
      <c r="U74" s="337"/>
      <c r="V74" s="428"/>
    </row>
    <row r="75" ht="15.75" customHeight="1">
      <c r="B75" s="403" t="inlineStr">
        <is>
          <t xml:space="preserve">GENTE</t>
        </is>
      </c>
      <c r="C75" s="85"/>
      <c r="D75" s="344" t="inlineStr">
        <is>
          <t xml:space="preserve">Efetivo</t>
        </is>
      </c>
      <c r="E75" s="343"/>
      <c r="F75" s="343"/>
      <c r="G75" s="343"/>
      <c r="H75" s="352" t="str">
        <f>calculos_quadro!G120</f>
        <v/>
      </c>
      <c r="I75" s="351"/>
      <c r="J75" s="352" t="str">
        <f>calculos_quadro!H120</f>
        <v/>
      </c>
      <c r="K75" s="351"/>
      <c r="L75" s="351"/>
      <c r="M75" s="352" t="str">
        <f>calculos_quadro!I120</f>
        <v/>
      </c>
      <c r="N75" s="351"/>
      <c r="O75" s="352" t="str">
        <f>calculos_quadro!J120</f>
        <v/>
      </c>
      <c r="P75" s="351"/>
      <c r="Q75" s="351"/>
      <c r="R75" s="352"/>
      <c r="S75" s="351"/>
      <c r="T75" s="346" t="str">
        <f>calculos_quadro!K120</f>
        <v/>
      </c>
      <c r="U75" s="345"/>
      <c r="V75" s="429"/>
    </row>
    <row r="76" ht="15.75" customHeight="1">
      <c r="B76" s="404"/>
      <c r="C76" s="92"/>
      <c r="D76" s="361" t="inlineStr">
        <is>
          <t xml:space="preserve">Falta</t>
        </is>
      </c>
      <c r="E76" s="360"/>
      <c r="F76" s="360"/>
      <c r="G76" s="360"/>
      <c r="H76" s="369">
        <f>calculos_quadro!G121</f>
        <v>0</v>
      </c>
      <c r="I76" s="368"/>
      <c r="J76" s="369">
        <f>calculos_quadro!H121</f>
        <v>0</v>
      </c>
      <c r="K76" s="368"/>
      <c r="L76" s="368"/>
      <c r="M76" s="369">
        <f>calculos_quadro!I121</f>
        <v>0</v>
      </c>
      <c r="N76" s="368"/>
      <c r="O76" s="369">
        <f>calculos_quadro!J121</f>
        <v>0</v>
      </c>
      <c r="P76" s="368"/>
      <c r="Q76" s="368"/>
      <c r="R76" s="369"/>
      <c r="S76" s="368"/>
      <c r="T76" s="363">
        <f>calculos_quadro!K121</f>
        <v>0</v>
      </c>
      <c r="U76" s="362"/>
      <c r="V76" s="430"/>
    </row>
    <row r="77" ht="15.75" customHeight="1">
      <c r="B77" s="404"/>
      <c r="C77" s="92"/>
      <c r="D77" s="361" t="inlineStr">
        <is>
          <t xml:space="preserve">Folga</t>
        </is>
      </c>
      <c r="E77" s="360"/>
      <c r="F77" s="360"/>
      <c r="G77" s="360"/>
      <c r="H77" s="369">
        <f>calculos_quadro!G122</f>
        <v>0</v>
      </c>
      <c r="I77" s="368"/>
      <c r="J77" s="369">
        <f>calculos_quadro!H122</f>
        <v>0</v>
      </c>
      <c r="K77" s="368"/>
      <c r="L77" s="368"/>
      <c r="M77" s="369">
        <f>calculos_quadro!I122</f>
        <v>0</v>
      </c>
      <c r="N77" s="368"/>
      <c r="O77" s="369">
        <f>calculos_quadro!J122</f>
        <v>0</v>
      </c>
      <c r="P77" s="368"/>
      <c r="Q77" s="368"/>
      <c r="R77" s="369"/>
      <c r="S77" s="368"/>
      <c r="T77" s="363">
        <f>calculos_quadro!K122</f>
        <v>0</v>
      </c>
      <c r="U77" s="362"/>
      <c r="V77" s="430"/>
    </row>
    <row r="78" ht="15.75" customHeight="1">
      <c r="B78" s="404"/>
      <c r="C78" s="92"/>
      <c r="D78" s="361" t="inlineStr">
        <is>
          <t xml:space="preserve">Férias</t>
        </is>
      </c>
      <c r="E78" s="360"/>
      <c r="F78" s="360"/>
      <c r="G78" s="360"/>
      <c r="H78" s="369">
        <f>calculos_quadro!G123</f>
        <v>0</v>
      </c>
      <c r="I78" s="368"/>
      <c r="J78" s="369">
        <f>calculos_quadro!H123</f>
        <v>0</v>
      </c>
      <c r="K78" s="368"/>
      <c r="L78" s="368"/>
      <c r="M78" s="369">
        <f>calculos_quadro!I123</f>
        <v>0</v>
      </c>
      <c r="N78" s="368"/>
      <c r="O78" s="369">
        <f>calculos_quadro!J123</f>
        <v>0</v>
      </c>
      <c r="P78" s="368"/>
      <c r="Q78" s="368"/>
      <c r="R78" s="369"/>
      <c r="S78" s="368"/>
      <c r="T78" s="363">
        <f>calculos_quadro!K123</f>
        <v>0</v>
      </c>
      <c r="U78" s="362"/>
      <c r="V78" s="430"/>
    </row>
    <row r="79" ht="15.75" customHeight="1">
      <c r="B79" s="405"/>
      <c r="C79" s="99"/>
      <c r="D79" s="378" t="inlineStr">
        <is>
          <t xml:space="preserve">Desligamentos</t>
        </is>
      </c>
      <c r="E79" s="377"/>
      <c r="F79" s="377"/>
      <c r="G79" s="377"/>
      <c r="H79" s="386">
        <f>calculos_quadro!G124</f>
        <v>0</v>
      </c>
      <c r="I79" s="385"/>
      <c r="J79" s="386">
        <f>calculos_quadro!H124</f>
        <v>0</v>
      </c>
      <c r="K79" s="385"/>
      <c r="L79" s="385"/>
      <c r="M79" s="386">
        <f>calculos_quadro!I124</f>
        <v>0</v>
      </c>
      <c r="N79" s="385"/>
      <c r="O79" s="386">
        <f>calculos_quadro!J124</f>
        <v>0</v>
      </c>
      <c r="P79" s="385"/>
      <c r="Q79" s="385"/>
      <c r="R79" s="386"/>
      <c r="S79" s="385"/>
      <c r="T79" s="380">
        <f>calculos_quadro!K124</f>
        <v>0</v>
      </c>
      <c r="U79" s="379"/>
      <c r="V79" s="431"/>
    </row>
    <row r="80">
      <c r="B80" s="120" t="inlineStr">
        <is>
          <t xml:space="preserve">Fluxos: soma do mês · Estoques (backlog, posições, efetivo): último dado do mês · TOTAL CD: soma dos clientes (posições disponíveis = capacidade do CD, se informada na aba calculos); taxa = ocupadas ÷ disponíveis.</t>
        </is>
      </c>
    </row>
  </sheetData>
  <mergeCells count="548">
    <mergeCell ref="E1:U1"/>
    <mergeCell ref="V1:AA1"/>
    <mergeCell ref="B3:N3"/>
    <mergeCell ref="Q3:Z3"/>
    <mergeCell ref="B5:Z5"/>
    <mergeCell ref="B6:C6"/>
    <mergeCell ref="D6:G6"/>
    <mergeCell ref="H6:I6"/>
    <mergeCell ref="J6:L6"/>
    <mergeCell ref="M6:N6"/>
    <mergeCell ref="O6:Q6"/>
    <mergeCell ref="R6:S6"/>
    <mergeCell ref="T6:V6"/>
    <mergeCell ref="W6:X6"/>
    <mergeCell ref="Y6:Z6"/>
    <mergeCell ref="D7:G7"/>
    <mergeCell ref="H7:I7"/>
    <mergeCell ref="J7:L7"/>
    <mergeCell ref="M7:N7"/>
    <mergeCell ref="O7:Q7"/>
    <mergeCell ref="R7:S7"/>
    <mergeCell ref="T7:V7"/>
    <mergeCell ref="W7:X7"/>
    <mergeCell ref="Y7:Z7"/>
    <mergeCell ref="D8:G8"/>
    <mergeCell ref="H8:I8"/>
    <mergeCell ref="J8:L8"/>
    <mergeCell ref="M8:N8"/>
    <mergeCell ref="O8:Q8"/>
    <mergeCell ref="R8:S8"/>
    <mergeCell ref="T8:V8"/>
    <mergeCell ref="W8:X8"/>
    <mergeCell ref="Y8:Z8"/>
    <mergeCell ref="D9:G9"/>
    <mergeCell ref="H9:I9"/>
    <mergeCell ref="J9:L9"/>
    <mergeCell ref="M9:N9"/>
    <mergeCell ref="O9:Q9"/>
    <mergeCell ref="R9:S9"/>
    <mergeCell ref="T9:V9"/>
    <mergeCell ref="W9:X9"/>
    <mergeCell ref="Y9:Z9"/>
    <mergeCell ref="D10:G10"/>
    <mergeCell ref="H10:I10"/>
    <mergeCell ref="J10:L10"/>
    <mergeCell ref="M10:N10"/>
    <mergeCell ref="O10:Q10"/>
    <mergeCell ref="R10:S10"/>
    <mergeCell ref="T10:V10"/>
    <mergeCell ref="W10:X10"/>
    <mergeCell ref="Y10:Z10"/>
    <mergeCell ref="B7:C10"/>
    <mergeCell ref="D11:G11"/>
    <mergeCell ref="H11:I11"/>
    <mergeCell ref="J11:L11"/>
    <mergeCell ref="M11:N11"/>
    <mergeCell ref="O11:Q11"/>
    <mergeCell ref="R11:S11"/>
    <mergeCell ref="T11:V11"/>
    <mergeCell ref="W11:X11"/>
    <mergeCell ref="Y11:Z11"/>
    <mergeCell ref="D12:G12"/>
    <mergeCell ref="H12:I12"/>
    <mergeCell ref="J12:L12"/>
    <mergeCell ref="M12:N12"/>
    <mergeCell ref="O12:Q12"/>
    <mergeCell ref="R12:S12"/>
    <mergeCell ref="T12:V12"/>
    <mergeCell ref="W12:X12"/>
    <mergeCell ref="Y12:Z12"/>
    <mergeCell ref="D13:G13"/>
    <mergeCell ref="H13:I13"/>
    <mergeCell ref="J13:L13"/>
    <mergeCell ref="M13:N13"/>
    <mergeCell ref="O13:Q13"/>
    <mergeCell ref="R13:S13"/>
    <mergeCell ref="T13:V13"/>
    <mergeCell ref="W13:X13"/>
    <mergeCell ref="Y13:Z13"/>
    <mergeCell ref="D14:G14"/>
    <mergeCell ref="H14:I14"/>
    <mergeCell ref="J14:L14"/>
    <mergeCell ref="M14:N14"/>
    <mergeCell ref="O14:Q14"/>
    <mergeCell ref="R14:S14"/>
    <mergeCell ref="T14:V14"/>
    <mergeCell ref="W14:X14"/>
    <mergeCell ref="Y14:Z14"/>
    <mergeCell ref="B11:C14"/>
    <mergeCell ref="D15:G15"/>
    <mergeCell ref="H15:I15"/>
    <mergeCell ref="J15:L15"/>
    <mergeCell ref="M15:N15"/>
    <mergeCell ref="O15:Q15"/>
    <mergeCell ref="R15:S15"/>
    <mergeCell ref="T15:V15"/>
    <mergeCell ref="W15:X15"/>
    <mergeCell ref="Y15:Z15"/>
    <mergeCell ref="D16:G16"/>
    <mergeCell ref="H16:I16"/>
    <mergeCell ref="J16:L16"/>
    <mergeCell ref="M16:N16"/>
    <mergeCell ref="O16:Q16"/>
    <mergeCell ref="R16:S16"/>
    <mergeCell ref="T16:V16"/>
    <mergeCell ref="W16:X16"/>
    <mergeCell ref="Y16:Z16"/>
    <mergeCell ref="D17:G17"/>
    <mergeCell ref="H17:I17"/>
    <mergeCell ref="J17:L17"/>
    <mergeCell ref="M17:N17"/>
    <mergeCell ref="O17:Q17"/>
    <mergeCell ref="R17:S17"/>
    <mergeCell ref="T17:V17"/>
    <mergeCell ref="W17:X17"/>
    <mergeCell ref="Y17:Z17"/>
    <mergeCell ref="B15:C17"/>
    <mergeCell ref="D18:G18"/>
    <mergeCell ref="H18:I18"/>
    <mergeCell ref="J18:L18"/>
    <mergeCell ref="M18:N18"/>
    <mergeCell ref="O18:Q18"/>
    <mergeCell ref="R18:S18"/>
    <mergeCell ref="T18:V18"/>
    <mergeCell ref="W18:X18"/>
    <mergeCell ref="Y18:Z18"/>
    <mergeCell ref="D19:G19"/>
    <mergeCell ref="H19:I19"/>
    <mergeCell ref="J19:L19"/>
    <mergeCell ref="M19:N19"/>
    <mergeCell ref="O19:Q19"/>
    <mergeCell ref="R19:S19"/>
    <mergeCell ref="T19:V19"/>
    <mergeCell ref="W19:X19"/>
    <mergeCell ref="Y19:Z19"/>
    <mergeCell ref="D20:G20"/>
    <mergeCell ref="H20:I20"/>
    <mergeCell ref="J20:L20"/>
    <mergeCell ref="M20:N20"/>
    <mergeCell ref="O20:Q20"/>
    <mergeCell ref="R20:S20"/>
    <mergeCell ref="T20:V20"/>
    <mergeCell ref="W20:X20"/>
    <mergeCell ref="Y20:Z20"/>
    <mergeCell ref="B18:C20"/>
    <mergeCell ref="D21:G21"/>
    <mergeCell ref="H21:I21"/>
    <mergeCell ref="J21:L21"/>
    <mergeCell ref="M21:N21"/>
    <mergeCell ref="O21:Q21"/>
    <mergeCell ref="R21:S21"/>
    <mergeCell ref="T21:V21"/>
    <mergeCell ref="W21:X21"/>
    <mergeCell ref="Y21:Z21"/>
    <mergeCell ref="D22:G22"/>
    <mergeCell ref="H22:I22"/>
    <mergeCell ref="J22:L22"/>
    <mergeCell ref="M22:N22"/>
    <mergeCell ref="O22:Q22"/>
    <mergeCell ref="R22:S22"/>
    <mergeCell ref="T22:V22"/>
    <mergeCell ref="W22:X22"/>
    <mergeCell ref="Y22:Z22"/>
    <mergeCell ref="D23:G23"/>
    <mergeCell ref="H23:I23"/>
    <mergeCell ref="J23:L23"/>
    <mergeCell ref="M23:N23"/>
    <mergeCell ref="O23:Q23"/>
    <mergeCell ref="R23:S23"/>
    <mergeCell ref="T23:V23"/>
    <mergeCell ref="W23:X23"/>
    <mergeCell ref="Y23:Z23"/>
    <mergeCell ref="D24:G24"/>
    <mergeCell ref="H24:I24"/>
    <mergeCell ref="J24:L24"/>
    <mergeCell ref="M24:N24"/>
    <mergeCell ref="O24:Q24"/>
    <mergeCell ref="R24:S24"/>
    <mergeCell ref="T24:V24"/>
    <mergeCell ref="W24:X24"/>
    <mergeCell ref="Y24:Z24"/>
    <mergeCell ref="D25:G25"/>
    <mergeCell ref="H25:I25"/>
    <mergeCell ref="J25:L25"/>
    <mergeCell ref="M25:N25"/>
    <mergeCell ref="O25:Q25"/>
    <mergeCell ref="R25:S25"/>
    <mergeCell ref="T25:V25"/>
    <mergeCell ref="W25:X25"/>
    <mergeCell ref="Y25:Z25"/>
    <mergeCell ref="B21:C25"/>
    <mergeCell ref="B28:Z28"/>
    <mergeCell ref="B29:C29"/>
    <mergeCell ref="D29:G29"/>
    <mergeCell ref="H29:I29"/>
    <mergeCell ref="J29:L29"/>
    <mergeCell ref="M29:N29"/>
    <mergeCell ref="O29:Q29"/>
    <mergeCell ref="R29:S29"/>
    <mergeCell ref="T29:V29"/>
    <mergeCell ref="D30:G30"/>
    <mergeCell ref="H30:I30"/>
    <mergeCell ref="J30:L30"/>
    <mergeCell ref="M30:N30"/>
    <mergeCell ref="O30:Q30"/>
    <mergeCell ref="R30:S30"/>
    <mergeCell ref="T30:V30"/>
    <mergeCell ref="D31:G31"/>
    <mergeCell ref="H31:I31"/>
    <mergeCell ref="J31:L31"/>
    <mergeCell ref="M31:N31"/>
    <mergeCell ref="O31:Q31"/>
    <mergeCell ref="R31:S31"/>
    <mergeCell ref="T31:V31"/>
    <mergeCell ref="D32:G32"/>
    <mergeCell ref="H32:I32"/>
    <mergeCell ref="J32:L32"/>
    <mergeCell ref="M32:N32"/>
    <mergeCell ref="O32:Q32"/>
    <mergeCell ref="R32:S32"/>
    <mergeCell ref="T32:V32"/>
    <mergeCell ref="D33:G33"/>
    <mergeCell ref="H33:I33"/>
    <mergeCell ref="J33:L33"/>
    <mergeCell ref="M33:N33"/>
    <mergeCell ref="O33:Q33"/>
    <mergeCell ref="R33:S33"/>
    <mergeCell ref="T33:V33"/>
    <mergeCell ref="D34:G34"/>
    <mergeCell ref="H34:I34"/>
    <mergeCell ref="J34:L34"/>
    <mergeCell ref="M34:N34"/>
    <mergeCell ref="O34:Q34"/>
    <mergeCell ref="R34:S34"/>
    <mergeCell ref="T34:V34"/>
    <mergeCell ref="D35:G35"/>
    <mergeCell ref="H35:I35"/>
    <mergeCell ref="J35:L35"/>
    <mergeCell ref="M35:N35"/>
    <mergeCell ref="O35:Q35"/>
    <mergeCell ref="R35:S35"/>
    <mergeCell ref="T35:V35"/>
    <mergeCell ref="D36:G36"/>
    <mergeCell ref="H36:I36"/>
    <mergeCell ref="J36:L36"/>
    <mergeCell ref="M36:N36"/>
    <mergeCell ref="O36:Q36"/>
    <mergeCell ref="R36:S36"/>
    <mergeCell ref="T36:V36"/>
    <mergeCell ref="D37:G37"/>
    <mergeCell ref="H37:I37"/>
    <mergeCell ref="J37:L37"/>
    <mergeCell ref="M37:N37"/>
    <mergeCell ref="O37:Q37"/>
    <mergeCell ref="R37:S37"/>
    <mergeCell ref="T37:V37"/>
    <mergeCell ref="D38:G38"/>
    <mergeCell ref="H38:I38"/>
    <mergeCell ref="J38:L38"/>
    <mergeCell ref="M38:N38"/>
    <mergeCell ref="O38:Q38"/>
    <mergeCell ref="R38:S38"/>
    <mergeCell ref="T38:V38"/>
    <mergeCell ref="B30:C38"/>
    <mergeCell ref="D39:G39"/>
    <mergeCell ref="H39:I39"/>
    <mergeCell ref="J39:L39"/>
    <mergeCell ref="M39:N39"/>
    <mergeCell ref="O39:Q39"/>
    <mergeCell ref="R39:S39"/>
    <mergeCell ref="T39:V39"/>
    <mergeCell ref="D40:G40"/>
    <mergeCell ref="H40:I40"/>
    <mergeCell ref="J40:L40"/>
    <mergeCell ref="M40:N40"/>
    <mergeCell ref="O40:Q40"/>
    <mergeCell ref="R40:S40"/>
    <mergeCell ref="T40:V40"/>
    <mergeCell ref="D41:G41"/>
    <mergeCell ref="H41:I41"/>
    <mergeCell ref="J41:L41"/>
    <mergeCell ref="M41:N41"/>
    <mergeCell ref="O41:Q41"/>
    <mergeCell ref="R41:S41"/>
    <mergeCell ref="T41:V41"/>
    <mergeCell ref="D42:G42"/>
    <mergeCell ref="H42:I42"/>
    <mergeCell ref="J42:L42"/>
    <mergeCell ref="M42:N42"/>
    <mergeCell ref="O42:Q42"/>
    <mergeCell ref="R42:S42"/>
    <mergeCell ref="T42:V42"/>
    <mergeCell ref="D43:G43"/>
    <mergeCell ref="H43:I43"/>
    <mergeCell ref="J43:L43"/>
    <mergeCell ref="M43:N43"/>
    <mergeCell ref="O43:Q43"/>
    <mergeCell ref="R43:S43"/>
    <mergeCell ref="T43:V43"/>
    <mergeCell ref="D44:G44"/>
    <mergeCell ref="H44:I44"/>
    <mergeCell ref="J44:L44"/>
    <mergeCell ref="M44:N44"/>
    <mergeCell ref="O44:Q44"/>
    <mergeCell ref="R44:S44"/>
    <mergeCell ref="T44:V44"/>
    <mergeCell ref="D45:G45"/>
    <mergeCell ref="H45:I45"/>
    <mergeCell ref="J45:L45"/>
    <mergeCell ref="M45:N45"/>
    <mergeCell ref="O45:Q45"/>
    <mergeCell ref="R45:S45"/>
    <mergeCell ref="T45:V45"/>
    <mergeCell ref="D46:G46"/>
    <mergeCell ref="H46:I46"/>
    <mergeCell ref="J46:L46"/>
    <mergeCell ref="M46:N46"/>
    <mergeCell ref="O46:Q46"/>
    <mergeCell ref="R46:S46"/>
    <mergeCell ref="T46:V46"/>
    <mergeCell ref="B39:C46"/>
    <mergeCell ref="D47:G47"/>
    <mergeCell ref="H47:I47"/>
    <mergeCell ref="J47:L47"/>
    <mergeCell ref="M47:N47"/>
    <mergeCell ref="O47:Q47"/>
    <mergeCell ref="R47:S47"/>
    <mergeCell ref="T47:V47"/>
    <mergeCell ref="D48:G48"/>
    <mergeCell ref="H48:I48"/>
    <mergeCell ref="J48:L48"/>
    <mergeCell ref="M48:N48"/>
    <mergeCell ref="O48:Q48"/>
    <mergeCell ref="R48:S48"/>
    <mergeCell ref="T48:V48"/>
    <mergeCell ref="D49:G49"/>
    <mergeCell ref="H49:I49"/>
    <mergeCell ref="J49:L49"/>
    <mergeCell ref="M49:N49"/>
    <mergeCell ref="O49:Q49"/>
    <mergeCell ref="R49:S49"/>
    <mergeCell ref="T49:V49"/>
    <mergeCell ref="B47:C49"/>
    <mergeCell ref="D50:G50"/>
    <mergeCell ref="H50:I50"/>
    <mergeCell ref="J50:L50"/>
    <mergeCell ref="M50:N50"/>
    <mergeCell ref="O50:Q50"/>
    <mergeCell ref="R50:S50"/>
    <mergeCell ref="T50:V50"/>
    <mergeCell ref="D51:G51"/>
    <mergeCell ref="H51:I51"/>
    <mergeCell ref="J51:L51"/>
    <mergeCell ref="M51:N51"/>
    <mergeCell ref="O51:Q51"/>
    <mergeCell ref="R51:S51"/>
    <mergeCell ref="T51:V51"/>
    <mergeCell ref="D52:G52"/>
    <mergeCell ref="H52:I52"/>
    <mergeCell ref="J52:L52"/>
    <mergeCell ref="M52:N52"/>
    <mergeCell ref="O52:Q52"/>
    <mergeCell ref="R52:S52"/>
    <mergeCell ref="T52:V52"/>
    <mergeCell ref="B50:C52"/>
    <mergeCell ref="D53:G53"/>
    <mergeCell ref="H53:I53"/>
    <mergeCell ref="J53:L53"/>
    <mergeCell ref="M53:N53"/>
    <mergeCell ref="O53:Q53"/>
    <mergeCell ref="R53:S53"/>
    <mergeCell ref="T53:V53"/>
    <mergeCell ref="D54:G54"/>
    <mergeCell ref="H54:I54"/>
    <mergeCell ref="J54:L54"/>
    <mergeCell ref="M54:N54"/>
    <mergeCell ref="O54:Q54"/>
    <mergeCell ref="R54:S54"/>
    <mergeCell ref="T54:V54"/>
    <mergeCell ref="D55:G55"/>
    <mergeCell ref="H55:I55"/>
    <mergeCell ref="J55:L55"/>
    <mergeCell ref="M55:N55"/>
    <mergeCell ref="O55:Q55"/>
    <mergeCell ref="R55:S55"/>
    <mergeCell ref="T55:V55"/>
    <mergeCell ref="D56:G56"/>
    <mergeCell ref="H56:I56"/>
    <mergeCell ref="J56:L56"/>
    <mergeCell ref="M56:N56"/>
    <mergeCell ref="O56:Q56"/>
    <mergeCell ref="R56:S56"/>
    <mergeCell ref="T56:V56"/>
    <mergeCell ref="D57:G57"/>
    <mergeCell ref="H57:I57"/>
    <mergeCell ref="J57:L57"/>
    <mergeCell ref="M57:N57"/>
    <mergeCell ref="O57:Q57"/>
    <mergeCell ref="R57:S57"/>
    <mergeCell ref="T57:V57"/>
    <mergeCell ref="B53:C57"/>
    <mergeCell ref="B59:Z59"/>
    <mergeCell ref="B60:C60"/>
    <mergeCell ref="D60:G60"/>
    <mergeCell ref="H60:I60"/>
    <mergeCell ref="J60:L60"/>
    <mergeCell ref="M60:N60"/>
    <mergeCell ref="O60:Q60"/>
    <mergeCell ref="R60:S60"/>
    <mergeCell ref="T60:V60"/>
    <mergeCell ref="D61:G61"/>
    <mergeCell ref="H61:I61"/>
    <mergeCell ref="J61:L61"/>
    <mergeCell ref="M61:N61"/>
    <mergeCell ref="O61:Q61"/>
    <mergeCell ref="R61:S61"/>
    <mergeCell ref="T61:V61"/>
    <mergeCell ref="D62:G62"/>
    <mergeCell ref="H62:I62"/>
    <mergeCell ref="J62:L62"/>
    <mergeCell ref="M62:N62"/>
    <mergeCell ref="O62:Q62"/>
    <mergeCell ref="R62:S62"/>
    <mergeCell ref="T62:V62"/>
    <mergeCell ref="D63:G63"/>
    <mergeCell ref="H63:I63"/>
    <mergeCell ref="J63:L63"/>
    <mergeCell ref="M63:N63"/>
    <mergeCell ref="O63:Q63"/>
    <mergeCell ref="R63:S63"/>
    <mergeCell ref="T63:V63"/>
    <mergeCell ref="D64:G64"/>
    <mergeCell ref="H64:I64"/>
    <mergeCell ref="J64:L64"/>
    <mergeCell ref="M64:N64"/>
    <mergeCell ref="O64:Q64"/>
    <mergeCell ref="R64:S64"/>
    <mergeCell ref="T64:V64"/>
    <mergeCell ref="B61:C64"/>
    <mergeCell ref="D65:G65"/>
    <mergeCell ref="H65:I65"/>
    <mergeCell ref="J65:L65"/>
    <mergeCell ref="M65:N65"/>
    <mergeCell ref="O65:Q65"/>
    <mergeCell ref="R65:S65"/>
    <mergeCell ref="T65:V65"/>
    <mergeCell ref="D66:G66"/>
    <mergeCell ref="H66:I66"/>
    <mergeCell ref="J66:L66"/>
    <mergeCell ref="M66:N66"/>
    <mergeCell ref="O66:Q66"/>
    <mergeCell ref="R66:S66"/>
    <mergeCell ref="T66:V66"/>
    <mergeCell ref="D67:G67"/>
    <mergeCell ref="H67:I67"/>
    <mergeCell ref="J67:L67"/>
    <mergeCell ref="M67:N67"/>
    <mergeCell ref="O67:Q67"/>
    <mergeCell ref="R67:S67"/>
    <mergeCell ref="T67:V67"/>
    <mergeCell ref="D68:G68"/>
    <mergeCell ref="H68:I68"/>
    <mergeCell ref="J68:L68"/>
    <mergeCell ref="M68:N68"/>
    <mergeCell ref="O68:Q68"/>
    <mergeCell ref="R68:S68"/>
    <mergeCell ref="T68:V68"/>
    <mergeCell ref="B65:C68"/>
    <mergeCell ref="D69:G69"/>
    <mergeCell ref="H69:I69"/>
    <mergeCell ref="J69:L69"/>
    <mergeCell ref="M69:N69"/>
    <mergeCell ref="O69:Q69"/>
    <mergeCell ref="R69:S69"/>
    <mergeCell ref="T69:V69"/>
    <mergeCell ref="D70:G70"/>
    <mergeCell ref="H70:I70"/>
    <mergeCell ref="J70:L70"/>
    <mergeCell ref="M70:N70"/>
    <mergeCell ref="O70:Q70"/>
    <mergeCell ref="R70:S70"/>
    <mergeCell ref="T70:V70"/>
    <mergeCell ref="D71:G71"/>
    <mergeCell ref="H71:I71"/>
    <mergeCell ref="J71:L71"/>
    <mergeCell ref="M71:N71"/>
    <mergeCell ref="O71:Q71"/>
    <mergeCell ref="R71:S71"/>
    <mergeCell ref="T71:V71"/>
    <mergeCell ref="B69:C71"/>
    <mergeCell ref="D72:G72"/>
    <mergeCell ref="H72:I72"/>
    <mergeCell ref="J72:L72"/>
    <mergeCell ref="M72:N72"/>
    <mergeCell ref="O72:Q72"/>
    <mergeCell ref="R72:S72"/>
    <mergeCell ref="T72:V72"/>
    <mergeCell ref="D73:G73"/>
    <mergeCell ref="H73:I73"/>
    <mergeCell ref="J73:L73"/>
    <mergeCell ref="M73:N73"/>
    <mergeCell ref="O73:Q73"/>
    <mergeCell ref="R73:S73"/>
    <mergeCell ref="T73:V73"/>
    <mergeCell ref="D74:G74"/>
    <mergeCell ref="H74:I74"/>
    <mergeCell ref="J74:L74"/>
    <mergeCell ref="M74:N74"/>
    <mergeCell ref="O74:Q74"/>
    <mergeCell ref="R74:S74"/>
    <mergeCell ref="T74:V74"/>
    <mergeCell ref="B72:C74"/>
    <mergeCell ref="D75:G75"/>
    <mergeCell ref="H75:I75"/>
    <mergeCell ref="J75:L75"/>
    <mergeCell ref="M75:N75"/>
    <mergeCell ref="O75:Q75"/>
    <mergeCell ref="R75:S75"/>
    <mergeCell ref="T75:V75"/>
    <mergeCell ref="D76:G76"/>
    <mergeCell ref="H76:I76"/>
    <mergeCell ref="J76:L76"/>
    <mergeCell ref="M76:N76"/>
    <mergeCell ref="O76:Q76"/>
    <mergeCell ref="R76:S76"/>
    <mergeCell ref="T76:V76"/>
    <mergeCell ref="D77:G77"/>
    <mergeCell ref="H77:I77"/>
    <mergeCell ref="J77:L77"/>
    <mergeCell ref="M77:N77"/>
    <mergeCell ref="O77:Q77"/>
    <mergeCell ref="R77:S77"/>
    <mergeCell ref="T77:V77"/>
    <mergeCell ref="D78:G78"/>
    <mergeCell ref="H78:I78"/>
    <mergeCell ref="J78:L78"/>
    <mergeCell ref="M78:N78"/>
    <mergeCell ref="O78:Q78"/>
    <mergeCell ref="R78:S78"/>
    <mergeCell ref="T78:V78"/>
    <mergeCell ref="D79:G79"/>
    <mergeCell ref="H79:I79"/>
    <mergeCell ref="J79:L79"/>
    <mergeCell ref="M79:N79"/>
    <mergeCell ref="O79:Q79"/>
    <mergeCell ref="R79:S79"/>
    <mergeCell ref="T79:V79"/>
    <mergeCell ref="B75:C79"/>
  </mergeCells>
  <conditionalFormatting sqref="J7 O7 R7">
    <cfRule type="expression" dxfId="10" priority="1">
      <formula>ISNUMBER(SEARCH("Toneladas",$D7))</formula>
    </cfRule>
  </conditionalFormatting>
  <conditionalFormatting sqref="T7">
    <cfRule type="expression" dxfId="3" priority="2">
      <formula>AND(ISNUMBER(T7),T7&gt;0)</formula>
    </cfRule>
    <cfRule type="expression" dxfId="4" priority="3">
      <formula>AND(ISNUMBER(T7),T7&lt;0)</formula>
    </cfRule>
  </conditionalFormatting>
  <conditionalFormatting sqref="Y7">
    <cfRule type="expression" dxfId="3" priority="4">
      <formula>OR(Y7="meta atingida",Y7="dentro do limite",Y7="dentro da faixa")</formula>
    </cfRule>
    <cfRule type="expression" dxfId="5" priority="5">
      <formula>OR(Y7="atenção",Y7="abaixo da meta")</formula>
    </cfRule>
    <cfRule type="expression" dxfId="4" priority="6">
      <formula>OR(Y7="crítico",Y7="acima do limite")</formula>
    </cfRule>
  </conditionalFormatting>
  <conditionalFormatting sqref="J8 O8 R8">
    <cfRule type="expression" dxfId="10" priority="7">
      <formula>ISNUMBER(SEARCH("Toneladas",$D8))</formula>
    </cfRule>
  </conditionalFormatting>
  <conditionalFormatting sqref="T8">
    <cfRule type="expression" dxfId="3" priority="8">
      <formula>AND(ISNUMBER(T8),T8&gt;0)</formula>
    </cfRule>
    <cfRule type="expression" dxfId="4" priority="9">
      <formula>AND(ISNUMBER(T8),T8&lt;0)</formula>
    </cfRule>
  </conditionalFormatting>
  <conditionalFormatting sqref="Y8">
    <cfRule type="expression" dxfId="3" priority="10">
      <formula>OR(Y8="meta atingida",Y8="dentro do limite",Y8="dentro da faixa")</formula>
    </cfRule>
    <cfRule type="expression" dxfId="5" priority="11">
      <formula>OR(Y8="atenção",Y8="abaixo da meta")</formula>
    </cfRule>
    <cfRule type="expression" dxfId="4" priority="12">
      <formula>OR(Y8="crítico",Y8="acima do limite")</formula>
    </cfRule>
  </conditionalFormatting>
  <conditionalFormatting sqref="J9 O9 R9">
    <cfRule type="expression" dxfId="10" priority="13">
      <formula>ISNUMBER(SEARCH("Toneladas",$D9))</formula>
    </cfRule>
  </conditionalFormatting>
  <conditionalFormatting sqref="T9">
    <cfRule type="expression" dxfId="3" priority="14">
      <formula>AND(ISNUMBER(T9),T9&gt;0)</formula>
    </cfRule>
    <cfRule type="expression" dxfId="4" priority="15">
      <formula>AND(ISNUMBER(T9),T9&lt;0)</formula>
    </cfRule>
  </conditionalFormatting>
  <conditionalFormatting sqref="Y9">
    <cfRule type="expression" dxfId="3" priority="16">
      <formula>OR(Y9="meta atingida",Y9="dentro do limite",Y9="dentro da faixa")</formula>
    </cfRule>
    <cfRule type="expression" dxfId="5" priority="17">
      <formula>OR(Y9="atenção",Y9="abaixo da meta")</formula>
    </cfRule>
    <cfRule type="expression" dxfId="4" priority="18">
      <formula>OR(Y9="crítico",Y9="acima do limite")</formula>
    </cfRule>
  </conditionalFormatting>
  <conditionalFormatting sqref="J10 O10 R10">
    <cfRule type="expression" dxfId="10" priority="19">
      <formula>ISNUMBER(SEARCH("Toneladas",$D10))</formula>
    </cfRule>
  </conditionalFormatting>
  <conditionalFormatting sqref="T10">
    <cfRule type="expression" dxfId="3" priority="20">
      <formula>AND(ISNUMBER(T10),T10&gt;0)</formula>
    </cfRule>
    <cfRule type="expression" dxfId="4" priority="21">
      <formula>AND(ISNUMBER(T10),T10&lt;0)</formula>
    </cfRule>
  </conditionalFormatting>
  <conditionalFormatting sqref="Y10">
    <cfRule type="expression" dxfId="3" priority="22">
      <formula>OR(Y10="meta atingida",Y10="dentro do limite",Y10="dentro da faixa")</formula>
    </cfRule>
    <cfRule type="expression" dxfId="5" priority="23">
      <formula>OR(Y10="atenção",Y10="abaixo da meta")</formula>
    </cfRule>
    <cfRule type="expression" dxfId="4" priority="24">
      <formula>OR(Y10="crítico",Y10="acima do limite")</formula>
    </cfRule>
  </conditionalFormatting>
  <conditionalFormatting sqref="J11 O11 R11">
    <cfRule type="expression" dxfId="10" priority="25">
      <formula>ISNUMBER(SEARCH("Toneladas",$D11))</formula>
    </cfRule>
  </conditionalFormatting>
  <conditionalFormatting sqref="T11">
    <cfRule type="expression" dxfId="3" priority="26">
      <formula>AND(ISNUMBER(T11),T11&gt;0)</formula>
    </cfRule>
    <cfRule type="expression" dxfId="4" priority="27">
      <formula>AND(ISNUMBER(T11),T11&lt;0)</formula>
    </cfRule>
  </conditionalFormatting>
  <conditionalFormatting sqref="Y11">
    <cfRule type="expression" dxfId="3" priority="28">
      <formula>OR(Y11="meta atingida",Y11="dentro do limite",Y11="dentro da faixa")</formula>
    </cfRule>
    <cfRule type="expression" dxfId="5" priority="29">
      <formula>OR(Y11="atenção",Y11="abaixo da meta")</formula>
    </cfRule>
    <cfRule type="expression" dxfId="4" priority="30">
      <formula>OR(Y11="crítico",Y11="acima do limite")</formula>
    </cfRule>
  </conditionalFormatting>
  <conditionalFormatting sqref="J12 O12 R12">
    <cfRule type="expression" dxfId="10" priority="31">
      <formula>ISNUMBER(SEARCH("Toneladas",$D12))</formula>
    </cfRule>
  </conditionalFormatting>
  <conditionalFormatting sqref="T12">
    <cfRule type="expression" dxfId="3" priority="32">
      <formula>AND(ISNUMBER(T12),T12&gt;0)</formula>
    </cfRule>
    <cfRule type="expression" dxfId="4" priority="33">
      <formula>AND(ISNUMBER(T12),T12&lt;0)</formula>
    </cfRule>
  </conditionalFormatting>
  <conditionalFormatting sqref="Y12">
    <cfRule type="expression" dxfId="3" priority="34">
      <formula>OR(Y12="meta atingida",Y12="dentro do limite",Y12="dentro da faixa")</formula>
    </cfRule>
    <cfRule type="expression" dxfId="5" priority="35">
      <formula>OR(Y12="atenção",Y12="abaixo da meta")</formula>
    </cfRule>
    <cfRule type="expression" dxfId="4" priority="36">
      <formula>OR(Y12="crítico",Y12="acima do limite")</formula>
    </cfRule>
  </conditionalFormatting>
  <conditionalFormatting sqref="J13 O13 R13">
    <cfRule type="expression" dxfId="10" priority="37">
      <formula>ISNUMBER(SEARCH("Toneladas",$D13))</formula>
    </cfRule>
  </conditionalFormatting>
  <conditionalFormatting sqref="T13">
    <cfRule type="expression" dxfId="3" priority="38">
      <formula>AND(ISNUMBER(T13),T13&gt;0)</formula>
    </cfRule>
    <cfRule type="expression" dxfId="4" priority="39">
      <formula>AND(ISNUMBER(T13),T13&lt;0)</formula>
    </cfRule>
  </conditionalFormatting>
  <conditionalFormatting sqref="Y13">
    <cfRule type="expression" dxfId="3" priority="40">
      <formula>OR(Y13="meta atingida",Y13="dentro do limite",Y13="dentro da faixa")</formula>
    </cfRule>
    <cfRule type="expression" dxfId="5" priority="41">
      <formula>OR(Y13="atenção",Y13="abaixo da meta")</formula>
    </cfRule>
    <cfRule type="expression" dxfId="4" priority="42">
      <formula>OR(Y13="crítico",Y13="acima do limite")</formula>
    </cfRule>
  </conditionalFormatting>
  <conditionalFormatting sqref="J14 O14 R14">
    <cfRule type="expression" dxfId="10" priority="43">
      <formula>ISNUMBER(SEARCH("Toneladas",$D14))</formula>
    </cfRule>
  </conditionalFormatting>
  <conditionalFormatting sqref="T14">
    <cfRule type="expression" dxfId="3" priority="44">
      <formula>AND(ISNUMBER(T14),T14&gt;0)</formula>
    </cfRule>
    <cfRule type="expression" dxfId="4" priority="45">
      <formula>AND(ISNUMBER(T14),T14&lt;0)</formula>
    </cfRule>
  </conditionalFormatting>
  <conditionalFormatting sqref="Y14">
    <cfRule type="expression" dxfId="3" priority="46">
      <formula>OR(Y14="meta atingida",Y14="dentro do limite",Y14="dentro da faixa")</formula>
    </cfRule>
    <cfRule type="expression" dxfId="5" priority="47">
      <formula>OR(Y14="atenção",Y14="abaixo da meta")</formula>
    </cfRule>
    <cfRule type="expression" dxfId="4" priority="48">
      <formula>OR(Y14="crítico",Y14="acima do limite")</formula>
    </cfRule>
  </conditionalFormatting>
  <conditionalFormatting sqref="T15">
    <cfRule type="expression" dxfId="3" priority="49">
      <formula>AND(ISNUMBER(T15),T15&gt;0)</formula>
    </cfRule>
    <cfRule type="expression" dxfId="4" priority="50">
      <formula>AND(ISNUMBER(T15),T15&lt;0)</formula>
    </cfRule>
  </conditionalFormatting>
  <conditionalFormatting sqref="Y15">
    <cfRule type="expression" dxfId="3" priority="51">
      <formula>OR(Y15="meta atingida",Y15="dentro do limite",Y15="dentro da faixa")</formula>
    </cfRule>
    <cfRule type="expression" dxfId="5" priority="52">
      <formula>OR(Y15="atenção",Y15="abaixo da meta")</formula>
    </cfRule>
    <cfRule type="expression" dxfId="4" priority="53">
      <formula>OR(Y15="crítico",Y15="acima do limite")</formula>
    </cfRule>
  </conditionalFormatting>
  <conditionalFormatting sqref="T16">
    <cfRule type="expression" dxfId="3" priority="54">
      <formula>AND(ISNUMBER(T16),T16&gt;0)</formula>
    </cfRule>
    <cfRule type="expression" dxfId="4" priority="55">
      <formula>AND(ISNUMBER(T16),T16&lt;0)</formula>
    </cfRule>
  </conditionalFormatting>
  <conditionalFormatting sqref="Y16">
    <cfRule type="expression" dxfId="3" priority="56">
      <formula>OR(Y16="meta atingida",Y16="dentro do limite",Y16="dentro da faixa")</formula>
    </cfRule>
    <cfRule type="expression" dxfId="5" priority="57">
      <formula>OR(Y16="atenção",Y16="abaixo da meta")</formula>
    </cfRule>
    <cfRule type="expression" dxfId="4" priority="58">
      <formula>OR(Y16="crítico",Y16="acima do limite")</formula>
    </cfRule>
  </conditionalFormatting>
  <conditionalFormatting sqref="T17">
    <cfRule type="expression" dxfId="3" priority="59">
      <formula>AND(ISNUMBER(T17),T17&gt;0)</formula>
    </cfRule>
    <cfRule type="expression" dxfId="4" priority="60">
      <formula>AND(ISNUMBER(T17),T17&lt;0)</formula>
    </cfRule>
  </conditionalFormatting>
  <conditionalFormatting sqref="Y17">
    <cfRule type="expression" dxfId="3" priority="61">
      <formula>OR(Y17="meta atingida",Y17="dentro do limite",Y17="dentro da faixa")</formula>
    </cfRule>
    <cfRule type="expression" dxfId="5" priority="62">
      <formula>OR(Y17="atenção",Y17="abaixo da meta")</formula>
    </cfRule>
    <cfRule type="expression" dxfId="4" priority="63">
      <formula>OR(Y17="crítico",Y17="acima do limite")</formula>
    </cfRule>
  </conditionalFormatting>
  <conditionalFormatting sqref="T18">
    <cfRule type="expression" dxfId="3" priority="64">
      <formula>AND(ISNUMBER(T18),T18&gt;0)</formula>
    </cfRule>
    <cfRule type="expression" dxfId="4" priority="65">
      <formula>AND(ISNUMBER(T18),T18&lt;0)</formula>
    </cfRule>
  </conditionalFormatting>
  <conditionalFormatting sqref="Y18">
    <cfRule type="expression" dxfId="3" priority="66">
      <formula>OR(Y18="meta atingida",Y18="dentro do limite",Y18="dentro da faixa")</formula>
    </cfRule>
    <cfRule type="expression" dxfId="5" priority="67">
      <formula>OR(Y18="atenção",Y18="abaixo da meta")</formula>
    </cfRule>
    <cfRule type="expression" dxfId="4" priority="68">
      <formula>OR(Y18="crítico",Y18="acima do limite")</formula>
    </cfRule>
  </conditionalFormatting>
  <conditionalFormatting sqref="T19">
    <cfRule type="expression" dxfId="3" priority="69">
      <formula>AND(ISNUMBER(T19),T19&gt;0)</formula>
    </cfRule>
    <cfRule type="expression" dxfId="4" priority="70">
      <formula>AND(ISNUMBER(T19),T19&lt;0)</formula>
    </cfRule>
  </conditionalFormatting>
  <conditionalFormatting sqref="Y19">
    <cfRule type="expression" dxfId="3" priority="71">
      <formula>OR(Y19="meta atingida",Y19="dentro do limite",Y19="dentro da faixa")</formula>
    </cfRule>
    <cfRule type="expression" dxfId="5" priority="72">
      <formula>OR(Y19="atenção",Y19="abaixo da meta")</formula>
    </cfRule>
    <cfRule type="expression" dxfId="4" priority="73">
      <formula>OR(Y19="crítico",Y19="acima do limite")</formula>
    </cfRule>
  </conditionalFormatting>
  <conditionalFormatting sqref="T20">
    <cfRule type="expression" dxfId="3" priority="74">
      <formula>AND(ISNUMBER(T20),T20&gt;0)</formula>
    </cfRule>
    <cfRule type="expression" dxfId="4" priority="75">
      <formula>AND(ISNUMBER(T20),T20&lt;0)</formula>
    </cfRule>
  </conditionalFormatting>
  <conditionalFormatting sqref="Y20">
    <cfRule type="expression" dxfId="3" priority="76">
      <formula>OR(Y20="meta atingida",Y20="dentro do limite",Y20="dentro da faixa")</formula>
    </cfRule>
    <cfRule type="expression" dxfId="5" priority="77">
      <formula>OR(Y20="atenção",Y20="abaixo da meta")</formula>
    </cfRule>
    <cfRule type="expression" dxfId="4" priority="78">
      <formula>OR(Y20="crítico",Y20="acima do limite")</formula>
    </cfRule>
  </conditionalFormatting>
  <conditionalFormatting sqref="T21">
    <cfRule type="expression" dxfId="3" priority="79">
      <formula>AND(ISNUMBER(T21),T21&gt;0)</formula>
    </cfRule>
    <cfRule type="expression" dxfId="4" priority="80">
      <formula>AND(ISNUMBER(T21),T21&lt;0)</formula>
    </cfRule>
  </conditionalFormatting>
  <conditionalFormatting sqref="Y21">
    <cfRule type="expression" dxfId="3" priority="81">
      <formula>OR(Y21="meta atingida",Y21="dentro do limite",Y21="dentro da faixa")</formula>
    </cfRule>
    <cfRule type="expression" dxfId="5" priority="82">
      <formula>OR(Y21="atenção",Y21="abaixo da meta")</formula>
    </cfRule>
    <cfRule type="expression" dxfId="4" priority="83">
      <formula>OR(Y21="crítico",Y21="acima do limite")</formula>
    </cfRule>
  </conditionalFormatting>
  <conditionalFormatting sqref="T22">
    <cfRule type="expression" dxfId="3" priority="84">
      <formula>AND(ISNUMBER(T22),T22&gt;0)</formula>
    </cfRule>
    <cfRule type="expression" dxfId="4" priority="85">
      <formula>AND(ISNUMBER(T22),T22&lt;0)</formula>
    </cfRule>
  </conditionalFormatting>
  <conditionalFormatting sqref="Y22">
    <cfRule type="expression" dxfId="3" priority="86">
      <formula>OR(Y22="meta atingida",Y22="dentro do limite",Y22="dentro da faixa")</formula>
    </cfRule>
    <cfRule type="expression" dxfId="5" priority="87">
      <formula>OR(Y22="atenção",Y22="abaixo da meta")</formula>
    </cfRule>
    <cfRule type="expression" dxfId="4" priority="88">
      <formula>OR(Y22="crítico",Y22="acima do limite")</formula>
    </cfRule>
  </conditionalFormatting>
  <conditionalFormatting sqref="T23">
    <cfRule type="expression" dxfId="3" priority="89">
      <formula>AND(ISNUMBER(T23),T23&gt;0)</formula>
    </cfRule>
    <cfRule type="expression" dxfId="4" priority="90">
      <formula>AND(ISNUMBER(T23),T23&lt;0)</formula>
    </cfRule>
  </conditionalFormatting>
  <conditionalFormatting sqref="Y23">
    <cfRule type="expression" dxfId="3" priority="91">
      <formula>OR(Y23="meta atingida",Y23="dentro do limite",Y23="dentro da faixa")</formula>
    </cfRule>
    <cfRule type="expression" dxfId="5" priority="92">
      <formula>OR(Y23="atenção",Y23="abaixo da meta")</formula>
    </cfRule>
    <cfRule type="expression" dxfId="4" priority="93">
      <formula>OR(Y23="crítico",Y23="acima do limite")</formula>
    </cfRule>
  </conditionalFormatting>
  <conditionalFormatting sqref="T24">
    <cfRule type="expression" dxfId="3" priority="94">
      <formula>AND(ISNUMBER(T24),T24&gt;0)</formula>
    </cfRule>
    <cfRule type="expression" dxfId="4" priority="95">
      <formula>AND(ISNUMBER(T24),T24&lt;0)</formula>
    </cfRule>
  </conditionalFormatting>
  <conditionalFormatting sqref="Y24">
    <cfRule type="expression" dxfId="3" priority="96">
      <formula>OR(Y24="meta atingida",Y24="dentro do limite",Y24="dentro da faixa")</formula>
    </cfRule>
    <cfRule type="expression" dxfId="5" priority="97">
      <formula>OR(Y24="atenção",Y24="abaixo da meta")</formula>
    </cfRule>
    <cfRule type="expression" dxfId="4" priority="98">
      <formula>OR(Y24="crítico",Y24="acima do limite")</formula>
    </cfRule>
  </conditionalFormatting>
  <conditionalFormatting sqref="T25">
    <cfRule type="expression" dxfId="3" priority="99">
      <formula>AND(ISNUMBER(T25),T25&gt;0)</formula>
    </cfRule>
    <cfRule type="expression" dxfId="4" priority="100">
      <formula>AND(ISNUMBER(T25),T25&lt;0)</formula>
    </cfRule>
  </conditionalFormatting>
  <conditionalFormatting sqref="Y25">
    <cfRule type="expression" dxfId="3" priority="101">
      <formula>OR(Y25="meta atingida",Y25="dentro do limite",Y25="dentro da faixa")</formula>
    </cfRule>
    <cfRule type="expression" dxfId="5" priority="102">
      <formula>OR(Y25="atenção",Y25="abaixo da meta")</formula>
    </cfRule>
    <cfRule type="expression" dxfId="4" priority="103">
      <formula>OR(Y25="crítico",Y25="acima do limite")</formula>
    </cfRule>
  </conditionalFormatting>
  <dataValidations count="1">
    <dataValidation type="list" allowBlank="0" showInputMessage="1" showErrorMessage="1" errorTitle="Mês / ano" error="Escolha um item da lista." promptTitle="Mês / ano" prompt="Escolha o mês / ano do Quadro. Para trocar o cliente, use o filtro da aba Indicadores." sqref="V1">
      <formula1>calculos!$AN$12:$AN$35</formula1>
    </dataValidation>
  </dataValidations>
  <pageMargins left="0.25" right="0.25" top="0.4" bottom="0.4" header="0.2" footer="0.2"/>
  <pageSetup paperSize="9" orientation="landscape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AP293"/>
  <sheetViews>
    <sheetView showGridLines="0" zoomScale="100" zoomScaleNormal="100" workbookViewId="0">
      <pane xSplit="2" ySplit="11" topLeftCell="C12" activePane="bottomRight" state="frozen"/>
      <selection pane="bottomRight" activeCell="C12" sqref="C12"/>
    </sheetView>
  </sheetViews>
  <sheetFormatPr defaultRowHeight="15"/>
  <cols>
    <col min="1" max="1" width="30" customWidth="1"/>
    <col min="2" max="2" width="14" customWidth="1"/>
    <col min="3" max="31" width="12" customWidth="1"/>
    <col min="42" max="42" width="60" customWidth="1"/>
  </cols>
  <sheetData>
    <row r="1">
      <c r="A1" t="inlineStr">
        <is>
          <t xml:space="preserve">CÁLCULOS — base dos KPIs, quadro e gráficos (gerado automaticamente; células amarelas podem ser editadas)</t>
        </is>
      </c>
    </row>
    <row r="2">
      <c r="A2" t="inlineStr">
        <is>
          <t xml:space="preserve">Cliente selecionado</t>
        </is>
      </c>
      <c r="B2" t="str">
        <f>IF(OR(Indicadores!$D$3="",Indicadores!$D$3="Todos"),"Todos",Indicadores!$D$3)</f>
        <v>Todos</v>
      </c>
      <c r="C2" t="inlineStr">
        <is>
          <t xml:space="preserve">Slots →</t>
        </is>
      </c>
      <c r="D2" t="str">
        <f>T(INDEX($B$284:$B$293,MATCH($B$2,$A$284:$A$293,0)))</f>
        <v>IN Veículos Recebidos</v>
      </c>
      <c r="E2" t="str">
        <f>T(INDEX($C$284:$C$293,MATCH($B$2,$A$284:$A$293,0)))</f>
        <v>IN Pallets Movimentados</v>
      </c>
      <c r="F2" t="str">
        <f>T(INDEX($D$284:$D$293,MATCH($B$2,$A$284:$A$293,0)))</f>
        <v>IN Toneladas Movimentadas</v>
      </c>
      <c r="G2" t="str">
        <f>T(INDEX($E$284:$E$293,MATCH($B$2,$A$284:$A$293,0)))</f>
        <v>IN Linhas NF</v>
      </c>
      <c r="H2" t="str">
        <f>T(INDEX($F$284:$F$293,MATCH($B$2,$A$284:$A$293,0)))</f>
        <v>OUT Veículos Expedidos</v>
      </c>
      <c r="I2" t="str">
        <f>T(INDEX($G$284:$G$293,MATCH($B$2,$A$284:$A$293,0)))</f>
        <v>OUT Pallets Movimentados</v>
      </c>
      <c r="J2" t="str">
        <f>T(INDEX($H$284:$H$293,MATCH($B$2,$A$284:$A$293,0)))</f>
        <v>OUT Toneladas Movimentadas</v>
      </c>
      <c r="K2" t="str">
        <f>T(INDEX($I$284:$I$293,MATCH($B$2,$A$284:$A$293,0)))</f>
        <v>OUT Linhas NF</v>
      </c>
    </row>
    <row r="3">
      <c r="A3" t="inlineStr">
        <is>
          <t xml:space="preserve">Destaque IN / OUT (cartões e gráfico semanal)</t>
        </is>
      </c>
      <c r="B3" t="str">
        <f>T(INDEX($J$284:$J$293,MATCH($B$2,$A$284:$A$293,0)))</f>
        <v>IN Pallets Movimentados</v>
      </c>
      <c r="C3" t="str">
        <f>T(INDEX($K$284:$K$293,MATCH($B$2,$A$284:$A$293,0)))</f>
        <v>OUT Pallets Movimentados</v>
      </c>
    </row>
    <row r="4">
      <c r="A4" t="inlineStr">
        <is>
          <t xml:space="preserve">Capacidade do CD (posições)</t>
        </is>
      </c>
      <c r="B4" s="160"/>
      <c r="C4" t="inlineStr">
        <is>
          <t xml:space="preserve">vazio = soma das posições disponíveis dos clientes</t>
        </is>
      </c>
    </row>
    <row r="5">
      <c r="A5" t="inlineStr">
        <is>
          <t xml:space="preserve">Faixa de atenção (ocupação)</t>
        </is>
      </c>
      <c r="B5" s="160">
        <v>0.7</v>
      </c>
    </row>
    <row r="6">
      <c r="A6" t="inlineStr">
        <is>
          <t xml:space="preserve">Faixa crítica (ocupação)</t>
        </is>
      </c>
      <c r="B6" s="160">
        <v>0.9</v>
      </c>
    </row>
    <row r="7">
      <c r="A7" t="inlineStr">
        <is>
          <t xml:space="preserve">Competência</t>
        </is>
      </c>
      <c r="B7" t="str">
        <f>INDEX({"Janeiro","Fevereiro","Março","Abril","Maio","Junho","Julho","Agosto","Setembro","Outubro","Novembro","Dezembro"},MONTH($C$7))&amp;"/"&amp;YEAR($C$7)</f>
        <v>Setembro/2026</v>
      </c>
      <c r="C7" s="152">
        <f>IF(ISNUMBER(Indicadores!$U$1),DATE(YEAR(Indicadores!$U$1),MONTH(Indicadores!$U$1),1),IFERROR(DATE(VALUE(RIGHT(TRIM(Indicadores!$U$1),4)),MATCH(TRIM(LEFT(Indicadores!$U$1,FIND("·",Indicadores!$U$1)-1)),{"JANEIRO","FEVEREIRO","MARÇO","ABRIL","MAIO","JUNHO","JULHO","AGOSTO","SETEMBRO","OUTUBRO","NOVEMBRO","DEZEMBRO"},0),1),DATE(2026,9,1)))</f>
        <v>46266</v>
      </c>
      <c r="D7" s="152">
        <f>DATE(YEAR($C$7),MONTH($C$7)+1,0)</f>
        <v>46295</v>
      </c>
    </row>
    <row r="8">
      <c r="A8" t="inlineStr">
        <is>
          <t xml:space="preserve">Mês anterior (comparação)</t>
        </is>
      </c>
      <c r="B8" t="str">
        <f>INDEX({"Janeiro","Fevereiro","Março","Abril","Maio","Junho","Julho","Agosto","Setembro","Outubro","Novembro","Dezembro"},MONTH($C$8))&amp;"/"&amp;YEAR($C$8)</f>
        <v>Agosto/2026</v>
      </c>
      <c r="C8" s="152">
        <f>DATE(YEAR($C$7),MONTH($C$7)-1,1)</f>
        <v>46235</v>
      </c>
      <c r="D8" s="152">
        <f>IF($B$9=0,$C$8-1,MIN($C$8+MAX(MIN($B$9,31),1)-1,DATE(YEAR($C$8),MONTH($C$8)+1,0)))</f>
        <v>46234</v>
      </c>
    </row>
    <row r="9">
      <c r="A9" t="inlineStr">
        <is>
          <t xml:space="preserve">Comparar até o dia</t>
        </is>
      </c>
      <c r="B9">
        <f>IFERROR(IF(_xlfn.MAXIFS(Base!$A$3:$A$5001,Base!$A$3:$A$5001,"&gt;="&amp;$C$7,Base!$A$3:$A$5001,"&lt;="&amp;$D$7)=0,0,DAY(_xlfn.MAXIFS(Base!$A$3:$A$5001,Base!$A$3:$A$5001,"&gt;="&amp;$C$7,Base!$A$3:$A$5001,"&lt;="&amp;$D$7))),0)</f>
        <v>0</v>
      </c>
      <c r="C9" t="inlineStr">
        <is>
          <t xml:space="preserve">o mês anterior é somado do dia 1 até este dia (último dia com dado no mês escolhido)</t>
        </is>
      </c>
    </row>
    <row r="11">
      <c r="A11" s="145" t="inlineStr">
        <is>
          <t xml:space="preserve">Dia</t>
        </is>
      </c>
      <c r="B11" s="145" t="inlineStr">
        <is>
          <t xml:space="preserve">Data</t>
        </is>
      </c>
      <c r="C11" s="145" t="inlineStr">
        <is>
          <t xml:space="preserve">IN Veículos Recebidos</t>
        </is>
      </c>
      <c r="D11" s="145" t="inlineStr">
        <is>
          <t xml:space="preserve">IN Pallets Movimentados</t>
        </is>
      </c>
      <c r="E11" s="145" t="inlineStr">
        <is>
          <t xml:space="preserve">IN Toneladas Movimentadas</t>
        </is>
      </c>
      <c r="F11" s="145" t="inlineStr">
        <is>
          <t xml:space="preserve">IN Caixas Movimentadas</t>
        </is>
      </c>
      <c r="G11" s="145" t="inlineStr">
        <is>
          <t xml:space="preserve">IN Itens Recebidos CX Mista</t>
        </is>
      </c>
      <c r="H11" s="145" t="inlineStr">
        <is>
          <t xml:space="preserve">IN Caixas Mistas Recebidas</t>
        </is>
      </c>
      <c r="I11" s="145" t="inlineStr">
        <is>
          <t xml:space="preserve">IN Caixas Fechadas</t>
        </is>
      </c>
      <c r="J11" s="145" t="inlineStr">
        <is>
          <t xml:space="preserve">IN Peças Movimentadas</t>
        </is>
      </c>
      <c r="K11" s="145" t="inlineStr">
        <is>
          <t xml:space="preserve">IN Linhas NF</t>
        </is>
      </c>
      <c r="L11" s="145" t="inlineStr">
        <is>
          <t xml:space="preserve">OUT Veículos Expedidos</t>
        </is>
      </c>
      <c r="M11" s="145" t="inlineStr">
        <is>
          <t xml:space="preserve">OUT Pallets Movimentados</t>
        </is>
      </c>
      <c r="N11" s="145" t="inlineStr">
        <is>
          <t xml:space="preserve">OUT Toneladas Movimentadas</t>
        </is>
      </c>
      <c r="O11" s="145" t="inlineStr">
        <is>
          <t xml:space="preserve">OUT Caixas Expedidas</t>
        </is>
      </c>
      <c r="P11" s="145" t="inlineStr">
        <is>
          <t xml:space="preserve">OUT Pedidos Expedidos</t>
        </is>
      </c>
      <c r="Q11" s="145" t="inlineStr">
        <is>
          <t xml:space="preserve">OUT Pedidos Faturados</t>
        </is>
      </c>
      <c r="R11" s="145" t="inlineStr">
        <is>
          <t xml:space="preserve">OUT Itens Expedidos</t>
        </is>
      </c>
      <c r="S11" s="145" t="inlineStr">
        <is>
          <t xml:space="preserve">OUT Peças Movimentadas</t>
        </is>
      </c>
      <c r="T11" s="145" t="inlineStr">
        <is>
          <t xml:space="preserve">OUT Linhas NF</t>
        </is>
      </c>
      <c r="U11" s="145" t="inlineStr">
        <is>
          <t xml:space="preserve">NC Incidentes</t>
        </is>
      </c>
      <c r="V11" s="145" t="inlineStr">
        <is>
          <t xml:space="preserve">NC No show</t>
        </is>
      </c>
      <c r="W11" s="145" t="inlineStr">
        <is>
          <t xml:space="preserve">NC Backlog</t>
        </is>
      </c>
      <c r="X11" s="145" t="inlineStr">
        <is>
          <t xml:space="preserve">Posições Disponíveis</t>
        </is>
      </c>
      <c r="Y11" s="145" t="inlineStr">
        <is>
          <t xml:space="preserve">Posições Ocupadas</t>
        </is>
      </c>
      <c r="Z11" s="145" t="inlineStr">
        <is>
          <t xml:space="preserve">Taxa de Ocupação</t>
        </is>
      </c>
      <c r="AA11" s="145" t="inlineStr">
        <is>
          <t xml:space="preserve">Efetivo</t>
        </is>
      </c>
      <c r="AB11" s="145" t="inlineStr">
        <is>
          <t xml:space="preserve">Falta</t>
        </is>
      </c>
      <c r="AC11" s="145" t="inlineStr">
        <is>
          <t xml:space="preserve">Folga</t>
        </is>
      </c>
      <c r="AD11" s="145" t="inlineStr">
        <is>
          <t xml:space="preserve">Férias</t>
        </is>
      </c>
      <c r="AE11" s="145" t="inlineStr">
        <is>
          <t xml:space="preserve">Desligamentos</t>
        </is>
      </c>
      <c r="AG11" s="145" t="inlineStr">
        <is>
          <t xml:space="preserve">Destaque IN</t>
        </is>
      </c>
      <c r="AH11" s="145" t="inlineStr">
        <is>
          <t xml:space="preserve">Destaque OUT</t>
        </is>
      </c>
      <c r="AI11" s="145" t="inlineStr">
        <is>
          <t xml:space="preserve">Faixa atenção</t>
        </is>
      </c>
      <c r="AJ11" s="145" t="inlineStr">
        <is>
          <t xml:space="preserve">Faixa crítica</t>
        </is>
      </c>
      <c r="AL11" s="145" t="inlineStr">
        <is>
          <t xml:space="preserve">Clientes (filtro)</t>
        </is>
      </c>
      <c r="AN11" s="145" t="inlineStr">
        <is>
          <t xml:space="preserve">Meses (filtros das abas)</t>
        </is>
      </c>
      <c r="AP11" s="145" t="inlineStr">
        <is>
          <t xml:space="preserve">Títulos dos gráficos</t>
        </is>
      </c>
    </row>
    <row r="12">
      <c r="A12">
        <v>1</v>
      </c>
      <c r="B12" s="152">
        <f>IF(ISNUMBER($A12),$C$7+$A12-1,"")</f>
        <v>46266</v>
      </c>
      <c r="C12">
        <f>IF($B$2="Todos",SUMIFS(Base!$C$3:$C$5001,Base!$A$3:$A$5001,$B12),SUMIFS(Base!$C$3:$C$5001,Base!$A$3:$A$5001,$B12,Base!$B$3:$B$5001,$B$2))</f>
        <v>0</v>
      </c>
      <c r="D12">
        <f>IF($B$2="Todos",SUMIFS(Base!$D$3:$D$5001,Base!$A$3:$A$5001,$B12),SUMIFS(Base!$D$3:$D$5001,Base!$A$3:$A$5001,$B12,Base!$B$3:$B$5001,$B$2))</f>
        <v>0</v>
      </c>
      <c r="E12">
        <f>IF($B$2="Todos",SUMIFS(Base!$E$3:$E$5001,Base!$A$3:$A$5001,$B12),SUMIFS(Base!$E$3:$E$5001,Base!$A$3:$A$5001,$B12,Base!$B$3:$B$5001,$B$2))</f>
        <v>0</v>
      </c>
      <c r="F12">
        <f>IF($B$2="Todos",SUMIFS(Base!$F$3:$F$5001,Base!$A$3:$A$5001,$B12),SUMIFS(Base!$F$3:$F$5001,Base!$A$3:$A$5001,$B12,Base!$B$3:$B$5001,$B$2))</f>
        <v>0</v>
      </c>
      <c r="G12">
        <f>IF($B$2="Todos",SUMIFS(Base!$G$3:$G$5001,Base!$A$3:$A$5001,$B12),SUMIFS(Base!$G$3:$G$5001,Base!$A$3:$A$5001,$B12,Base!$B$3:$B$5001,$B$2))</f>
        <v>0</v>
      </c>
      <c r="H12">
        <f>IF($B$2="Todos",SUMIFS(Base!$H$3:$H$5001,Base!$A$3:$A$5001,$B12),SUMIFS(Base!$H$3:$H$5001,Base!$A$3:$A$5001,$B12,Base!$B$3:$B$5001,$B$2))</f>
        <v>0</v>
      </c>
      <c r="I12">
        <f>IF($B$2="Todos",SUMIFS(Base!$I$3:$I$5001,Base!$A$3:$A$5001,$B12),SUMIFS(Base!$I$3:$I$5001,Base!$A$3:$A$5001,$B12,Base!$B$3:$B$5001,$B$2))</f>
        <v>0</v>
      </c>
      <c r="J12">
        <f>IF($B$2="Todos",SUMIFS(Base!$J$3:$J$5001,Base!$A$3:$A$5001,$B12),SUMIFS(Base!$J$3:$J$5001,Base!$A$3:$A$5001,$B12,Base!$B$3:$B$5001,$B$2))</f>
        <v>0</v>
      </c>
      <c r="K12">
        <f>IF($B$2="Todos",SUMIFS(Base!$K$3:$K$5001,Base!$A$3:$A$5001,$B12),SUMIFS(Base!$K$3:$K$5001,Base!$A$3:$A$5001,$B12,Base!$B$3:$B$5001,$B$2))</f>
        <v>0</v>
      </c>
      <c r="L12">
        <f>IF($B$2="Todos",SUMIFS(Base!$L$3:$L$5001,Base!$A$3:$A$5001,$B12),SUMIFS(Base!$L$3:$L$5001,Base!$A$3:$A$5001,$B12,Base!$B$3:$B$5001,$B$2))</f>
        <v>0</v>
      </c>
      <c r="M12">
        <f>IF($B$2="Todos",SUMIFS(Base!$M$3:$M$5001,Base!$A$3:$A$5001,$B12),SUMIFS(Base!$M$3:$M$5001,Base!$A$3:$A$5001,$B12,Base!$B$3:$B$5001,$B$2))</f>
        <v>0</v>
      </c>
      <c r="N12">
        <f>IF($B$2="Todos",SUMIFS(Base!$N$3:$N$5001,Base!$A$3:$A$5001,$B12),SUMIFS(Base!$N$3:$N$5001,Base!$A$3:$A$5001,$B12,Base!$B$3:$B$5001,$B$2))</f>
        <v>0</v>
      </c>
      <c r="O12">
        <f>IF($B$2="Todos",SUMIFS(Base!$O$3:$O$5001,Base!$A$3:$A$5001,$B12),SUMIFS(Base!$O$3:$O$5001,Base!$A$3:$A$5001,$B12,Base!$B$3:$B$5001,$B$2))</f>
        <v>0</v>
      </c>
      <c r="P12">
        <f>IF($B$2="Todos",SUMIFS(Base!$P$3:$P$5001,Base!$A$3:$A$5001,$B12),SUMIFS(Base!$P$3:$P$5001,Base!$A$3:$A$5001,$B12,Base!$B$3:$B$5001,$B$2))</f>
        <v>0</v>
      </c>
      <c r="Q12">
        <f>IF($B$2="Todos",SUMIFS(Base!$Q$3:$Q$5001,Base!$A$3:$A$5001,$B12),SUMIFS(Base!$Q$3:$Q$5001,Base!$A$3:$A$5001,$B12,Base!$B$3:$B$5001,$B$2))</f>
        <v>0</v>
      </c>
      <c r="R12">
        <f>IF($B$2="Todos",SUMIFS(Base!$R$3:$R$5001,Base!$A$3:$A$5001,$B12),SUMIFS(Base!$R$3:$R$5001,Base!$A$3:$A$5001,$B12,Base!$B$3:$B$5001,$B$2))</f>
        <v>0</v>
      </c>
      <c r="S12">
        <f>IF($B$2="Todos",SUMIFS(Base!$S$3:$S$5001,Base!$A$3:$A$5001,$B12),SUMIFS(Base!$S$3:$S$5001,Base!$A$3:$A$5001,$B12,Base!$B$3:$B$5001,$B$2))</f>
        <v>0</v>
      </c>
      <c r="T12">
        <f>IF($B$2="Todos",SUMIFS(Base!$T$3:$T$5001,Base!$A$3:$A$5001,$B12),SUMIFS(Base!$T$3:$T$5001,Base!$A$3:$A$5001,$B12,Base!$B$3:$B$5001,$B$2))</f>
        <v>0</v>
      </c>
      <c r="U12">
        <f>IF($B$2="Todos",SUMIFS(Base!$U$3:$U$5001,Base!$A$3:$A$5001,$B12),SUMIFS(Base!$U$3:$U$5001,Base!$A$3:$A$5001,$B12,Base!$B$3:$B$5001,$B$2))</f>
        <v>0</v>
      </c>
      <c r="V12">
        <f>IF($B$2="Todos",SUMIFS(Base!$V$3:$V$5001,Base!$A$3:$A$5001,$B12),SUMIFS(Base!$V$3:$V$5001,Base!$A$3:$A$5001,$B12,Base!$B$3:$B$5001,$B$2))</f>
        <v>0</v>
      </c>
      <c r="W12" t="str">
        <f>IF($B$2="Todos",IF(COUNT($C$128:$K$128)=0,"",SUM($C$128:$K$128)),IFERROR(INDEX($C$128:$K$128,MATCH($B$2,$C$127:$K$127,0)),""))</f>
        <v/>
      </c>
      <c r="X12" t="str">
        <f>IF(Y12="","",IF($B$2="Todos",IF(ISNUMBER($B$4),$B$4,IF(COUNT($C$163:$K$163)=0,"",SUM($C$163:$K$163))),IFERROR(INDEX($C$163:$K$163,MATCH($B$2,$C$162:$K$162,0)),"")))</f>
        <v/>
      </c>
      <c r="Y12" t="str">
        <f>IF($B$2="Todos",IF(COUNT($C$198:$K$198)=0,"",SUM($C$198:$K$198)),IFERROR(INDEX($C$198:$K$198,MATCH($B$2,$C$197:$K$197,0)),""))</f>
        <v/>
      </c>
      <c r="Z12" t="str">
        <f>IF(AND(ISNUMBER(Y12),ISNUMBER(X12)),IF(X12&gt;0,Y12/X12,""),"")</f>
        <v/>
      </c>
      <c r="AA12" t="str">
        <f>IF($B$2="Todos",IF(COUNT($C$233:$K$233)=0,"",SUM($C$233:$K$233)),IFERROR(INDEX($C$233:$K$233,MATCH($B$2,$C$232:$K$232,0)),""))</f>
        <v/>
      </c>
      <c r="AB12">
        <f>IF($B$2="Todos",SUMIFS(Base!$AA$3:$AA$5001,Base!$A$3:$A$5001,$B12),SUMIFS(Base!$AA$3:$AA$5001,Base!$A$3:$A$5001,$B12,Base!$B$3:$B$5001,$B$2))</f>
        <v>0</v>
      </c>
      <c r="AC12">
        <f>IF($B$2="Todos",SUMIFS(Base!$AB$3:$AB$5001,Base!$A$3:$A$5001,$B12),SUMIFS(Base!$AB$3:$AB$5001,Base!$A$3:$A$5001,$B12,Base!$B$3:$B$5001,$B$2))</f>
        <v>0</v>
      </c>
      <c r="AD12">
        <f>IF($B$2="Todos",SUMIFS(Base!$AC$3:$AC$5001,Base!$A$3:$A$5001,$B12),SUMIFS(Base!$AC$3:$AC$5001,Base!$A$3:$A$5001,$B12,Base!$B$3:$B$5001,$B$2))</f>
        <v>0</v>
      </c>
      <c r="AE12">
        <f>IF($B$2="Todos",SUMIFS(Base!$AD$3:$AD$5001,Base!$A$3:$A$5001,$B12),SUMIFS(Base!$AD$3:$AD$5001,Base!$A$3:$A$5001,$B12,Base!$B$3:$B$5001,$B$2))</f>
        <v>0</v>
      </c>
      <c r="AG12">
        <f>IFERROR(N(INDEX($C12:$AE12,MATCH($B$3,$C$11:$AE$11,0))),0)</f>
        <v>0</v>
      </c>
      <c r="AH12">
        <f>IFERROR(N(INDEX($C12:$AE12,MATCH($C$3,$C$11:$AE$11,0))),0)</f>
        <v>0</v>
      </c>
      <c r="AI12">
        <f>$B$5</f>
        <v>0.7</v>
      </c>
      <c r="AJ12">
        <f>$B$6</f>
        <v>0.9</v>
      </c>
      <c r="AL12" t="inlineStr">
        <is>
          <t xml:space="preserve">Todos</t>
        </is>
      </c>
      <c r="AN12" t="inlineStr">
        <is>
          <t xml:space="preserve">JANEIRO · 2026</t>
        </is>
      </c>
      <c r="AP12" t="str">
        <f>"Veículos por dia · recebidos x expedidos — "&amp;IF($B$2="Todos","todos os clientes",$B$2)</f>
        <v>Veículos por dia · recebidos x expedidos — todos os clientes</v>
      </c>
    </row>
    <row r="13">
      <c r="A13">
        <v>2</v>
      </c>
      <c r="B13" s="152">
        <f>IF(ISNUMBER($A13),$C$7+$A13-1,"")</f>
        <v>46267</v>
      </c>
      <c r="C13">
        <f>IF($B$2="Todos",SUMIFS(Base!$C$3:$C$5001,Base!$A$3:$A$5001,$B13),SUMIFS(Base!$C$3:$C$5001,Base!$A$3:$A$5001,$B13,Base!$B$3:$B$5001,$B$2))</f>
        <v>0</v>
      </c>
      <c r="D13">
        <f>IF($B$2="Todos",SUMIFS(Base!$D$3:$D$5001,Base!$A$3:$A$5001,$B13),SUMIFS(Base!$D$3:$D$5001,Base!$A$3:$A$5001,$B13,Base!$B$3:$B$5001,$B$2))</f>
        <v>0</v>
      </c>
      <c r="E13">
        <f>IF($B$2="Todos",SUMIFS(Base!$E$3:$E$5001,Base!$A$3:$A$5001,$B13),SUMIFS(Base!$E$3:$E$5001,Base!$A$3:$A$5001,$B13,Base!$B$3:$B$5001,$B$2))</f>
        <v>0</v>
      </c>
      <c r="F13">
        <f>IF($B$2="Todos",SUMIFS(Base!$F$3:$F$5001,Base!$A$3:$A$5001,$B13),SUMIFS(Base!$F$3:$F$5001,Base!$A$3:$A$5001,$B13,Base!$B$3:$B$5001,$B$2))</f>
        <v>0</v>
      </c>
      <c r="G13">
        <f>IF($B$2="Todos",SUMIFS(Base!$G$3:$G$5001,Base!$A$3:$A$5001,$B13),SUMIFS(Base!$G$3:$G$5001,Base!$A$3:$A$5001,$B13,Base!$B$3:$B$5001,$B$2))</f>
        <v>0</v>
      </c>
      <c r="H13">
        <f>IF($B$2="Todos",SUMIFS(Base!$H$3:$H$5001,Base!$A$3:$A$5001,$B13),SUMIFS(Base!$H$3:$H$5001,Base!$A$3:$A$5001,$B13,Base!$B$3:$B$5001,$B$2))</f>
        <v>0</v>
      </c>
      <c r="I13">
        <f>IF($B$2="Todos",SUMIFS(Base!$I$3:$I$5001,Base!$A$3:$A$5001,$B13),SUMIFS(Base!$I$3:$I$5001,Base!$A$3:$A$5001,$B13,Base!$B$3:$B$5001,$B$2))</f>
        <v>0</v>
      </c>
      <c r="J13">
        <f>IF($B$2="Todos",SUMIFS(Base!$J$3:$J$5001,Base!$A$3:$A$5001,$B13),SUMIFS(Base!$J$3:$J$5001,Base!$A$3:$A$5001,$B13,Base!$B$3:$B$5001,$B$2))</f>
        <v>0</v>
      </c>
      <c r="K13">
        <f>IF($B$2="Todos",SUMIFS(Base!$K$3:$K$5001,Base!$A$3:$A$5001,$B13),SUMIFS(Base!$K$3:$K$5001,Base!$A$3:$A$5001,$B13,Base!$B$3:$B$5001,$B$2))</f>
        <v>0</v>
      </c>
      <c r="L13">
        <f>IF($B$2="Todos",SUMIFS(Base!$L$3:$L$5001,Base!$A$3:$A$5001,$B13),SUMIFS(Base!$L$3:$L$5001,Base!$A$3:$A$5001,$B13,Base!$B$3:$B$5001,$B$2))</f>
        <v>0</v>
      </c>
      <c r="M13">
        <f>IF($B$2="Todos",SUMIFS(Base!$M$3:$M$5001,Base!$A$3:$A$5001,$B13),SUMIFS(Base!$M$3:$M$5001,Base!$A$3:$A$5001,$B13,Base!$B$3:$B$5001,$B$2))</f>
        <v>0</v>
      </c>
      <c r="N13">
        <f>IF($B$2="Todos",SUMIFS(Base!$N$3:$N$5001,Base!$A$3:$A$5001,$B13),SUMIFS(Base!$N$3:$N$5001,Base!$A$3:$A$5001,$B13,Base!$B$3:$B$5001,$B$2))</f>
        <v>0</v>
      </c>
      <c r="O13">
        <f>IF($B$2="Todos",SUMIFS(Base!$O$3:$O$5001,Base!$A$3:$A$5001,$B13),SUMIFS(Base!$O$3:$O$5001,Base!$A$3:$A$5001,$B13,Base!$B$3:$B$5001,$B$2))</f>
        <v>0</v>
      </c>
      <c r="P13">
        <f>IF($B$2="Todos",SUMIFS(Base!$P$3:$P$5001,Base!$A$3:$A$5001,$B13),SUMIFS(Base!$P$3:$P$5001,Base!$A$3:$A$5001,$B13,Base!$B$3:$B$5001,$B$2))</f>
        <v>0</v>
      </c>
      <c r="Q13">
        <f>IF($B$2="Todos",SUMIFS(Base!$Q$3:$Q$5001,Base!$A$3:$A$5001,$B13),SUMIFS(Base!$Q$3:$Q$5001,Base!$A$3:$A$5001,$B13,Base!$B$3:$B$5001,$B$2))</f>
        <v>0</v>
      </c>
      <c r="R13">
        <f>IF($B$2="Todos",SUMIFS(Base!$R$3:$R$5001,Base!$A$3:$A$5001,$B13),SUMIFS(Base!$R$3:$R$5001,Base!$A$3:$A$5001,$B13,Base!$B$3:$B$5001,$B$2))</f>
        <v>0</v>
      </c>
      <c r="S13">
        <f>IF($B$2="Todos",SUMIFS(Base!$S$3:$S$5001,Base!$A$3:$A$5001,$B13),SUMIFS(Base!$S$3:$S$5001,Base!$A$3:$A$5001,$B13,Base!$B$3:$B$5001,$B$2))</f>
        <v>0</v>
      </c>
      <c r="T13">
        <f>IF($B$2="Todos",SUMIFS(Base!$T$3:$T$5001,Base!$A$3:$A$5001,$B13),SUMIFS(Base!$T$3:$T$5001,Base!$A$3:$A$5001,$B13,Base!$B$3:$B$5001,$B$2))</f>
        <v>0</v>
      </c>
      <c r="U13">
        <f>IF($B$2="Todos",SUMIFS(Base!$U$3:$U$5001,Base!$A$3:$A$5001,$B13),SUMIFS(Base!$U$3:$U$5001,Base!$A$3:$A$5001,$B13,Base!$B$3:$B$5001,$B$2))</f>
        <v>0</v>
      </c>
      <c r="V13">
        <f>IF($B$2="Todos",SUMIFS(Base!$V$3:$V$5001,Base!$A$3:$A$5001,$B13),SUMIFS(Base!$V$3:$V$5001,Base!$A$3:$A$5001,$B13,Base!$B$3:$B$5001,$B$2))</f>
        <v>0</v>
      </c>
      <c r="W13" t="str">
        <f>IF($B$2="Todos",IF(COUNT($C$129:$K$129)=0,"",SUM($C$129:$K$129)),IFERROR(INDEX($C$129:$K$129,MATCH($B$2,$C$127:$K$127,0)),""))</f>
        <v/>
      </c>
      <c r="X13" t="str">
        <f>IF(Y13="","",IF($B$2="Todos",IF(ISNUMBER($B$4),$B$4,IF(COUNT($C$164:$K$164)=0,"",SUM($C$164:$K$164))),IFERROR(INDEX($C$164:$K$164,MATCH($B$2,$C$162:$K$162,0)),"")))</f>
        <v/>
      </c>
      <c r="Y13" t="str">
        <f>IF($B$2="Todos",IF(COUNT($C$199:$K$199)=0,"",SUM($C$199:$K$199)),IFERROR(INDEX($C$199:$K$199,MATCH($B$2,$C$197:$K$197,0)),""))</f>
        <v/>
      </c>
      <c r="Z13" t="str">
        <f>IF(AND(ISNUMBER(Y13),ISNUMBER(X13)),IF(X13&gt;0,Y13/X13,""),"")</f>
        <v/>
      </c>
      <c r="AA13" t="str">
        <f>IF($B$2="Todos",IF(COUNT($C$234:$K$234)=0,"",SUM($C$234:$K$234)),IFERROR(INDEX($C$234:$K$234,MATCH($B$2,$C$232:$K$232,0)),""))</f>
        <v/>
      </c>
      <c r="AB13">
        <f>IF($B$2="Todos",SUMIFS(Base!$AA$3:$AA$5001,Base!$A$3:$A$5001,$B13),SUMIFS(Base!$AA$3:$AA$5001,Base!$A$3:$A$5001,$B13,Base!$B$3:$B$5001,$B$2))</f>
        <v>0</v>
      </c>
      <c r="AC13">
        <f>IF($B$2="Todos",SUMIFS(Base!$AB$3:$AB$5001,Base!$A$3:$A$5001,$B13),SUMIFS(Base!$AB$3:$AB$5001,Base!$A$3:$A$5001,$B13,Base!$B$3:$B$5001,$B$2))</f>
        <v>0</v>
      </c>
      <c r="AD13">
        <f>IF($B$2="Todos",SUMIFS(Base!$AC$3:$AC$5001,Base!$A$3:$A$5001,$B13),SUMIFS(Base!$AC$3:$AC$5001,Base!$A$3:$A$5001,$B13,Base!$B$3:$B$5001,$B$2))</f>
        <v>0</v>
      </c>
      <c r="AE13">
        <f>IF($B$2="Todos",SUMIFS(Base!$AD$3:$AD$5001,Base!$A$3:$A$5001,$B13),SUMIFS(Base!$AD$3:$AD$5001,Base!$A$3:$A$5001,$B13,Base!$B$3:$B$5001,$B$2))</f>
        <v>0</v>
      </c>
      <c r="AG13">
        <f>IFERROR(N(INDEX($C13:$AE13,MATCH($B$3,$C$11:$AE$11,0))),0)</f>
        <v>0</v>
      </c>
      <c r="AH13">
        <f>IFERROR(N(INDEX($C13:$AE13,MATCH($C$3,$C$11:$AE$11,0))),0)</f>
        <v>0</v>
      </c>
      <c r="AI13">
        <f>$B$5</f>
        <v>0.7</v>
      </c>
      <c r="AJ13">
        <f>$B$6</f>
        <v>0.9</v>
      </c>
      <c r="AL13" t="inlineStr">
        <is>
          <t xml:space="preserve">BASF</t>
        </is>
      </c>
      <c r="AN13" t="inlineStr">
        <is>
          <t xml:space="preserve">FEVEREIRO · 2026</t>
        </is>
      </c>
      <c r="AP13" t="str">
        <f>"Taxa de ocupação por dia — "&amp;IF($B$2="Todos","todos os clientes",$B$2)</f>
        <v>Taxa de ocupação por dia — todos os clientes</v>
      </c>
    </row>
    <row r="14">
      <c r="A14">
        <v>3</v>
      </c>
      <c r="B14" s="152">
        <f>IF(ISNUMBER($A14),$C$7+$A14-1,"")</f>
        <v>46268</v>
      </c>
      <c r="C14">
        <f>IF($B$2="Todos",SUMIFS(Base!$C$3:$C$5001,Base!$A$3:$A$5001,$B14),SUMIFS(Base!$C$3:$C$5001,Base!$A$3:$A$5001,$B14,Base!$B$3:$B$5001,$B$2))</f>
        <v>0</v>
      </c>
      <c r="D14">
        <f>IF($B$2="Todos",SUMIFS(Base!$D$3:$D$5001,Base!$A$3:$A$5001,$B14),SUMIFS(Base!$D$3:$D$5001,Base!$A$3:$A$5001,$B14,Base!$B$3:$B$5001,$B$2))</f>
        <v>0</v>
      </c>
      <c r="E14">
        <f>IF($B$2="Todos",SUMIFS(Base!$E$3:$E$5001,Base!$A$3:$A$5001,$B14),SUMIFS(Base!$E$3:$E$5001,Base!$A$3:$A$5001,$B14,Base!$B$3:$B$5001,$B$2))</f>
        <v>0</v>
      </c>
      <c r="F14">
        <f>IF($B$2="Todos",SUMIFS(Base!$F$3:$F$5001,Base!$A$3:$A$5001,$B14),SUMIFS(Base!$F$3:$F$5001,Base!$A$3:$A$5001,$B14,Base!$B$3:$B$5001,$B$2))</f>
        <v>0</v>
      </c>
      <c r="G14">
        <f>IF($B$2="Todos",SUMIFS(Base!$G$3:$G$5001,Base!$A$3:$A$5001,$B14),SUMIFS(Base!$G$3:$G$5001,Base!$A$3:$A$5001,$B14,Base!$B$3:$B$5001,$B$2))</f>
        <v>0</v>
      </c>
      <c r="H14">
        <f>IF($B$2="Todos",SUMIFS(Base!$H$3:$H$5001,Base!$A$3:$A$5001,$B14),SUMIFS(Base!$H$3:$H$5001,Base!$A$3:$A$5001,$B14,Base!$B$3:$B$5001,$B$2))</f>
        <v>0</v>
      </c>
      <c r="I14">
        <f>IF($B$2="Todos",SUMIFS(Base!$I$3:$I$5001,Base!$A$3:$A$5001,$B14),SUMIFS(Base!$I$3:$I$5001,Base!$A$3:$A$5001,$B14,Base!$B$3:$B$5001,$B$2))</f>
        <v>0</v>
      </c>
      <c r="J14">
        <f>IF($B$2="Todos",SUMIFS(Base!$J$3:$J$5001,Base!$A$3:$A$5001,$B14),SUMIFS(Base!$J$3:$J$5001,Base!$A$3:$A$5001,$B14,Base!$B$3:$B$5001,$B$2))</f>
        <v>0</v>
      </c>
      <c r="K14">
        <f>IF($B$2="Todos",SUMIFS(Base!$K$3:$K$5001,Base!$A$3:$A$5001,$B14),SUMIFS(Base!$K$3:$K$5001,Base!$A$3:$A$5001,$B14,Base!$B$3:$B$5001,$B$2))</f>
        <v>0</v>
      </c>
      <c r="L14">
        <f>IF($B$2="Todos",SUMIFS(Base!$L$3:$L$5001,Base!$A$3:$A$5001,$B14),SUMIFS(Base!$L$3:$L$5001,Base!$A$3:$A$5001,$B14,Base!$B$3:$B$5001,$B$2))</f>
        <v>0</v>
      </c>
      <c r="M14">
        <f>IF($B$2="Todos",SUMIFS(Base!$M$3:$M$5001,Base!$A$3:$A$5001,$B14),SUMIFS(Base!$M$3:$M$5001,Base!$A$3:$A$5001,$B14,Base!$B$3:$B$5001,$B$2))</f>
        <v>0</v>
      </c>
      <c r="N14">
        <f>IF($B$2="Todos",SUMIFS(Base!$N$3:$N$5001,Base!$A$3:$A$5001,$B14),SUMIFS(Base!$N$3:$N$5001,Base!$A$3:$A$5001,$B14,Base!$B$3:$B$5001,$B$2))</f>
        <v>0</v>
      </c>
      <c r="O14">
        <f>IF($B$2="Todos",SUMIFS(Base!$O$3:$O$5001,Base!$A$3:$A$5001,$B14),SUMIFS(Base!$O$3:$O$5001,Base!$A$3:$A$5001,$B14,Base!$B$3:$B$5001,$B$2))</f>
        <v>0</v>
      </c>
      <c r="P14">
        <f>IF($B$2="Todos",SUMIFS(Base!$P$3:$P$5001,Base!$A$3:$A$5001,$B14),SUMIFS(Base!$P$3:$P$5001,Base!$A$3:$A$5001,$B14,Base!$B$3:$B$5001,$B$2))</f>
        <v>0</v>
      </c>
      <c r="Q14">
        <f>IF($B$2="Todos",SUMIFS(Base!$Q$3:$Q$5001,Base!$A$3:$A$5001,$B14),SUMIFS(Base!$Q$3:$Q$5001,Base!$A$3:$A$5001,$B14,Base!$B$3:$B$5001,$B$2))</f>
        <v>0</v>
      </c>
      <c r="R14">
        <f>IF($B$2="Todos",SUMIFS(Base!$R$3:$R$5001,Base!$A$3:$A$5001,$B14),SUMIFS(Base!$R$3:$R$5001,Base!$A$3:$A$5001,$B14,Base!$B$3:$B$5001,$B$2))</f>
        <v>0</v>
      </c>
      <c r="S14">
        <f>IF($B$2="Todos",SUMIFS(Base!$S$3:$S$5001,Base!$A$3:$A$5001,$B14),SUMIFS(Base!$S$3:$S$5001,Base!$A$3:$A$5001,$B14,Base!$B$3:$B$5001,$B$2))</f>
        <v>0</v>
      </c>
      <c r="T14">
        <f>IF($B$2="Todos",SUMIFS(Base!$T$3:$T$5001,Base!$A$3:$A$5001,$B14),SUMIFS(Base!$T$3:$T$5001,Base!$A$3:$A$5001,$B14,Base!$B$3:$B$5001,$B$2))</f>
        <v>0</v>
      </c>
      <c r="U14">
        <f>IF($B$2="Todos",SUMIFS(Base!$U$3:$U$5001,Base!$A$3:$A$5001,$B14),SUMIFS(Base!$U$3:$U$5001,Base!$A$3:$A$5001,$B14,Base!$B$3:$B$5001,$B$2))</f>
        <v>0</v>
      </c>
      <c r="V14">
        <f>IF($B$2="Todos",SUMIFS(Base!$V$3:$V$5001,Base!$A$3:$A$5001,$B14),SUMIFS(Base!$V$3:$V$5001,Base!$A$3:$A$5001,$B14,Base!$B$3:$B$5001,$B$2))</f>
        <v>0</v>
      </c>
      <c r="W14" t="str">
        <f>IF($B$2="Todos",IF(COUNT($C$130:$K$130)=0,"",SUM($C$130:$K$130)),IFERROR(INDEX($C$130:$K$130,MATCH($B$2,$C$127:$K$127,0)),""))</f>
        <v/>
      </c>
      <c r="X14" t="str">
        <f>IF(Y14="","",IF($B$2="Todos",IF(ISNUMBER($B$4),$B$4,IF(COUNT($C$165:$K$165)=0,"",SUM($C$165:$K$165))),IFERROR(INDEX($C$165:$K$165,MATCH($B$2,$C$162:$K$162,0)),"")))</f>
        <v/>
      </c>
      <c r="Y14" t="str">
        <f>IF($B$2="Todos",IF(COUNT($C$200:$K$200)=0,"",SUM($C$200:$K$200)),IFERROR(INDEX($C$200:$K$200,MATCH($B$2,$C$197:$K$197,0)),""))</f>
        <v/>
      </c>
      <c r="Z14" t="str">
        <f>IF(AND(ISNUMBER(Y14),ISNUMBER(X14)),IF(X14&gt;0,Y14/X14,""),"")</f>
        <v/>
      </c>
      <c r="AA14" t="str">
        <f>IF($B$2="Todos",IF(COUNT($C$235:$K$235)=0,"",SUM($C$235:$K$235)),IFERROR(INDEX($C$235:$K$235,MATCH($B$2,$C$232:$K$232,0)),""))</f>
        <v/>
      </c>
      <c r="AB14">
        <f>IF($B$2="Todos",SUMIFS(Base!$AA$3:$AA$5001,Base!$A$3:$A$5001,$B14),SUMIFS(Base!$AA$3:$AA$5001,Base!$A$3:$A$5001,$B14,Base!$B$3:$B$5001,$B$2))</f>
        <v>0</v>
      </c>
      <c r="AC14">
        <f>IF($B$2="Todos",SUMIFS(Base!$AB$3:$AB$5001,Base!$A$3:$A$5001,$B14),SUMIFS(Base!$AB$3:$AB$5001,Base!$A$3:$A$5001,$B14,Base!$B$3:$B$5001,$B$2))</f>
        <v>0</v>
      </c>
      <c r="AD14">
        <f>IF($B$2="Todos",SUMIFS(Base!$AC$3:$AC$5001,Base!$A$3:$A$5001,$B14),SUMIFS(Base!$AC$3:$AC$5001,Base!$A$3:$A$5001,$B14,Base!$B$3:$B$5001,$B$2))</f>
        <v>0</v>
      </c>
      <c r="AE14">
        <f>IF($B$2="Todos",SUMIFS(Base!$AD$3:$AD$5001,Base!$A$3:$A$5001,$B14),SUMIFS(Base!$AD$3:$AD$5001,Base!$A$3:$A$5001,$B14,Base!$B$3:$B$5001,$B$2))</f>
        <v>0</v>
      </c>
      <c r="AG14">
        <f>IFERROR(N(INDEX($C14:$AE14,MATCH($B$3,$C$11:$AE$11,0))),0)</f>
        <v>0</v>
      </c>
      <c r="AH14">
        <f>IFERROR(N(INDEX($C14:$AE14,MATCH($C$3,$C$11:$AE$11,0))),0)</f>
        <v>0</v>
      </c>
      <c r="AI14">
        <f>$B$5</f>
        <v>0.7</v>
      </c>
      <c r="AJ14">
        <f>$B$6</f>
        <v>0.9</v>
      </c>
      <c r="AL14" t="inlineStr">
        <is>
          <t xml:space="preserve">BEAUTYBIZ</t>
        </is>
      </c>
      <c r="AN14" t="inlineStr">
        <is>
          <t xml:space="preserve">MARÇO · 2026</t>
        </is>
      </c>
      <c r="AP14" t="str">
        <f>"Por semana · "&amp;MID($B$3,FIND(" ",$B$3)+1,99)&amp;" (IN) x "&amp;MID($C$3,FIND(" ",$C$3)+1,99)&amp;" (OUT) — "&amp;IF($B$2="Todos","todos os clientes",$B$2)</f>
        <v>Por semana · Pallets Movimentados (IN) x Pallets Movimentados (OUT) — todos os clientes</v>
      </c>
    </row>
    <row r="15">
      <c r="A15">
        <v>4</v>
      </c>
      <c r="B15" s="152">
        <f>IF(ISNUMBER($A15),$C$7+$A15-1,"")</f>
        <v>46269</v>
      </c>
      <c r="C15">
        <f>IF($B$2="Todos",SUMIFS(Base!$C$3:$C$5001,Base!$A$3:$A$5001,$B15),SUMIFS(Base!$C$3:$C$5001,Base!$A$3:$A$5001,$B15,Base!$B$3:$B$5001,$B$2))</f>
        <v>0</v>
      </c>
      <c r="D15">
        <f>IF($B$2="Todos",SUMIFS(Base!$D$3:$D$5001,Base!$A$3:$A$5001,$B15),SUMIFS(Base!$D$3:$D$5001,Base!$A$3:$A$5001,$B15,Base!$B$3:$B$5001,$B$2))</f>
        <v>0</v>
      </c>
      <c r="E15">
        <f>IF($B$2="Todos",SUMIFS(Base!$E$3:$E$5001,Base!$A$3:$A$5001,$B15),SUMIFS(Base!$E$3:$E$5001,Base!$A$3:$A$5001,$B15,Base!$B$3:$B$5001,$B$2))</f>
        <v>0</v>
      </c>
      <c r="F15">
        <f>IF($B$2="Todos",SUMIFS(Base!$F$3:$F$5001,Base!$A$3:$A$5001,$B15),SUMIFS(Base!$F$3:$F$5001,Base!$A$3:$A$5001,$B15,Base!$B$3:$B$5001,$B$2))</f>
        <v>0</v>
      </c>
      <c r="G15">
        <f>IF($B$2="Todos",SUMIFS(Base!$G$3:$G$5001,Base!$A$3:$A$5001,$B15),SUMIFS(Base!$G$3:$G$5001,Base!$A$3:$A$5001,$B15,Base!$B$3:$B$5001,$B$2))</f>
        <v>0</v>
      </c>
      <c r="H15">
        <f>IF($B$2="Todos",SUMIFS(Base!$H$3:$H$5001,Base!$A$3:$A$5001,$B15),SUMIFS(Base!$H$3:$H$5001,Base!$A$3:$A$5001,$B15,Base!$B$3:$B$5001,$B$2))</f>
        <v>0</v>
      </c>
      <c r="I15">
        <f>IF($B$2="Todos",SUMIFS(Base!$I$3:$I$5001,Base!$A$3:$A$5001,$B15),SUMIFS(Base!$I$3:$I$5001,Base!$A$3:$A$5001,$B15,Base!$B$3:$B$5001,$B$2))</f>
        <v>0</v>
      </c>
      <c r="J15">
        <f>IF($B$2="Todos",SUMIFS(Base!$J$3:$J$5001,Base!$A$3:$A$5001,$B15),SUMIFS(Base!$J$3:$J$5001,Base!$A$3:$A$5001,$B15,Base!$B$3:$B$5001,$B$2))</f>
        <v>0</v>
      </c>
      <c r="K15">
        <f>IF($B$2="Todos",SUMIFS(Base!$K$3:$K$5001,Base!$A$3:$A$5001,$B15),SUMIFS(Base!$K$3:$K$5001,Base!$A$3:$A$5001,$B15,Base!$B$3:$B$5001,$B$2))</f>
        <v>0</v>
      </c>
      <c r="L15">
        <f>IF($B$2="Todos",SUMIFS(Base!$L$3:$L$5001,Base!$A$3:$A$5001,$B15),SUMIFS(Base!$L$3:$L$5001,Base!$A$3:$A$5001,$B15,Base!$B$3:$B$5001,$B$2))</f>
        <v>0</v>
      </c>
      <c r="M15">
        <f>IF($B$2="Todos",SUMIFS(Base!$M$3:$M$5001,Base!$A$3:$A$5001,$B15),SUMIFS(Base!$M$3:$M$5001,Base!$A$3:$A$5001,$B15,Base!$B$3:$B$5001,$B$2))</f>
        <v>0</v>
      </c>
      <c r="N15">
        <f>IF($B$2="Todos",SUMIFS(Base!$N$3:$N$5001,Base!$A$3:$A$5001,$B15),SUMIFS(Base!$N$3:$N$5001,Base!$A$3:$A$5001,$B15,Base!$B$3:$B$5001,$B$2))</f>
        <v>0</v>
      </c>
      <c r="O15">
        <f>IF($B$2="Todos",SUMIFS(Base!$O$3:$O$5001,Base!$A$3:$A$5001,$B15),SUMIFS(Base!$O$3:$O$5001,Base!$A$3:$A$5001,$B15,Base!$B$3:$B$5001,$B$2))</f>
        <v>0</v>
      </c>
      <c r="P15">
        <f>IF($B$2="Todos",SUMIFS(Base!$P$3:$P$5001,Base!$A$3:$A$5001,$B15),SUMIFS(Base!$P$3:$P$5001,Base!$A$3:$A$5001,$B15,Base!$B$3:$B$5001,$B$2))</f>
        <v>0</v>
      </c>
      <c r="Q15">
        <f>IF($B$2="Todos",SUMIFS(Base!$Q$3:$Q$5001,Base!$A$3:$A$5001,$B15),SUMIFS(Base!$Q$3:$Q$5001,Base!$A$3:$A$5001,$B15,Base!$B$3:$B$5001,$B$2))</f>
        <v>0</v>
      </c>
      <c r="R15">
        <f>IF($B$2="Todos",SUMIFS(Base!$R$3:$R$5001,Base!$A$3:$A$5001,$B15),SUMIFS(Base!$R$3:$R$5001,Base!$A$3:$A$5001,$B15,Base!$B$3:$B$5001,$B$2))</f>
        <v>0</v>
      </c>
      <c r="S15">
        <f>IF($B$2="Todos",SUMIFS(Base!$S$3:$S$5001,Base!$A$3:$A$5001,$B15),SUMIFS(Base!$S$3:$S$5001,Base!$A$3:$A$5001,$B15,Base!$B$3:$B$5001,$B$2))</f>
        <v>0</v>
      </c>
      <c r="T15">
        <f>IF($B$2="Todos",SUMIFS(Base!$T$3:$T$5001,Base!$A$3:$A$5001,$B15),SUMIFS(Base!$T$3:$T$5001,Base!$A$3:$A$5001,$B15,Base!$B$3:$B$5001,$B$2))</f>
        <v>0</v>
      </c>
      <c r="U15">
        <f>IF($B$2="Todos",SUMIFS(Base!$U$3:$U$5001,Base!$A$3:$A$5001,$B15),SUMIFS(Base!$U$3:$U$5001,Base!$A$3:$A$5001,$B15,Base!$B$3:$B$5001,$B$2))</f>
        <v>0</v>
      </c>
      <c r="V15">
        <f>IF($B$2="Todos",SUMIFS(Base!$V$3:$V$5001,Base!$A$3:$A$5001,$B15),SUMIFS(Base!$V$3:$V$5001,Base!$A$3:$A$5001,$B15,Base!$B$3:$B$5001,$B$2))</f>
        <v>0</v>
      </c>
      <c r="W15" t="str">
        <f>IF($B$2="Todos",IF(COUNT($C$131:$K$131)=0,"",SUM($C$131:$K$131)),IFERROR(INDEX($C$131:$K$131,MATCH($B$2,$C$127:$K$127,0)),""))</f>
        <v/>
      </c>
      <c r="X15" t="str">
        <f>IF(Y15="","",IF($B$2="Todos",IF(ISNUMBER($B$4),$B$4,IF(COUNT($C$166:$K$166)=0,"",SUM($C$166:$K$166))),IFERROR(INDEX($C$166:$K$166,MATCH($B$2,$C$162:$K$162,0)),"")))</f>
        <v/>
      </c>
      <c r="Y15" t="str">
        <f>IF($B$2="Todos",IF(COUNT($C$201:$K$201)=0,"",SUM($C$201:$K$201)),IFERROR(INDEX($C$201:$K$201,MATCH($B$2,$C$197:$K$197,0)),""))</f>
        <v/>
      </c>
      <c r="Z15" t="str">
        <f>IF(AND(ISNUMBER(Y15),ISNUMBER(X15)),IF(X15&gt;0,Y15/X15,""),"")</f>
        <v/>
      </c>
      <c r="AA15" t="str">
        <f>IF($B$2="Todos",IF(COUNT($C$236:$K$236)=0,"",SUM($C$236:$K$236)),IFERROR(INDEX($C$236:$K$236,MATCH($B$2,$C$232:$K$232,0)),""))</f>
        <v/>
      </c>
      <c r="AB15">
        <f>IF($B$2="Todos",SUMIFS(Base!$AA$3:$AA$5001,Base!$A$3:$A$5001,$B15),SUMIFS(Base!$AA$3:$AA$5001,Base!$A$3:$A$5001,$B15,Base!$B$3:$B$5001,$B$2))</f>
        <v>0</v>
      </c>
      <c r="AC15">
        <f>IF($B$2="Todos",SUMIFS(Base!$AB$3:$AB$5001,Base!$A$3:$A$5001,$B15),SUMIFS(Base!$AB$3:$AB$5001,Base!$A$3:$A$5001,$B15,Base!$B$3:$B$5001,$B$2))</f>
        <v>0</v>
      </c>
      <c r="AD15">
        <f>IF($B$2="Todos",SUMIFS(Base!$AC$3:$AC$5001,Base!$A$3:$A$5001,$B15),SUMIFS(Base!$AC$3:$AC$5001,Base!$A$3:$A$5001,$B15,Base!$B$3:$B$5001,$B$2))</f>
        <v>0</v>
      </c>
      <c r="AE15">
        <f>IF($B$2="Todos",SUMIFS(Base!$AD$3:$AD$5001,Base!$A$3:$A$5001,$B15),SUMIFS(Base!$AD$3:$AD$5001,Base!$A$3:$A$5001,$B15,Base!$B$3:$B$5001,$B$2))</f>
        <v>0</v>
      </c>
      <c r="AG15">
        <f>IFERROR(N(INDEX($C15:$AE15,MATCH($B$3,$C$11:$AE$11,0))),0)</f>
        <v>0</v>
      </c>
      <c r="AH15">
        <f>IFERROR(N(INDEX($C15:$AE15,MATCH($C$3,$C$11:$AE$11,0))),0)</f>
        <v>0</v>
      </c>
      <c r="AI15">
        <f>$B$5</f>
        <v>0.7</v>
      </c>
      <c r="AJ15">
        <f>$B$6</f>
        <v>0.9</v>
      </c>
      <c r="AL15" t="inlineStr">
        <is>
          <t xml:space="preserve">BOTICÁRIO</t>
        </is>
      </c>
      <c r="AN15" t="inlineStr">
        <is>
          <t xml:space="preserve">ABRIL · 2026</t>
        </is>
      </c>
    </row>
    <row r="16">
      <c r="A16">
        <v>5</v>
      </c>
      <c r="B16" s="152">
        <f>IF(ISNUMBER($A16),$C$7+$A16-1,"")</f>
        <v>46270</v>
      </c>
      <c r="C16">
        <f>IF($B$2="Todos",SUMIFS(Base!$C$3:$C$5001,Base!$A$3:$A$5001,$B16),SUMIFS(Base!$C$3:$C$5001,Base!$A$3:$A$5001,$B16,Base!$B$3:$B$5001,$B$2))</f>
        <v>0</v>
      </c>
      <c r="D16">
        <f>IF($B$2="Todos",SUMIFS(Base!$D$3:$D$5001,Base!$A$3:$A$5001,$B16),SUMIFS(Base!$D$3:$D$5001,Base!$A$3:$A$5001,$B16,Base!$B$3:$B$5001,$B$2))</f>
        <v>0</v>
      </c>
      <c r="E16">
        <f>IF($B$2="Todos",SUMIFS(Base!$E$3:$E$5001,Base!$A$3:$A$5001,$B16),SUMIFS(Base!$E$3:$E$5001,Base!$A$3:$A$5001,$B16,Base!$B$3:$B$5001,$B$2))</f>
        <v>0</v>
      </c>
      <c r="F16">
        <f>IF($B$2="Todos",SUMIFS(Base!$F$3:$F$5001,Base!$A$3:$A$5001,$B16),SUMIFS(Base!$F$3:$F$5001,Base!$A$3:$A$5001,$B16,Base!$B$3:$B$5001,$B$2))</f>
        <v>0</v>
      </c>
      <c r="G16">
        <f>IF($B$2="Todos",SUMIFS(Base!$G$3:$G$5001,Base!$A$3:$A$5001,$B16),SUMIFS(Base!$G$3:$G$5001,Base!$A$3:$A$5001,$B16,Base!$B$3:$B$5001,$B$2))</f>
        <v>0</v>
      </c>
      <c r="H16">
        <f>IF($B$2="Todos",SUMIFS(Base!$H$3:$H$5001,Base!$A$3:$A$5001,$B16),SUMIFS(Base!$H$3:$H$5001,Base!$A$3:$A$5001,$B16,Base!$B$3:$B$5001,$B$2))</f>
        <v>0</v>
      </c>
      <c r="I16">
        <f>IF($B$2="Todos",SUMIFS(Base!$I$3:$I$5001,Base!$A$3:$A$5001,$B16),SUMIFS(Base!$I$3:$I$5001,Base!$A$3:$A$5001,$B16,Base!$B$3:$B$5001,$B$2))</f>
        <v>0</v>
      </c>
      <c r="J16">
        <f>IF($B$2="Todos",SUMIFS(Base!$J$3:$J$5001,Base!$A$3:$A$5001,$B16),SUMIFS(Base!$J$3:$J$5001,Base!$A$3:$A$5001,$B16,Base!$B$3:$B$5001,$B$2))</f>
        <v>0</v>
      </c>
      <c r="K16">
        <f>IF($B$2="Todos",SUMIFS(Base!$K$3:$K$5001,Base!$A$3:$A$5001,$B16),SUMIFS(Base!$K$3:$K$5001,Base!$A$3:$A$5001,$B16,Base!$B$3:$B$5001,$B$2))</f>
        <v>0</v>
      </c>
      <c r="L16">
        <f>IF($B$2="Todos",SUMIFS(Base!$L$3:$L$5001,Base!$A$3:$A$5001,$B16),SUMIFS(Base!$L$3:$L$5001,Base!$A$3:$A$5001,$B16,Base!$B$3:$B$5001,$B$2))</f>
        <v>0</v>
      </c>
      <c r="M16">
        <f>IF($B$2="Todos",SUMIFS(Base!$M$3:$M$5001,Base!$A$3:$A$5001,$B16),SUMIFS(Base!$M$3:$M$5001,Base!$A$3:$A$5001,$B16,Base!$B$3:$B$5001,$B$2))</f>
        <v>0</v>
      </c>
      <c r="N16">
        <f>IF($B$2="Todos",SUMIFS(Base!$N$3:$N$5001,Base!$A$3:$A$5001,$B16),SUMIFS(Base!$N$3:$N$5001,Base!$A$3:$A$5001,$B16,Base!$B$3:$B$5001,$B$2))</f>
        <v>0</v>
      </c>
      <c r="O16">
        <f>IF($B$2="Todos",SUMIFS(Base!$O$3:$O$5001,Base!$A$3:$A$5001,$B16),SUMIFS(Base!$O$3:$O$5001,Base!$A$3:$A$5001,$B16,Base!$B$3:$B$5001,$B$2))</f>
        <v>0</v>
      </c>
      <c r="P16">
        <f>IF($B$2="Todos",SUMIFS(Base!$P$3:$P$5001,Base!$A$3:$A$5001,$B16),SUMIFS(Base!$P$3:$P$5001,Base!$A$3:$A$5001,$B16,Base!$B$3:$B$5001,$B$2))</f>
        <v>0</v>
      </c>
      <c r="Q16">
        <f>IF($B$2="Todos",SUMIFS(Base!$Q$3:$Q$5001,Base!$A$3:$A$5001,$B16),SUMIFS(Base!$Q$3:$Q$5001,Base!$A$3:$A$5001,$B16,Base!$B$3:$B$5001,$B$2))</f>
        <v>0</v>
      </c>
      <c r="R16">
        <f>IF($B$2="Todos",SUMIFS(Base!$R$3:$R$5001,Base!$A$3:$A$5001,$B16),SUMIFS(Base!$R$3:$R$5001,Base!$A$3:$A$5001,$B16,Base!$B$3:$B$5001,$B$2))</f>
        <v>0</v>
      </c>
      <c r="S16">
        <f>IF($B$2="Todos",SUMIFS(Base!$S$3:$S$5001,Base!$A$3:$A$5001,$B16),SUMIFS(Base!$S$3:$S$5001,Base!$A$3:$A$5001,$B16,Base!$B$3:$B$5001,$B$2))</f>
        <v>0</v>
      </c>
      <c r="T16">
        <f>IF($B$2="Todos",SUMIFS(Base!$T$3:$T$5001,Base!$A$3:$A$5001,$B16),SUMIFS(Base!$T$3:$T$5001,Base!$A$3:$A$5001,$B16,Base!$B$3:$B$5001,$B$2))</f>
        <v>0</v>
      </c>
      <c r="U16">
        <f>IF($B$2="Todos",SUMIFS(Base!$U$3:$U$5001,Base!$A$3:$A$5001,$B16),SUMIFS(Base!$U$3:$U$5001,Base!$A$3:$A$5001,$B16,Base!$B$3:$B$5001,$B$2))</f>
        <v>0</v>
      </c>
      <c r="V16">
        <f>IF($B$2="Todos",SUMIFS(Base!$V$3:$V$5001,Base!$A$3:$A$5001,$B16),SUMIFS(Base!$V$3:$V$5001,Base!$A$3:$A$5001,$B16,Base!$B$3:$B$5001,$B$2))</f>
        <v>0</v>
      </c>
      <c r="W16" t="str">
        <f>IF($B$2="Todos",IF(COUNT($C$132:$K$132)=0,"",SUM($C$132:$K$132)),IFERROR(INDEX($C$132:$K$132,MATCH($B$2,$C$127:$K$127,0)),""))</f>
        <v/>
      </c>
      <c r="X16" t="str">
        <f>IF(Y16="","",IF($B$2="Todos",IF(ISNUMBER($B$4),$B$4,IF(COUNT($C$167:$K$167)=0,"",SUM($C$167:$K$167))),IFERROR(INDEX($C$167:$K$167,MATCH($B$2,$C$162:$K$162,0)),"")))</f>
        <v/>
      </c>
      <c r="Y16" t="str">
        <f>IF($B$2="Todos",IF(COUNT($C$202:$K$202)=0,"",SUM($C$202:$K$202)),IFERROR(INDEX($C$202:$K$202,MATCH($B$2,$C$197:$K$197,0)),""))</f>
        <v/>
      </c>
      <c r="Z16" t="str">
        <f>IF(AND(ISNUMBER(Y16),ISNUMBER(X16)),IF(X16&gt;0,Y16/X16,""),"")</f>
        <v/>
      </c>
      <c r="AA16" t="str">
        <f>IF($B$2="Todos",IF(COUNT($C$237:$K$237)=0,"",SUM($C$237:$K$237)),IFERROR(INDEX($C$237:$K$237,MATCH($B$2,$C$232:$K$232,0)),""))</f>
        <v/>
      </c>
      <c r="AB16">
        <f>IF($B$2="Todos",SUMIFS(Base!$AA$3:$AA$5001,Base!$A$3:$A$5001,$B16),SUMIFS(Base!$AA$3:$AA$5001,Base!$A$3:$A$5001,$B16,Base!$B$3:$B$5001,$B$2))</f>
        <v>0</v>
      </c>
      <c r="AC16">
        <f>IF($B$2="Todos",SUMIFS(Base!$AB$3:$AB$5001,Base!$A$3:$A$5001,$B16),SUMIFS(Base!$AB$3:$AB$5001,Base!$A$3:$A$5001,$B16,Base!$B$3:$B$5001,$B$2))</f>
        <v>0</v>
      </c>
      <c r="AD16">
        <f>IF($B$2="Todos",SUMIFS(Base!$AC$3:$AC$5001,Base!$A$3:$A$5001,$B16),SUMIFS(Base!$AC$3:$AC$5001,Base!$A$3:$A$5001,$B16,Base!$B$3:$B$5001,$B$2))</f>
        <v>0</v>
      </c>
      <c r="AE16">
        <f>IF($B$2="Todos",SUMIFS(Base!$AD$3:$AD$5001,Base!$A$3:$A$5001,$B16),SUMIFS(Base!$AD$3:$AD$5001,Base!$A$3:$A$5001,$B16,Base!$B$3:$B$5001,$B$2))</f>
        <v>0</v>
      </c>
      <c r="AG16">
        <f>IFERROR(N(INDEX($C16:$AE16,MATCH($B$3,$C$11:$AE$11,0))),0)</f>
        <v>0</v>
      </c>
      <c r="AH16">
        <f>IFERROR(N(INDEX($C16:$AE16,MATCH($C$3,$C$11:$AE$11,0))),0)</f>
        <v>0</v>
      </c>
      <c r="AI16">
        <f>$B$5</f>
        <v>0.7</v>
      </c>
      <c r="AJ16">
        <f>$B$6</f>
        <v>0.9</v>
      </c>
      <c r="AL16" t="inlineStr">
        <is>
          <t xml:space="preserve">SUPPLY</t>
        </is>
      </c>
      <c r="AN16" t="inlineStr">
        <is>
          <t xml:space="preserve">MAIO · 2026</t>
        </is>
      </c>
    </row>
    <row r="17">
      <c r="A17">
        <v>6</v>
      </c>
      <c r="B17" s="152">
        <f>IF(ISNUMBER($A17),$C$7+$A17-1,"")</f>
        <v>46271</v>
      </c>
      <c r="C17">
        <f>IF($B$2="Todos",SUMIFS(Base!$C$3:$C$5001,Base!$A$3:$A$5001,$B17),SUMIFS(Base!$C$3:$C$5001,Base!$A$3:$A$5001,$B17,Base!$B$3:$B$5001,$B$2))</f>
        <v>0</v>
      </c>
      <c r="D17">
        <f>IF($B$2="Todos",SUMIFS(Base!$D$3:$D$5001,Base!$A$3:$A$5001,$B17),SUMIFS(Base!$D$3:$D$5001,Base!$A$3:$A$5001,$B17,Base!$B$3:$B$5001,$B$2))</f>
        <v>0</v>
      </c>
      <c r="E17">
        <f>IF($B$2="Todos",SUMIFS(Base!$E$3:$E$5001,Base!$A$3:$A$5001,$B17),SUMIFS(Base!$E$3:$E$5001,Base!$A$3:$A$5001,$B17,Base!$B$3:$B$5001,$B$2))</f>
        <v>0</v>
      </c>
      <c r="F17">
        <f>IF($B$2="Todos",SUMIFS(Base!$F$3:$F$5001,Base!$A$3:$A$5001,$B17),SUMIFS(Base!$F$3:$F$5001,Base!$A$3:$A$5001,$B17,Base!$B$3:$B$5001,$B$2))</f>
        <v>0</v>
      </c>
      <c r="G17">
        <f>IF($B$2="Todos",SUMIFS(Base!$G$3:$G$5001,Base!$A$3:$A$5001,$B17),SUMIFS(Base!$G$3:$G$5001,Base!$A$3:$A$5001,$B17,Base!$B$3:$B$5001,$B$2))</f>
        <v>0</v>
      </c>
      <c r="H17">
        <f>IF($B$2="Todos",SUMIFS(Base!$H$3:$H$5001,Base!$A$3:$A$5001,$B17),SUMIFS(Base!$H$3:$H$5001,Base!$A$3:$A$5001,$B17,Base!$B$3:$B$5001,$B$2))</f>
        <v>0</v>
      </c>
      <c r="I17">
        <f>IF($B$2="Todos",SUMIFS(Base!$I$3:$I$5001,Base!$A$3:$A$5001,$B17),SUMIFS(Base!$I$3:$I$5001,Base!$A$3:$A$5001,$B17,Base!$B$3:$B$5001,$B$2))</f>
        <v>0</v>
      </c>
      <c r="J17">
        <f>IF($B$2="Todos",SUMIFS(Base!$J$3:$J$5001,Base!$A$3:$A$5001,$B17),SUMIFS(Base!$J$3:$J$5001,Base!$A$3:$A$5001,$B17,Base!$B$3:$B$5001,$B$2))</f>
        <v>0</v>
      </c>
      <c r="K17">
        <f>IF($B$2="Todos",SUMIFS(Base!$K$3:$K$5001,Base!$A$3:$A$5001,$B17),SUMIFS(Base!$K$3:$K$5001,Base!$A$3:$A$5001,$B17,Base!$B$3:$B$5001,$B$2))</f>
        <v>0</v>
      </c>
      <c r="L17">
        <f>IF($B$2="Todos",SUMIFS(Base!$L$3:$L$5001,Base!$A$3:$A$5001,$B17),SUMIFS(Base!$L$3:$L$5001,Base!$A$3:$A$5001,$B17,Base!$B$3:$B$5001,$B$2))</f>
        <v>0</v>
      </c>
      <c r="M17">
        <f>IF($B$2="Todos",SUMIFS(Base!$M$3:$M$5001,Base!$A$3:$A$5001,$B17),SUMIFS(Base!$M$3:$M$5001,Base!$A$3:$A$5001,$B17,Base!$B$3:$B$5001,$B$2))</f>
        <v>0</v>
      </c>
      <c r="N17">
        <f>IF($B$2="Todos",SUMIFS(Base!$N$3:$N$5001,Base!$A$3:$A$5001,$B17),SUMIFS(Base!$N$3:$N$5001,Base!$A$3:$A$5001,$B17,Base!$B$3:$B$5001,$B$2))</f>
        <v>0</v>
      </c>
      <c r="O17">
        <f>IF($B$2="Todos",SUMIFS(Base!$O$3:$O$5001,Base!$A$3:$A$5001,$B17),SUMIFS(Base!$O$3:$O$5001,Base!$A$3:$A$5001,$B17,Base!$B$3:$B$5001,$B$2))</f>
        <v>0</v>
      </c>
      <c r="P17">
        <f>IF($B$2="Todos",SUMIFS(Base!$P$3:$P$5001,Base!$A$3:$A$5001,$B17),SUMIFS(Base!$P$3:$P$5001,Base!$A$3:$A$5001,$B17,Base!$B$3:$B$5001,$B$2))</f>
        <v>0</v>
      </c>
      <c r="Q17">
        <f>IF($B$2="Todos",SUMIFS(Base!$Q$3:$Q$5001,Base!$A$3:$A$5001,$B17),SUMIFS(Base!$Q$3:$Q$5001,Base!$A$3:$A$5001,$B17,Base!$B$3:$B$5001,$B$2))</f>
        <v>0</v>
      </c>
      <c r="R17">
        <f>IF($B$2="Todos",SUMIFS(Base!$R$3:$R$5001,Base!$A$3:$A$5001,$B17),SUMIFS(Base!$R$3:$R$5001,Base!$A$3:$A$5001,$B17,Base!$B$3:$B$5001,$B$2))</f>
        <v>0</v>
      </c>
      <c r="S17">
        <f>IF($B$2="Todos",SUMIFS(Base!$S$3:$S$5001,Base!$A$3:$A$5001,$B17),SUMIFS(Base!$S$3:$S$5001,Base!$A$3:$A$5001,$B17,Base!$B$3:$B$5001,$B$2))</f>
        <v>0</v>
      </c>
      <c r="T17">
        <f>IF($B$2="Todos",SUMIFS(Base!$T$3:$T$5001,Base!$A$3:$A$5001,$B17),SUMIFS(Base!$T$3:$T$5001,Base!$A$3:$A$5001,$B17,Base!$B$3:$B$5001,$B$2))</f>
        <v>0</v>
      </c>
      <c r="U17">
        <f>IF($B$2="Todos",SUMIFS(Base!$U$3:$U$5001,Base!$A$3:$A$5001,$B17),SUMIFS(Base!$U$3:$U$5001,Base!$A$3:$A$5001,$B17,Base!$B$3:$B$5001,$B$2))</f>
        <v>0</v>
      </c>
      <c r="V17">
        <f>IF($B$2="Todos",SUMIFS(Base!$V$3:$V$5001,Base!$A$3:$A$5001,$B17),SUMIFS(Base!$V$3:$V$5001,Base!$A$3:$A$5001,$B17,Base!$B$3:$B$5001,$B$2))</f>
        <v>0</v>
      </c>
      <c r="W17" t="str">
        <f>IF($B$2="Todos",IF(COUNT($C$133:$K$133)=0,"",SUM($C$133:$K$133)),IFERROR(INDEX($C$133:$K$133,MATCH($B$2,$C$127:$K$127,0)),""))</f>
        <v/>
      </c>
      <c r="X17" t="str">
        <f>IF(Y17="","",IF($B$2="Todos",IF(ISNUMBER($B$4),$B$4,IF(COUNT($C$168:$K$168)=0,"",SUM($C$168:$K$168))),IFERROR(INDEX($C$168:$K$168,MATCH($B$2,$C$162:$K$162,0)),"")))</f>
        <v/>
      </c>
      <c r="Y17" t="str">
        <f>IF($B$2="Todos",IF(COUNT($C$203:$K$203)=0,"",SUM($C$203:$K$203)),IFERROR(INDEX($C$203:$K$203,MATCH($B$2,$C$197:$K$197,0)),""))</f>
        <v/>
      </c>
      <c r="Z17" t="str">
        <f>IF(AND(ISNUMBER(Y17),ISNUMBER(X17)),IF(X17&gt;0,Y17/X17,""),"")</f>
        <v/>
      </c>
      <c r="AA17" t="str">
        <f>IF($B$2="Todos",IF(COUNT($C$238:$K$238)=0,"",SUM($C$238:$K$238)),IFERROR(INDEX($C$238:$K$238,MATCH($B$2,$C$232:$K$232,0)),""))</f>
        <v/>
      </c>
      <c r="AB17">
        <f>IF($B$2="Todos",SUMIFS(Base!$AA$3:$AA$5001,Base!$A$3:$A$5001,$B17),SUMIFS(Base!$AA$3:$AA$5001,Base!$A$3:$A$5001,$B17,Base!$B$3:$B$5001,$B$2))</f>
        <v>0</v>
      </c>
      <c r="AC17">
        <f>IF($B$2="Todos",SUMIFS(Base!$AB$3:$AB$5001,Base!$A$3:$A$5001,$B17),SUMIFS(Base!$AB$3:$AB$5001,Base!$A$3:$A$5001,$B17,Base!$B$3:$B$5001,$B$2))</f>
        <v>0</v>
      </c>
      <c r="AD17">
        <f>IF($B$2="Todos",SUMIFS(Base!$AC$3:$AC$5001,Base!$A$3:$A$5001,$B17),SUMIFS(Base!$AC$3:$AC$5001,Base!$A$3:$A$5001,$B17,Base!$B$3:$B$5001,$B$2))</f>
        <v>0</v>
      </c>
      <c r="AE17">
        <f>IF($B$2="Todos",SUMIFS(Base!$AD$3:$AD$5001,Base!$A$3:$A$5001,$B17),SUMIFS(Base!$AD$3:$AD$5001,Base!$A$3:$A$5001,$B17,Base!$B$3:$B$5001,$B$2))</f>
        <v>0</v>
      </c>
      <c r="AG17">
        <f>IFERROR(N(INDEX($C17:$AE17,MATCH($B$3,$C$11:$AE$11,0))),0)</f>
        <v>0</v>
      </c>
      <c r="AH17">
        <f>IFERROR(N(INDEX($C17:$AE17,MATCH($C$3,$C$11:$AE$11,0))),0)</f>
        <v>0</v>
      </c>
      <c r="AI17">
        <f>$B$5</f>
        <v>0.7</v>
      </c>
      <c r="AJ17">
        <f>$B$6</f>
        <v>0.9</v>
      </c>
      <c r="AL17" t="inlineStr">
        <is>
          <t xml:space="preserve">GE VERNOVA</t>
        </is>
      </c>
      <c r="AN17" t="inlineStr">
        <is>
          <t xml:space="preserve">JUNHO · 2026</t>
        </is>
      </c>
    </row>
    <row r="18">
      <c r="A18">
        <v>7</v>
      </c>
      <c r="B18" s="152">
        <f>IF(ISNUMBER($A18),$C$7+$A18-1,"")</f>
        <v>46272</v>
      </c>
      <c r="C18">
        <f>IF($B$2="Todos",SUMIFS(Base!$C$3:$C$5001,Base!$A$3:$A$5001,$B18),SUMIFS(Base!$C$3:$C$5001,Base!$A$3:$A$5001,$B18,Base!$B$3:$B$5001,$B$2))</f>
        <v>0</v>
      </c>
      <c r="D18">
        <f>IF($B$2="Todos",SUMIFS(Base!$D$3:$D$5001,Base!$A$3:$A$5001,$B18),SUMIFS(Base!$D$3:$D$5001,Base!$A$3:$A$5001,$B18,Base!$B$3:$B$5001,$B$2))</f>
        <v>0</v>
      </c>
      <c r="E18">
        <f>IF($B$2="Todos",SUMIFS(Base!$E$3:$E$5001,Base!$A$3:$A$5001,$B18),SUMIFS(Base!$E$3:$E$5001,Base!$A$3:$A$5001,$B18,Base!$B$3:$B$5001,$B$2))</f>
        <v>0</v>
      </c>
      <c r="F18">
        <f>IF($B$2="Todos",SUMIFS(Base!$F$3:$F$5001,Base!$A$3:$A$5001,$B18),SUMIFS(Base!$F$3:$F$5001,Base!$A$3:$A$5001,$B18,Base!$B$3:$B$5001,$B$2))</f>
        <v>0</v>
      </c>
      <c r="G18">
        <f>IF($B$2="Todos",SUMIFS(Base!$G$3:$G$5001,Base!$A$3:$A$5001,$B18),SUMIFS(Base!$G$3:$G$5001,Base!$A$3:$A$5001,$B18,Base!$B$3:$B$5001,$B$2))</f>
        <v>0</v>
      </c>
      <c r="H18">
        <f>IF($B$2="Todos",SUMIFS(Base!$H$3:$H$5001,Base!$A$3:$A$5001,$B18),SUMIFS(Base!$H$3:$H$5001,Base!$A$3:$A$5001,$B18,Base!$B$3:$B$5001,$B$2))</f>
        <v>0</v>
      </c>
      <c r="I18">
        <f>IF($B$2="Todos",SUMIFS(Base!$I$3:$I$5001,Base!$A$3:$A$5001,$B18),SUMIFS(Base!$I$3:$I$5001,Base!$A$3:$A$5001,$B18,Base!$B$3:$B$5001,$B$2))</f>
        <v>0</v>
      </c>
      <c r="J18">
        <f>IF($B$2="Todos",SUMIFS(Base!$J$3:$J$5001,Base!$A$3:$A$5001,$B18),SUMIFS(Base!$J$3:$J$5001,Base!$A$3:$A$5001,$B18,Base!$B$3:$B$5001,$B$2))</f>
        <v>0</v>
      </c>
      <c r="K18">
        <f>IF($B$2="Todos",SUMIFS(Base!$K$3:$K$5001,Base!$A$3:$A$5001,$B18),SUMIFS(Base!$K$3:$K$5001,Base!$A$3:$A$5001,$B18,Base!$B$3:$B$5001,$B$2))</f>
        <v>0</v>
      </c>
      <c r="L18">
        <f>IF($B$2="Todos",SUMIFS(Base!$L$3:$L$5001,Base!$A$3:$A$5001,$B18),SUMIFS(Base!$L$3:$L$5001,Base!$A$3:$A$5001,$B18,Base!$B$3:$B$5001,$B$2))</f>
        <v>0</v>
      </c>
      <c r="M18">
        <f>IF($B$2="Todos",SUMIFS(Base!$M$3:$M$5001,Base!$A$3:$A$5001,$B18),SUMIFS(Base!$M$3:$M$5001,Base!$A$3:$A$5001,$B18,Base!$B$3:$B$5001,$B$2))</f>
        <v>0</v>
      </c>
      <c r="N18">
        <f>IF($B$2="Todos",SUMIFS(Base!$N$3:$N$5001,Base!$A$3:$A$5001,$B18),SUMIFS(Base!$N$3:$N$5001,Base!$A$3:$A$5001,$B18,Base!$B$3:$B$5001,$B$2))</f>
        <v>0</v>
      </c>
      <c r="O18">
        <f>IF($B$2="Todos",SUMIFS(Base!$O$3:$O$5001,Base!$A$3:$A$5001,$B18),SUMIFS(Base!$O$3:$O$5001,Base!$A$3:$A$5001,$B18,Base!$B$3:$B$5001,$B$2))</f>
        <v>0</v>
      </c>
      <c r="P18">
        <f>IF($B$2="Todos",SUMIFS(Base!$P$3:$P$5001,Base!$A$3:$A$5001,$B18),SUMIFS(Base!$P$3:$P$5001,Base!$A$3:$A$5001,$B18,Base!$B$3:$B$5001,$B$2))</f>
        <v>0</v>
      </c>
      <c r="Q18">
        <f>IF($B$2="Todos",SUMIFS(Base!$Q$3:$Q$5001,Base!$A$3:$A$5001,$B18),SUMIFS(Base!$Q$3:$Q$5001,Base!$A$3:$A$5001,$B18,Base!$B$3:$B$5001,$B$2))</f>
        <v>0</v>
      </c>
      <c r="R18">
        <f>IF($B$2="Todos",SUMIFS(Base!$R$3:$R$5001,Base!$A$3:$A$5001,$B18),SUMIFS(Base!$R$3:$R$5001,Base!$A$3:$A$5001,$B18,Base!$B$3:$B$5001,$B$2))</f>
        <v>0</v>
      </c>
      <c r="S18">
        <f>IF($B$2="Todos",SUMIFS(Base!$S$3:$S$5001,Base!$A$3:$A$5001,$B18),SUMIFS(Base!$S$3:$S$5001,Base!$A$3:$A$5001,$B18,Base!$B$3:$B$5001,$B$2))</f>
        <v>0</v>
      </c>
      <c r="T18">
        <f>IF($B$2="Todos",SUMIFS(Base!$T$3:$T$5001,Base!$A$3:$A$5001,$B18),SUMIFS(Base!$T$3:$T$5001,Base!$A$3:$A$5001,$B18,Base!$B$3:$B$5001,$B$2))</f>
        <v>0</v>
      </c>
      <c r="U18">
        <f>IF($B$2="Todos",SUMIFS(Base!$U$3:$U$5001,Base!$A$3:$A$5001,$B18),SUMIFS(Base!$U$3:$U$5001,Base!$A$3:$A$5001,$B18,Base!$B$3:$B$5001,$B$2))</f>
        <v>0</v>
      </c>
      <c r="V18">
        <f>IF($B$2="Todos",SUMIFS(Base!$V$3:$V$5001,Base!$A$3:$A$5001,$B18),SUMIFS(Base!$V$3:$V$5001,Base!$A$3:$A$5001,$B18,Base!$B$3:$B$5001,$B$2))</f>
        <v>0</v>
      </c>
      <c r="W18" t="str">
        <f>IF($B$2="Todos",IF(COUNT($C$134:$K$134)=0,"",SUM($C$134:$K$134)),IFERROR(INDEX($C$134:$K$134,MATCH($B$2,$C$127:$K$127,0)),""))</f>
        <v/>
      </c>
      <c r="X18" t="str">
        <f>IF(Y18="","",IF($B$2="Todos",IF(ISNUMBER($B$4),$B$4,IF(COUNT($C$169:$K$169)=0,"",SUM($C$169:$K$169))),IFERROR(INDEX($C$169:$K$169,MATCH($B$2,$C$162:$K$162,0)),"")))</f>
        <v/>
      </c>
      <c r="Y18" t="str">
        <f>IF($B$2="Todos",IF(COUNT($C$204:$K$204)=0,"",SUM($C$204:$K$204)),IFERROR(INDEX($C$204:$K$204,MATCH($B$2,$C$197:$K$197,0)),""))</f>
        <v/>
      </c>
      <c r="Z18" t="str">
        <f>IF(AND(ISNUMBER(Y18),ISNUMBER(X18)),IF(X18&gt;0,Y18/X18,""),"")</f>
        <v/>
      </c>
      <c r="AA18" t="str">
        <f>IF($B$2="Todos",IF(COUNT($C$239:$K$239)=0,"",SUM($C$239:$K$239)),IFERROR(INDEX($C$239:$K$239,MATCH($B$2,$C$232:$K$232,0)),""))</f>
        <v/>
      </c>
      <c r="AB18">
        <f>IF($B$2="Todos",SUMIFS(Base!$AA$3:$AA$5001,Base!$A$3:$A$5001,$B18),SUMIFS(Base!$AA$3:$AA$5001,Base!$A$3:$A$5001,$B18,Base!$B$3:$B$5001,$B$2))</f>
        <v>0</v>
      </c>
      <c r="AC18">
        <f>IF($B$2="Todos",SUMIFS(Base!$AB$3:$AB$5001,Base!$A$3:$A$5001,$B18),SUMIFS(Base!$AB$3:$AB$5001,Base!$A$3:$A$5001,$B18,Base!$B$3:$B$5001,$B$2))</f>
        <v>0</v>
      </c>
      <c r="AD18">
        <f>IF($B$2="Todos",SUMIFS(Base!$AC$3:$AC$5001,Base!$A$3:$A$5001,$B18),SUMIFS(Base!$AC$3:$AC$5001,Base!$A$3:$A$5001,$B18,Base!$B$3:$B$5001,$B$2))</f>
        <v>0</v>
      </c>
      <c r="AE18">
        <f>IF($B$2="Todos",SUMIFS(Base!$AD$3:$AD$5001,Base!$A$3:$A$5001,$B18),SUMIFS(Base!$AD$3:$AD$5001,Base!$A$3:$A$5001,$B18,Base!$B$3:$B$5001,$B$2))</f>
        <v>0</v>
      </c>
      <c r="AG18">
        <f>IFERROR(N(INDEX($C18:$AE18,MATCH($B$3,$C$11:$AE$11,0))),0)</f>
        <v>0</v>
      </c>
      <c r="AH18">
        <f>IFERROR(N(INDEX($C18:$AE18,MATCH($C$3,$C$11:$AE$11,0))),0)</f>
        <v>0</v>
      </c>
      <c r="AI18">
        <f>$B$5</f>
        <v>0.7</v>
      </c>
      <c r="AJ18">
        <f>$B$6</f>
        <v>0.9</v>
      </c>
      <c r="AL18" t="inlineStr">
        <is>
          <t xml:space="preserve">VESTAS</t>
        </is>
      </c>
      <c r="AN18" t="inlineStr">
        <is>
          <t xml:space="preserve">JULHO · 2026</t>
        </is>
      </c>
    </row>
    <row r="19">
      <c r="A19">
        <v>8</v>
      </c>
      <c r="B19" s="152">
        <f>IF(ISNUMBER($A19),$C$7+$A19-1,"")</f>
        <v>46273</v>
      </c>
      <c r="C19">
        <f>IF($B$2="Todos",SUMIFS(Base!$C$3:$C$5001,Base!$A$3:$A$5001,$B19),SUMIFS(Base!$C$3:$C$5001,Base!$A$3:$A$5001,$B19,Base!$B$3:$B$5001,$B$2))</f>
        <v>0</v>
      </c>
      <c r="D19">
        <f>IF($B$2="Todos",SUMIFS(Base!$D$3:$D$5001,Base!$A$3:$A$5001,$B19),SUMIFS(Base!$D$3:$D$5001,Base!$A$3:$A$5001,$B19,Base!$B$3:$B$5001,$B$2))</f>
        <v>0</v>
      </c>
      <c r="E19">
        <f>IF($B$2="Todos",SUMIFS(Base!$E$3:$E$5001,Base!$A$3:$A$5001,$B19),SUMIFS(Base!$E$3:$E$5001,Base!$A$3:$A$5001,$B19,Base!$B$3:$B$5001,$B$2))</f>
        <v>0</v>
      </c>
      <c r="F19">
        <f>IF($B$2="Todos",SUMIFS(Base!$F$3:$F$5001,Base!$A$3:$A$5001,$B19),SUMIFS(Base!$F$3:$F$5001,Base!$A$3:$A$5001,$B19,Base!$B$3:$B$5001,$B$2))</f>
        <v>0</v>
      </c>
      <c r="G19">
        <f>IF($B$2="Todos",SUMIFS(Base!$G$3:$G$5001,Base!$A$3:$A$5001,$B19),SUMIFS(Base!$G$3:$G$5001,Base!$A$3:$A$5001,$B19,Base!$B$3:$B$5001,$B$2))</f>
        <v>0</v>
      </c>
      <c r="H19">
        <f>IF($B$2="Todos",SUMIFS(Base!$H$3:$H$5001,Base!$A$3:$A$5001,$B19),SUMIFS(Base!$H$3:$H$5001,Base!$A$3:$A$5001,$B19,Base!$B$3:$B$5001,$B$2))</f>
        <v>0</v>
      </c>
      <c r="I19">
        <f>IF($B$2="Todos",SUMIFS(Base!$I$3:$I$5001,Base!$A$3:$A$5001,$B19),SUMIFS(Base!$I$3:$I$5001,Base!$A$3:$A$5001,$B19,Base!$B$3:$B$5001,$B$2))</f>
        <v>0</v>
      </c>
      <c r="J19">
        <f>IF($B$2="Todos",SUMIFS(Base!$J$3:$J$5001,Base!$A$3:$A$5001,$B19),SUMIFS(Base!$J$3:$J$5001,Base!$A$3:$A$5001,$B19,Base!$B$3:$B$5001,$B$2))</f>
        <v>0</v>
      </c>
      <c r="K19">
        <f>IF($B$2="Todos",SUMIFS(Base!$K$3:$K$5001,Base!$A$3:$A$5001,$B19),SUMIFS(Base!$K$3:$K$5001,Base!$A$3:$A$5001,$B19,Base!$B$3:$B$5001,$B$2))</f>
        <v>0</v>
      </c>
      <c r="L19">
        <f>IF($B$2="Todos",SUMIFS(Base!$L$3:$L$5001,Base!$A$3:$A$5001,$B19),SUMIFS(Base!$L$3:$L$5001,Base!$A$3:$A$5001,$B19,Base!$B$3:$B$5001,$B$2))</f>
        <v>0</v>
      </c>
      <c r="M19">
        <f>IF($B$2="Todos",SUMIFS(Base!$M$3:$M$5001,Base!$A$3:$A$5001,$B19),SUMIFS(Base!$M$3:$M$5001,Base!$A$3:$A$5001,$B19,Base!$B$3:$B$5001,$B$2))</f>
        <v>0</v>
      </c>
      <c r="N19">
        <f>IF($B$2="Todos",SUMIFS(Base!$N$3:$N$5001,Base!$A$3:$A$5001,$B19),SUMIFS(Base!$N$3:$N$5001,Base!$A$3:$A$5001,$B19,Base!$B$3:$B$5001,$B$2))</f>
        <v>0</v>
      </c>
      <c r="O19">
        <f>IF($B$2="Todos",SUMIFS(Base!$O$3:$O$5001,Base!$A$3:$A$5001,$B19),SUMIFS(Base!$O$3:$O$5001,Base!$A$3:$A$5001,$B19,Base!$B$3:$B$5001,$B$2))</f>
        <v>0</v>
      </c>
      <c r="P19">
        <f>IF($B$2="Todos",SUMIFS(Base!$P$3:$P$5001,Base!$A$3:$A$5001,$B19),SUMIFS(Base!$P$3:$P$5001,Base!$A$3:$A$5001,$B19,Base!$B$3:$B$5001,$B$2))</f>
        <v>0</v>
      </c>
      <c r="Q19">
        <f>IF($B$2="Todos",SUMIFS(Base!$Q$3:$Q$5001,Base!$A$3:$A$5001,$B19),SUMIFS(Base!$Q$3:$Q$5001,Base!$A$3:$A$5001,$B19,Base!$B$3:$B$5001,$B$2))</f>
        <v>0</v>
      </c>
      <c r="R19">
        <f>IF($B$2="Todos",SUMIFS(Base!$R$3:$R$5001,Base!$A$3:$A$5001,$B19),SUMIFS(Base!$R$3:$R$5001,Base!$A$3:$A$5001,$B19,Base!$B$3:$B$5001,$B$2))</f>
        <v>0</v>
      </c>
      <c r="S19">
        <f>IF($B$2="Todos",SUMIFS(Base!$S$3:$S$5001,Base!$A$3:$A$5001,$B19),SUMIFS(Base!$S$3:$S$5001,Base!$A$3:$A$5001,$B19,Base!$B$3:$B$5001,$B$2))</f>
        <v>0</v>
      </c>
      <c r="T19">
        <f>IF($B$2="Todos",SUMIFS(Base!$T$3:$T$5001,Base!$A$3:$A$5001,$B19),SUMIFS(Base!$T$3:$T$5001,Base!$A$3:$A$5001,$B19,Base!$B$3:$B$5001,$B$2))</f>
        <v>0</v>
      </c>
      <c r="U19">
        <f>IF($B$2="Todos",SUMIFS(Base!$U$3:$U$5001,Base!$A$3:$A$5001,$B19),SUMIFS(Base!$U$3:$U$5001,Base!$A$3:$A$5001,$B19,Base!$B$3:$B$5001,$B$2))</f>
        <v>0</v>
      </c>
      <c r="V19">
        <f>IF($B$2="Todos",SUMIFS(Base!$V$3:$V$5001,Base!$A$3:$A$5001,$B19),SUMIFS(Base!$V$3:$V$5001,Base!$A$3:$A$5001,$B19,Base!$B$3:$B$5001,$B$2))</f>
        <v>0</v>
      </c>
      <c r="W19" t="str">
        <f>IF($B$2="Todos",IF(COUNT($C$135:$K$135)=0,"",SUM($C$135:$K$135)),IFERROR(INDEX($C$135:$K$135,MATCH($B$2,$C$127:$K$127,0)),""))</f>
        <v/>
      </c>
      <c r="X19" t="str">
        <f>IF(Y19="","",IF($B$2="Todos",IF(ISNUMBER($B$4),$B$4,IF(COUNT($C$170:$K$170)=0,"",SUM($C$170:$K$170))),IFERROR(INDEX($C$170:$K$170,MATCH($B$2,$C$162:$K$162,0)),"")))</f>
        <v/>
      </c>
      <c r="Y19" t="str">
        <f>IF($B$2="Todos",IF(COUNT($C$205:$K$205)=0,"",SUM($C$205:$K$205)),IFERROR(INDEX($C$205:$K$205,MATCH($B$2,$C$197:$K$197,0)),""))</f>
        <v/>
      </c>
      <c r="Z19" t="str">
        <f>IF(AND(ISNUMBER(Y19),ISNUMBER(X19)),IF(X19&gt;0,Y19/X19,""),"")</f>
        <v/>
      </c>
      <c r="AA19" t="str">
        <f>IF($B$2="Todos",IF(COUNT($C$240:$K$240)=0,"",SUM($C$240:$K$240)),IFERROR(INDEX($C$240:$K$240,MATCH($B$2,$C$232:$K$232,0)),""))</f>
        <v/>
      </c>
      <c r="AB19">
        <f>IF($B$2="Todos",SUMIFS(Base!$AA$3:$AA$5001,Base!$A$3:$A$5001,$B19),SUMIFS(Base!$AA$3:$AA$5001,Base!$A$3:$A$5001,$B19,Base!$B$3:$B$5001,$B$2))</f>
        <v>0</v>
      </c>
      <c r="AC19">
        <f>IF($B$2="Todos",SUMIFS(Base!$AB$3:$AB$5001,Base!$A$3:$A$5001,$B19),SUMIFS(Base!$AB$3:$AB$5001,Base!$A$3:$A$5001,$B19,Base!$B$3:$B$5001,$B$2))</f>
        <v>0</v>
      </c>
      <c r="AD19">
        <f>IF($B$2="Todos",SUMIFS(Base!$AC$3:$AC$5001,Base!$A$3:$A$5001,$B19),SUMIFS(Base!$AC$3:$AC$5001,Base!$A$3:$A$5001,$B19,Base!$B$3:$B$5001,$B$2))</f>
        <v>0</v>
      </c>
      <c r="AE19">
        <f>IF($B$2="Todos",SUMIFS(Base!$AD$3:$AD$5001,Base!$A$3:$A$5001,$B19),SUMIFS(Base!$AD$3:$AD$5001,Base!$A$3:$A$5001,$B19,Base!$B$3:$B$5001,$B$2))</f>
        <v>0</v>
      </c>
      <c r="AG19">
        <f>IFERROR(N(INDEX($C19:$AE19,MATCH($B$3,$C$11:$AE$11,0))),0)</f>
        <v>0</v>
      </c>
      <c r="AH19">
        <f>IFERROR(N(INDEX($C19:$AE19,MATCH($C$3,$C$11:$AE$11,0))),0)</f>
        <v>0</v>
      </c>
      <c r="AI19">
        <f>$B$5</f>
        <v>0.7</v>
      </c>
      <c r="AJ19">
        <f>$B$6</f>
        <v>0.9</v>
      </c>
      <c r="AL19" t="inlineStr">
        <is>
          <t xml:space="preserve">VEDACIT</t>
        </is>
      </c>
      <c r="AN19" t="inlineStr">
        <is>
          <t xml:space="preserve">AGOSTO · 2026</t>
        </is>
      </c>
    </row>
    <row r="20">
      <c r="A20">
        <v>9</v>
      </c>
      <c r="B20" s="152">
        <f>IF(ISNUMBER($A20),$C$7+$A20-1,"")</f>
        <v>46274</v>
      </c>
      <c r="C20">
        <f>IF($B$2="Todos",SUMIFS(Base!$C$3:$C$5001,Base!$A$3:$A$5001,$B20),SUMIFS(Base!$C$3:$C$5001,Base!$A$3:$A$5001,$B20,Base!$B$3:$B$5001,$B$2))</f>
        <v>0</v>
      </c>
      <c r="D20">
        <f>IF($B$2="Todos",SUMIFS(Base!$D$3:$D$5001,Base!$A$3:$A$5001,$B20),SUMIFS(Base!$D$3:$D$5001,Base!$A$3:$A$5001,$B20,Base!$B$3:$B$5001,$B$2))</f>
        <v>0</v>
      </c>
      <c r="E20">
        <f>IF($B$2="Todos",SUMIFS(Base!$E$3:$E$5001,Base!$A$3:$A$5001,$B20),SUMIFS(Base!$E$3:$E$5001,Base!$A$3:$A$5001,$B20,Base!$B$3:$B$5001,$B$2))</f>
        <v>0</v>
      </c>
      <c r="F20">
        <f>IF($B$2="Todos",SUMIFS(Base!$F$3:$F$5001,Base!$A$3:$A$5001,$B20),SUMIFS(Base!$F$3:$F$5001,Base!$A$3:$A$5001,$B20,Base!$B$3:$B$5001,$B$2))</f>
        <v>0</v>
      </c>
      <c r="G20">
        <f>IF($B$2="Todos",SUMIFS(Base!$G$3:$G$5001,Base!$A$3:$A$5001,$B20),SUMIFS(Base!$G$3:$G$5001,Base!$A$3:$A$5001,$B20,Base!$B$3:$B$5001,$B$2))</f>
        <v>0</v>
      </c>
      <c r="H20">
        <f>IF($B$2="Todos",SUMIFS(Base!$H$3:$H$5001,Base!$A$3:$A$5001,$B20),SUMIFS(Base!$H$3:$H$5001,Base!$A$3:$A$5001,$B20,Base!$B$3:$B$5001,$B$2))</f>
        <v>0</v>
      </c>
      <c r="I20">
        <f>IF($B$2="Todos",SUMIFS(Base!$I$3:$I$5001,Base!$A$3:$A$5001,$B20),SUMIFS(Base!$I$3:$I$5001,Base!$A$3:$A$5001,$B20,Base!$B$3:$B$5001,$B$2))</f>
        <v>0</v>
      </c>
      <c r="J20">
        <f>IF($B$2="Todos",SUMIFS(Base!$J$3:$J$5001,Base!$A$3:$A$5001,$B20),SUMIFS(Base!$J$3:$J$5001,Base!$A$3:$A$5001,$B20,Base!$B$3:$B$5001,$B$2))</f>
        <v>0</v>
      </c>
      <c r="K20">
        <f>IF($B$2="Todos",SUMIFS(Base!$K$3:$K$5001,Base!$A$3:$A$5001,$B20),SUMIFS(Base!$K$3:$K$5001,Base!$A$3:$A$5001,$B20,Base!$B$3:$B$5001,$B$2))</f>
        <v>0</v>
      </c>
      <c r="L20">
        <f>IF($B$2="Todos",SUMIFS(Base!$L$3:$L$5001,Base!$A$3:$A$5001,$B20),SUMIFS(Base!$L$3:$L$5001,Base!$A$3:$A$5001,$B20,Base!$B$3:$B$5001,$B$2))</f>
        <v>0</v>
      </c>
      <c r="M20">
        <f>IF($B$2="Todos",SUMIFS(Base!$M$3:$M$5001,Base!$A$3:$A$5001,$B20),SUMIFS(Base!$M$3:$M$5001,Base!$A$3:$A$5001,$B20,Base!$B$3:$B$5001,$B$2))</f>
        <v>0</v>
      </c>
      <c r="N20">
        <f>IF($B$2="Todos",SUMIFS(Base!$N$3:$N$5001,Base!$A$3:$A$5001,$B20),SUMIFS(Base!$N$3:$N$5001,Base!$A$3:$A$5001,$B20,Base!$B$3:$B$5001,$B$2))</f>
        <v>0</v>
      </c>
      <c r="O20">
        <f>IF($B$2="Todos",SUMIFS(Base!$O$3:$O$5001,Base!$A$3:$A$5001,$B20),SUMIFS(Base!$O$3:$O$5001,Base!$A$3:$A$5001,$B20,Base!$B$3:$B$5001,$B$2))</f>
        <v>0</v>
      </c>
      <c r="P20">
        <f>IF($B$2="Todos",SUMIFS(Base!$P$3:$P$5001,Base!$A$3:$A$5001,$B20),SUMIFS(Base!$P$3:$P$5001,Base!$A$3:$A$5001,$B20,Base!$B$3:$B$5001,$B$2))</f>
        <v>0</v>
      </c>
      <c r="Q20">
        <f>IF($B$2="Todos",SUMIFS(Base!$Q$3:$Q$5001,Base!$A$3:$A$5001,$B20),SUMIFS(Base!$Q$3:$Q$5001,Base!$A$3:$A$5001,$B20,Base!$B$3:$B$5001,$B$2))</f>
        <v>0</v>
      </c>
      <c r="R20">
        <f>IF($B$2="Todos",SUMIFS(Base!$R$3:$R$5001,Base!$A$3:$A$5001,$B20),SUMIFS(Base!$R$3:$R$5001,Base!$A$3:$A$5001,$B20,Base!$B$3:$B$5001,$B$2))</f>
        <v>0</v>
      </c>
      <c r="S20">
        <f>IF($B$2="Todos",SUMIFS(Base!$S$3:$S$5001,Base!$A$3:$A$5001,$B20),SUMIFS(Base!$S$3:$S$5001,Base!$A$3:$A$5001,$B20,Base!$B$3:$B$5001,$B$2))</f>
        <v>0</v>
      </c>
      <c r="T20">
        <f>IF($B$2="Todos",SUMIFS(Base!$T$3:$T$5001,Base!$A$3:$A$5001,$B20),SUMIFS(Base!$T$3:$T$5001,Base!$A$3:$A$5001,$B20,Base!$B$3:$B$5001,$B$2))</f>
        <v>0</v>
      </c>
      <c r="U20">
        <f>IF($B$2="Todos",SUMIFS(Base!$U$3:$U$5001,Base!$A$3:$A$5001,$B20),SUMIFS(Base!$U$3:$U$5001,Base!$A$3:$A$5001,$B20,Base!$B$3:$B$5001,$B$2))</f>
        <v>0</v>
      </c>
      <c r="V20">
        <f>IF($B$2="Todos",SUMIFS(Base!$V$3:$V$5001,Base!$A$3:$A$5001,$B20),SUMIFS(Base!$V$3:$V$5001,Base!$A$3:$A$5001,$B20,Base!$B$3:$B$5001,$B$2))</f>
        <v>0</v>
      </c>
      <c r="W20" t="str">
        <f>IF($B$2="Todos",IF(COUNT($C$136:$K$136)=0,"",SUM($C$136:$K$136)),IFERROR(INDEX($C$136:$K$136,MATCH($B$2,$C$127:$K$127,0)),""))</f>
        <v/>
      </c>
      <c r="X20" t="str">
        <f>IF(Y20="","",IF($B$2="Todos",IF(ISNUMBER($B$4),$B$4,IF(COUNT($C$171:$K$171)=0,"",SUM($C$171:$K$171))),IFERROR(INDEX($C$171:$K$171,MATCH($B$2,$C$162:$K$162,0)),"")))</f>
        <v/>
      </c>
      <c r="Y20" t="str">
        <f>IF($B$2="Todos",IF(COUNT($C$206:$K$206)=0,"",SUM($C$206:$K$206)),IFERROR(INDEX($C$206:$K$206,MATCH($B$2,$C$197:$K$197,0)),""))</f>
        <v/>
      </c>
      <c r="Z20" t="str">
        <f>IF(AND(ISNUMBER(Y20),ISNUMBER(X20)),IF(X20&gt;0,Y20/X20,""),"")</f>
        <v/>
      </c>
      <c r="AA20" t="str">
        <f>IF($B$2="Todos",IF(COUNT($C$241:$K$241)=0,"",SUM($C$241:$K$241)),IFERROR(INDEX($C$241:$K$241,MATCH($B$2,$C$232:$K$232,0)),""))</f>
        <v/>
      </c>
      <c r="AB20">
        <f>IF($B$2="Todos",SUMIFS(Base!$AA$3:$AA$5001,Base!$A$3:$A$5001,$B20),SUMIFS(Base!$AA$3:$AA$5001,Base!$A$3:$A$5001,$B20,Base!$B$3:$B$5001,$B$2))</f>
        <v>0</v>
      </c>
      <c r="AC20">
        <f>IF($B$2="Todos",SUMIFS(Base!$AB$3:$AB$5001,Base!$A$3:$A$5001,$B20),SUMIFS(Base!$AB$3:$AB$5001,Base!$A$3:$A$5001,$B20,Base!$B$3:$B$5001,$B$2))</f>
        <v>0</v>
      </c>
      <c r="AD20">
        <f>IF($B$2="Todos",SUMIFS(Base!$AC$3:$AC$5001,Base!$A$3:$A$5001,$B20),SUMIFS(Base!$AC$3:$AC$5001,Base!$A$3:$A$5001,$B20,Base!$B$3:$B$5001,$B$2))</f>
        <v>0</v>
      </c>
      <c r="AE20">
        <f>IF($B$2="Todos",SUMIFS(Base!$AD$3:$AD$5001,Base!$A$3:$A$5001,$B20),SUMIFS(Base!$AD$3:$AD$5001,Base!$A$3:$A$5001,$B20,Base!$B$3:$B$5001,$B$2))</f>
        <v>0</v>
      </c>
      <c r="AG20">
        <f>IFERROR(N(INDEX($C20:$AE20,MATCH($B$3,$C$11:$AE$11,0))),0)</f>
        <v>0</v>
      </c>
      <c r="AH20">
        <f>IFERROR(N(INDEX($C20:$AE20,MATCH($C$3,$C$11:$AE$11,0))),0)</f>
        <v>0</v>
      </c>
      <c r="AI20">
        <f>$B$5</f>
        <v>0.7</v>
      </c>
      <c r="AJ20">
        <f>$B$6</f>
        <v>0.9</v>
      </c>
      <c r="AL20" t="inlineStr">
        <is>
          <t xml:space="preserve">OMNLIFE</t>
        </is>
      </c>
      <c r="AN20" t="inlineStr">
        <is>
          <t xml:space="preserve">SETEMBRO · 2026</t>
        </is>
      </c>
    </row>
    <row r="21">
      <c r="A21">
        <v>10</v>
      </c>
      <c r="B21" s="152">
        <f>IF(ISNUMBER($A21),$C$7+$A21-1,"")</f>
        <v>46275</v>
      </c>
      <c r="C21">
        <f>IF($B$2="Todos",SUMIFS(Base!$C$3:$C$5001,Base!$A$3:$A$5001,$B21),SUMIFS(Base!$C$3:$C$5001,Base!$A$3:$A$5001,$B21,Base!$B$3:$B$5001,$B$2))</f>
        <v>0</v>
      </c>
      <c r="D21">
        <f>IF($B$2="Todos",SUMIFS(Base!$D$3:$D$5001,Base!$A$3:$A$5001,$B21),SUMIFS(Base!$D$3:$D$5001,Base!$A$3:$A$5001,$B21,Base!$B$3:$B$5001,$B$2))</f>
        <v>0</v>
      </c>
      <c r="E21">
        <f>IF($B$2="Todos",SUMIFS(Base!$E$3:$E$5001,Base!$A$3:$A$5001,$B21),SUMIFS(Base!$E$3:$E$5001,Base!$A$3:$A$5001,$B21,Base!$B$3:$B$5001,$B$2))</f>
        <v>0</v>
      </c>
      <c r="F21">
        <f>IF($B$2="Todos",SUMIFS(Base!$F$3:$F$5001,Base!$A$3:$A$5001,$B21),SUMIFS(Base!$F$3:$F$5001,Base!$A$3:$A$5001,$B21,Base!$B$3:$B$5001,$B$2))</f>
        <v>0</v>
      </c>
      <c r="G21">
        <f>IF($B$2="Todos",SUMIFS(Base!$G$3:$G$5001,Base!$A$3:$A$5001,$B21),SUMIFS(Base!$G$3:$G$5001,Base!$A$3:$A$5001,$B21,Base!$B$3:$B$5001,$B$2))</f>
        <v>0</v>
      </c>
      <c r="H21">
        <f>IF($B$2="Todos",SUMIFS(Base!$H$3:$H$5001,Base!$A$3:$A$5001,$B21),SUMIFS(Base!$H$3:$H$5001,Base!$A$3:$A$5001,$B21,Base!$B$3:$B$5001,$B$2))</f>
        <v>0</v>
      </c>
      <c r="I21">
        <f>IF($B$2="Todos",SUMIFS(Base!$I$3:$I$5001,Base!$A$3:$A$5001,$B21),SUMIFS(Base!$I$3:$I$5001,Base!$A$3:$A$5001,$B21,Base!$B$3:$B$5001,$B$2))</f>
        <v>0</v>
      </c>
      <c r="J21">
        <f>IF($B$2="Todos",SUMIFS(Base!$J$3:$J$5001,Base!$A$3:$A$5001,$B21),SUMIFS(Base!$J$3:$J$5001,Base!$A$3:$A$5001,$B21,Base!$B$3:$B$5001,$B$2))</f>
        <v>0</v>
      </c>
      <c r="K21">
        <f>IF($B$2="Todos",SUMIFS(Base!$K$3:$K$5001,Base!$A$3:$A$5001,$B21),SUMIFS(Base!$K$3:$K$5001,Base!$A$3:$A$5001,$B21,Base!$B$3:$B$5001,$B$2))</f>
        <v>0</v>
      </c>
      <c r="L21">
        <f>IF($B$2="Todos",SUMIFS(Base!$L$3:$L$5001,Base!$A$3:$A$5001,$B21),SUMIFS(Base!$L$3:$L$5001,Base!$A$3:$A$5001,$B21,Base!$B$3:$B$5001,$B$2))</f>
        <v>0</v>
      </c>
      <c r="M21">
        <f>IF($B$2="Todos",SUMIFS(Base!$M$3:$M$5001,Base!$A$3:$A$5001,$B21),SUMIFS(Base!$M$3:$M$5001,Base!$A$3:$A$5001,$B21,Base!$B$3:$B$5001,$B$2))</f>
        <v>0</v>
      </c>
      <c r="N21">
        <f>IF($B$2="Todos",SUMIFS(Base!$N$3:$N$5001,Base!$A$3:$A$5001,$B21),SUMIFS(Base!$N$3:$N$5001,Base!$A$3:$A$5001,$B21,Base!$B$3:$B$5001,$B$2))</f>
        <v>0</v>
      </c>
      <c r="O21">
        <f>IF($B$2="Todos",SUMIFS(Base!$O$3:$O$5001,Base!$A$3:$A$5001,$B21),SUMIFS(Base!$O$3:$O$5001,Base!$A$3:$A$5001,$B21,Base!$B$3:$B$5001,$B$2))</f>
        <v>0</v>
      </c>
      <c r="P21">
        <f>IF($B$2="Todos",SUMIFS(Base!$P$3:$P$5001,Base!$A$3:$A$5001,$B21),SUMIFS(Base!$P$3:$P$5001,Base!$A$3:$A$5001,$B21,Base!$B$3:$B$5001,$B$2))</f>
        <v>0</v>
      </c>
      <c r="Q21">
        <f>IF($B$2="Todos",SUMIFS(Base!$Q$3:$Q$5001,Base!$A$3:$A$5001,$B21),SUMIFS(Base!$Q$3:$Q$5001,Base!$A$3:$A$5001,$B21,Base!$B$3:$B$5001,$B$2))</f>
        <v>0</v>
      </c>
      <c r="R21">
        <f>IF($B$2="Todos",SUMIFS(Base!$R$3:$R$5001,Base!$A$3:$A$5001,$B21),SUMIFS(Base!$R$3:$R$5001,Base!$A$3:$A$5001,$B21,Base!$B$3:$B$5001,$B$2))</f>
        <v>0</v>
      </c>
      <c r="S21">
        <f>IF($B$2="Todos",SUMIFS(Base!$S$3:$S$5001,Base!$A$3:$A$5001,$B21),SUMIFS(Base!$S$3:$S$5001,Base!$A$3:$A$5001,$B21,Base!$B$3:$B$5001,$B$2))</f>
        <v>0</v>
      </c>
      <c r="T21">
        <f>IF($B$2="Todos",SUMIFS(Base!$T$3:$T$5001,Base!$A$3:$A$5001,$B21),SUMIFS(Base!$T$3:$T$5001,Base!$A$3:$A$5001,$B21,Base!$B$3:$B$5001,$B$2))</f>
        <v>0</v>
      </c>
      <c r="U21">
        <f>IF($B$2="Todos",SUMIFS(Base!$U$3:$U$5001,Base!$A$3:$A$5001,$B21),SUMIFS(Base!$U$3:$U$5001,Base!$A$3:$A$5001,$B21,Base!$B$3:$B$5001,$B$2))</f>
        <v>0</v>
      </c>
      <c r="V21">
        <f>IF($B$2="Todos",SUMIFS(Base!$V$3:$V$5001,Base!$A$3:$A$5001,$B21),SUMIFS(Base!$V$3:$V$5001,Base!$A$3:$A$5001,$B21,Base!$B$3:$B$5001,$B$2))</f>
        <v>0</v>
      </c>
      <c r="W21" t="str">
        <f>IF($B$2="Todos",IF(COUNT($C$137:$K$137)=0,"",SUM($C$137:$K$137)),IFERROR(INDEX($C$137:$K$137,MATCH($B$2,$C$127:$K$127,0)),""))</f>
        <v/>
      </c>
      <c r="X21" t="str">
        <f>IF(Y21="","",IF($B$2="Todos",IF(ISNUMBER($B$4),$B$4,IF(COUNT($C$172:$K$172)=0,"",SUM($C$172:$K$172))),IFERROR(INDEX($C$172:$K$172,MATCH($B$2,$C$162:$K$162,0)),"")))</f>
        <v/>
      </c>
      <c r="Y21" t="str">
        <f>IF($B$2="Todos",IF(COUNT($C$207:$K$207)=0,"",SUM($C$207:$K$207)),IFERROR(INDEX($C$207:$K$207,MATCH($B$2,$C$197:$K$197,0)),""))</f>
        <v/>
      </c>
      <c r="Z21" t="str">
        <f>IF(AND(ISNUMBER(Y21),ISNUMBER(X21)),IF(X21&gt;0,Y21/X21,""),"")</f>
        <v/>
      </c>
      <c r="AA21" t="str">
        <f>IF($B$2="Todos",IF(COUNT($C$242:$K$242)=0,"",SUM($C$242:$K$242)),IFERROR(INDEX($C$242:$K$242,MATCH($B$2,$C$232:$K$232,0)),""))</f>
        <v/>
      </c>
      <c r="AB21">
        <f>IF($B$2="Todos",SUMIFS(Base!$AA$3:$AA$5001,Base!$A$3:$A$5001,$B21),SUMIFS(Base!$AA$3:$AA$5001,Base!$A$3:$A$5001,$B21,Base!$B$3:$B$5001,$B$2))</f>
        <v>0</v>
      </c>
      <c r="AC21">
        <f>IF($B$2="Todos",SUMIFS(Base!$AB$3:$AB$5001,Base!$A$3:$A$5001,$B21),SUMIFS(Base!$AB$3:$AB$5001,Base!$A$3:$A$5001,$B21,Base!$B$3:$B$5001,$B$2))</f>
        <v>0</v>
      </c>
      <c r="AD21">
        <f>IF($B$2="Todos",SUMIFS(Base!$AC$3:$AC$5001,Base!$A$3:$A$5001,$B21),SUMIFS(Base!$AC$3:$AC$5001,Base!$A$3:$A$5001,$B21,Base!$B$3:$B$5001,$B$2))</f>
        <v>0</v>
      </c>
      <c r="AE21">
        <f>IF($B$2="Todos",SUMIFS(Base!$AD$3:$AD$5001,Base!$A$3:$A$5001,$B21),SUMIFS(Base!$AD$3:$AD$5001,Base!$A$3:$A$5001,$B21,Base!$B$3:$B$5001,$B$2))</f>
        <v>0</v>
      </c>
      <c r="AG21">
        <f>IFERROR(N(INDEX($C21:$AE21,MATCH($B$3,$C$11:$AE$11,0))),0)</f>
        <v>0</v>
      </c>
      <c r="AH21">
        <f>IFERROR(N(INDEX($C21:$AE21,MATCH($C$3,$C$11:$AE$11,0))),0)</f>
        <v>0</v>
      </c>
      <c r="AI21">
        <f>$B$5</f>
        <v>0.7</v>
      </c>
      <c r="AJ21">
        <f>$B$6</f>
        <v>0.9</v>
      </c>
      <c r="AL21" t="inlineStr">
        <is>
          <t xml:space="preserve">ALPARGATAS</t>
        </is>
      </c>
      <c r="AN21" t="inlineStr">
        <is>
          <t xml:space="preserve">OUTUBRO · 2026</t>
        </is>
      </c>
    </row>
    <row r="22">
      <c r="A22">
        <v>11</v>
      </c>
      <c r="B22" s="152">
        <f>IF(ISNUMBER($A22),$C$7+$A22-1,"")</f>
        <v>46276</v>
      </c>
      <c r="C22">
        <f>IF($B$2="Todos",SUMIFS(Base!$C$3:$C$5001,Base!$A$3:$A$5001,$B22),SUMIFS(Base!$C$3:$C$5001,Base!$A$3:$A$5001,$B22,Base!$B$3:$B$5001,$B$2))</f>
        <v>0</v>
      </c>
      <c r="D22">
        <f>IF($B$2="Todos",SUMIFS(Base!$D$3:$D$5001,Base!$A$3:$A$5001,$B22),SUMIFS(Base!$D$3:$D$5001,Base!$A$3:$A$5001,$B22,Base!$B$3:$B$5001,$B$2))</f>
        <v>0</v>
      </c>
      <c r="E22">
        <f>IF($B$2="Todos",SUMIFS(Base!$E$3:$E$5001,Base!$A$3:$A$5001,$B22),SUMIFS(Base!$E$3:$E$5001,Base!$A$3:$A$5001,$B22,Base!$B$3:$B$5001,$B$2))</f>
        <v>0</v>
      </c>
      <c r="F22">
        <f>IF($B$2="Todos",SUMIFS(Base!$F$3:$F$5001,Base!$A$3:$A$5001,$B22),SUMIFS(Base!$F$3:$F$5001,Base!$A$3:$A$5001,$B22,Base!$B$3:$B$5001,$B$2))</f>
        <v>0</v>
      </c>
      <c r="G22">
        <f>IF($B$2="Todos",SUMIFS(Base!$G$3:$G$5001,Base!$A$3:$A$5001,$B22),SUMIFS(Base!$G$3:$G$5001,Base!$A$3:$A$5001,$B22,Base!$B$3:$B$5001,$B$2))</f>
        <v>0</v>
      </c>
      <c r="H22">
        <f>IF($B$2="Todos",SUMIFS(Base!$H$3:$H$5001,Base!$A$3:$A$5001,$B22),SUMIFS(Base!$H$3:$H$5001,Base!$A$3:$A$5001,$B22,Base!$B$3:$B$5001,$B$2))</f>
        <v>0</v>
      </c>
      <c r="I22">
        <f>IF($B$2="Todos",SUMIFS(Base!$I$3:$I$5001,Base!$A$3:$A$5001,$B22),SUMIFS(Base!$I$3:$I$5001,Base!$A$3:$A$5001,$B22,Base!$B$3:$B$5001,$B$2))</f>
        <v>0</v>
      </c>
      <c r="J22">
        <f>IF($B$2="Todos",SUMIFS(Base!$J$3:$J$5001,Base!$A$3:$A$5001,$B22),SUMIFS(Base!$J$3:$J$5001,Base!$A$3:$A$5001,$B22,Base!$B$3:$B$5001,$B$2))</f>
        <v>0</v>
      </c>
      <c r="K22">
        <f>IF($B$2="Todos",SUMIFS(Base!$K$3:$K$5001,Base!$A$3:$A$5001,$B22),SUMIFS(Base!$K$3:$K$5001,Base!$A$3:$A$5001,$B22,Base!$B$3:$B$5001,$B$2))</f>
        <v>0</v>
      </c>
      <c r="L22">
        <f>IF($B$2="Todos",SUMIFS(Base!$L$3:$L$5001,Base!$A$3:$A$5001,$B22),SUMIFS(Base!$L$3:$L$5001,Base!$A$3:$A$5001,$B22,Base!$B$3:$B$5001,$B$2))</f>
        <v>0</v>
      </c>
      <c r="M22">
        <f>IF($B$2="Todos",SUMIFS(Base!$M$3:$M$5001,Base!$A$3:$A$5001,$B22),SUMIFS(Base!$M$3:$M$5001,Base!$A$3:$A$5001,$B22,Base!$B$3:$B$5001,$B$2))</f>
        <v>0</v>
      </c>
      <c r="N22">
        <f>IF($B$2="Todos",SUMIFS(Base!$N$3:$N$5001,Base!$A$3:$A$5001,$B22),SUMIFS(Base!$N$3:$N$5001,Base!$A$3:$A$5001,$B22,Base!$B$3:$B$5001,$B$2))</f>
        <v>0</v>
      </c>
      <c r="O22">
        <f>IF($B$2="Todos",SUMIFS(Base!$O$3:$O$5001,Base!$A$3:$A$5001,$B22),SUMIFS(Base!$O$3:$O$5001,Base!$A$3:$A$5001,$B22,Base!$B$3:$B$5001,$B$2))</f>
        <v>0</v>
      </c>
      <c r="P22">
        <f>IF($B$2="Todos",SUMIFS(Base!$P$3:$P$5001,Base!$A$3:$A$5001,$B22),SUMIFS(Base!$P$3:$P$5001,Base!$A$3:$A$5001,$B22,Base!$B$3:$B$5001,$B$2))</f>
        <v>0</v>
      </c>
      <c r="Q22">
        <f>IF($B$2="Todos",SUMIFS(Base!$Q$3:$Q$5001,Base!$A$3:$A$5001,$B22),SUMIFS(Base!$Q$3:$Q$5001,Base!$A$3:$A$5001,$B22,Base!$B$3:$B$5001,$B$2))</f>
        <v>0</v>
      </c>
      <c r="R22">
        <f>IF($B$2="Todos",SUMIFS(Base!$R$3:$R$5001,Base!$A$3:$A$5001,$B22),SUMIFS(Base!$R$3:$R$5001,Base!$A$3:$A$5001,$B22,Base!$B$3:$B$5001,$B$2))</f>
        <v>0</v>
      </c>
      <c r="S22">
        <f>IF($B$2="Todos",SUMIFS(Base!$S$3:$S$5001,Base!$A$3:$A$5001,$B22),SUMIFS(Base!$S$3:$S$5001,Base!$A$3:$A$5001,$B22,Base!$B$3:$B$5001,$B$2))</f>
        <v>0</v>
      </c>
      <c r="T22">
        <f>IF($B$2="Todos",SUMIFS(Base!$T$3:$T$5001,Base!$A$3:$A$5001,$B22),SUMIFS(Base!$T$3:$T$5001,Base!$A$3:$A$5001,$B22,Base!$B$3:$B$5001,$B$2))</f>
        <v>0</v>
      </c>
      <c r="U22">
        <f>IF($B$2="Todos",SUMIFS(Base!$U$3:$U$5001,Base!$A$3:$A$5001,$B22),SUMIFS(Base!$U$3:$U$5001,Base!$A$3:$A$5001,$B22,Base!$B$3:$B$5001,$B$2))</f>
        <v>0</v>
      </c>
      <c r="V22">
        <f>IF($B$2="Todos",SUMIFS(Base!$V$3:$V$5001,Base!$A$3:$A$5001,$B22),SUMIFS(Base!$V$3:$V$5001,Base!$A$3:$A$5001,$B22,Base!$B$3:$B$5001,$B$2))</f>
        <v>0</v>
      </c>
      <c r="W22" t="str">
        <f>IF($B$2="Todos",IF(COUNT($C$138:$K$138)=0,"",SUM($C$138:$K$138)),IFERROR(INDEX($C$138:$K$138,MATCH($B$2,$C$127:$K$127,0)),""))</f>
        <v/>
      </c>
      <c r="X22" t="str">
        <f>IF(Y22="","",IF($B$2="Todos",IF(ISNUMBER($B$4),$B$4,IF(COUNT($C$173:$K$173)=0,"",SUM($C$173:$K$173))),IFERROR(INDEX($C$173:$K$173,MATCH($B$2,$C$162:$K$162,0)),"")))</f>
        <v/>
      </c>
      <c r="Y22" t="str">
        <f>IF($B$2="Todos",IF(COUNT($C$208:$K$208)=0,"",SUM($C$208:$K$208)),IFERROR(INDEX($C$208:$K$208,MATCH($B$2,$C$197:$K$197,0)),""))</f>
        <v/>
      </c>
      <c r="Z22" t="str">
        <f>IF(AND(ISNUMBER(Y22),ISNUMBER(X22)),IF(X22&gt;0,Y22/X22,""),"")</f>
        <v/>
      </c>
      <c r="AA22" t="str">
        <f>IF($B$2="Todos",IF(COUNT($C$243:$K$243)=0,"",SUM($C$243:$K$243)),IFERROR(INDEX($C$243:$K$243,MATCH($B$2,$C$232:$K$232,0)),""))</f>
        <v/>
      </c>
      <c r="AB22">
        <f>IF($B$2="Todos",SUMIFS(Base!$AA$3:$AA$5001,Base!$A$3:$A$5001,$B22),SUMIFS(Base!$AA$3:$AA$5001,Base!$A$3:$A$5001,$B22,Base!$B$3:$B$5001,$B$2))</f>
        <v>0</v>
      </c>
      <c r="AC22">
        <f>IF($B$2="Todos",SUMIFS(Base!$AB$3:$AB$5001,Base!$A$3:$A$5001,$B22),SUMIFS(Base!$AB$3:$AB$5001,Base!$A$3:$A$5001,$B22,Base!$B$3:$B$5001,$B$2))</f>
        <v>0</v>
      </c>
      <c r="AD22">
        <f>IF($B$2="Todos",SUMIFS(Base!$AC$3:$AC$5001,Base!$A$3:$A$5001,$B22),SUMIFS(Base!$AC$3:$AC$5001,Base!$A$3:$A$5001,$B22,Base!$B$3:$B$5001,$B$2))</f>
        <v>0</v>
      </c>
      <c r="AE22">
        <f>IF($B$2="Todos",SUMIFS(Base!$AD$3:$AD$5001,Base!$A$3:$A$5001,$B22),SUMIFS(Base!$AD$3:$AD$5001,Base!$A$3:$A$5001,$B22,Base!$B$3:$B$5001,$B$2))</f>
        <v>0</v>
      </c>
      <c r="AG22">
        <f>IFERROR(N(INDEX($C22:$AE22,MATCH($B$3,$C$11:$AE$11,0))),0)</f>
        <v>0</v>
      </c>
      <c r="AH22">
        <f>IFERROR(N(INDEX($C22:$AE22,MATCH($C$3,$C$11:$AE$11,0))),0)</f>
        <v>0</v>
      </c>
      <c r="AI22">
        <f>$B$5</f>
        <v>0.7</v>
      </c>
      <c r="AJ22">
        <f>$B$6</f>
        <v>0.9</v>
      </c>
      <c r="AN22" t="inlineStr">
        <is>
          <t xml:space="preserve">NOVEMBRO · 2026</t>
        </is>
      </c>
    </row>
    <row r="23">
      <c r="A23">
        <v>12</v>
      </c>
      <c r="B23" s="152">
        <f>IF(ISNUMBER($A23),$C$7+$A23-1,"")</f>
        <v>46277</v>
      </c>
      <c r="C23">
        <f>IF($B$2="Todos",SUMIFS(Base!$C$3:$C$5001,Base!$A$3:$A$5001,$B23),SUMIFS(Base!$C$3:$C$5001,Base!$A$3:$A$5001,$B23,Base!$B$3:$B$5001,$B$2))</f>
        <v>0</v>
      </c>
      <c r="D23">
        <f>IF($B$2="Todos",SUMIFS(Base!$D$3:$D$5001,Base!$A$3:$A$5001,$B23),SUMIFS(Base!$D$3:$D$5001,Base!$A$3:$A$5001,$B23,Base!$B$3:$B$5001,$B$2))</f>
        <v>0</v>
      </c>
      <c r="E23">
        <f>IF($B$2="Todos",SUMIFS(Base!$E$3:$E$5001,Base!$A$3:$A$5001,$B23),SUMIFS(Base!$E$3:$E$5001,Base!$A$3:$A$5001,$B23,Base!$B$3:$B$5001,$B$2))</f>
        <v>0</v>
      </c>
      <c r="F23">
        <f>IF($B$2="Todos",SUMIFS(Base!$F$3:$F$5001,Base!$A$3:$A$5001,$B23),SUMIFS(Base!$F$3:$F$5001,Base!$A$3:$A$5001,$B23,Base!$B$3:$B$5001,$B$2))</f>
        <v>0</v>
      </c>
      <c r="G23">
        <f>IF($B$2="Todos",SUMIFS(Base!$G$3:$G$5001,Base!$A$3:$A$5001,$B23),SUMIFS(Base!$G$3:$G$5001,Base!$A$3:$A$5001,$B23,Base!$B$3:$B$5001,$B$2))</f>
        <v>0</v>
      </c>
      <c r="H23">
        <f>IF($B$2="Todos",SUMIFS(Base!$H$3:$H$5001,Base!$A$3:$A$5001,$B23),SUMIFS(Base!$H$3:$H$5001,Base!$A$3:$A$5001,$B23,Base!$B$3:$B$5001,$B$2))</f>
        <v>0</v>
      </c>
      <c r="I23">
        <f>IF($B$2="Todos",SUMIFS(Base!$I$3:$I$5001,Base!$A$3:$A$5001,$B23),SUMIFS(Base!$I$3:$I$5001,Base!$A$3:$A$5001,$B23,Base!$B$3:$B$5001,$B$2))</f>
        <v>0</v>
      </c>
      <c r="J23">
        <f>IF($B$2="Todos",SUMIFS(Base!$J$3:$J$5001,Base!$A$3:$A$5001,$B23),SUMIFS(Base!$J$3:$J$5001,Base!$A$3:$A$5001,$B23,Base!$B$3:$B$5001,$B$2))</f>
        <v>0</v>
      </c>
      <c r="K23">
        <f>IF($B$2="Todos",SUMIFS(Base!$K$3:$K$5001,Base!$A$3:$A$5001,$B23),SUMIFS(Base!$K$3:$K$5001,Base!$A$3:$A$5001,$B23,Base!$B$3:$B$5001,$B$2))</f>
        <v>0</v>
      </c>
      <c r="L23">
        <f>IF($B$2="Todos",SUMIFS(Base!$L$3:$L$5001,Base!$A$3:$A$5001,$B23),SUMIFS(Base!$L$3:$L$5001,Base!$A$3:$A$5001,$B23,Base!$B$3:$B$5001,$B$2))</f>
        <v>0</v>
      </c>
      <c r="M23">
        <f>IF($B$2="Todos",SUMIFS(Base!$M$3:$M$5001,Base!$A$3:$A$5001,$B23),SUMIFS(Base!$M$3:$M$5001,Base!$A$3:$A$5001,$B23,Base!$B$3:$B$5001,$B$2))</f>
        <v>0</v>
      </c>
      <c r="N23">
        <f>IF($B$2="Todos",SUMIFS(Base!$N$3:$N$5001,Base!$A$3:$A$5001,$B23),SUMIFS(Base!$N$3:$N$5001,Base!$A$3:$A$5001,$B23,Base!$B$3:$B$5001,$B$2))</f>
        <v>0</v>
      </c>
      <c r="O23">
        <f>IF($B$2="Todos",SUMIFS(Base!$O$3:$O$5001,Base!$A$3:$A$5001,$B23),SUMIFS(Base!$O$3:$O$5001,Base!$A$3:$A$5001,$B23,Base!$B$3:$B$5001,$B$2))</f>
        <v>0</v>
      </c>
      <c r="P23">
        <f>IF($B$2="Todos",SUMIFS(Base!$P$3:$P$5001,Base!$A$3:$A$5001,$B23),SUMIFS(Base!$P$3:$P$5001,Base!$A$3:$A$5001,$B23,Base!$B$3:$B$5001,$B$2))</f>
        <v>0</v>
      </c>
      <c r="Q23">
        <f>IF($B$2="Todos",SUMIFS(Base!$Q$3:$Q$5001,Base!$A$3:$A$5001,$B23),SUMIFS(Base!$Q$3:$Q$5001,Base!$A$3:$A$5001,$B23,Base!$B$3:$B$5001,$B$2))</f>
        <v>0</v>
      </c>
      <c r="R23">
        <f>IF($B$2="Todos",SUMIFS(Base!$R$3:$R$5001,Base!$A$3:$A$5001,$B23),SUMIFS(Base!$R$3:$R$5001,Base!$A$3:$A$5001,$B23,Base!$B$3:$B$5001,$B$2))</f>
        <v>0</v>
      </c>
      <c r="S23">
        <f>IF($B$2="Todos",SUMIFS(Base!$S$3:$S$5001,Base!$A$3:$A$5001,$B23),SUMIFS(Base!$S$3:$S$5001,Base!$A$3:$A$5001,$B23,Base!$B$3:$B$5001,$B$2))</f>
        <v>0</v>
      </c>
      <c r="T23">
        <f>IF($B$2="Todos",SUMIFS(Base!$T$3:$T$5001,Base!$A$3:$A$5001,$B23),SUMIFS(Base!$T$3:$T$5001,Base!$A$3:$A$5001,$B23,Base!$B$3:$B$5001,$B$2))</f>
        <v>0</v>
      </c>
      <c r="U23">
        <f>IF($B$2="Todos",SUMIFS(Base!$U$3:$U$5001,Base!$A$3:$A$5001,$B23),SUMIFS(Base!$U$3:$U$5001,Base!$A$3:$A$5001,$B23,Base!$B$3:$B$5001,$B$2))</f>
        <v>0</v>
      </c>
      <c r="V23">
        <f>IF($B$2="Todos",SUMIFS(Base!$V$3:$V$5001,Base!$A$3:$A$5001,$B23),SUMIFS(Base!$V$3:$V$5001,Base!$A$3:$A$5001,$B23,Base!$B$3:$B$5001,$B$2))</f>
        <v>0</v>
      </c>
      <c r="W23" t="str">
        <f>IF($B$2="Todos",IF(COUNT($C$139:$K$139)=0,"",SUM($C$139:$K$139)),IFERROR(INDEX($C$139:$K$139,MATCH($B$2,$C$127:$K$127,0)),""))</f>
        <v/>
      </c>
      <c r="X23" t="str">
        <f>IF(Y23="","",IF($B$2="Todos",IF(ISNUMBER($B$4),$B$4,IF(COUNT($C$174:$K$174)=0,"",SUM($C$174:$K$174))),IFERROR(INDEX($C$174:$K$174,MATCH($B$2,$C$162:$K$162,0)),"")))</f>
        <v/>
      </c>
      <c r="Y23" t="str">
        <f>IF($B$2="Todos",IF(COUNT($C$209:$K$209)=0,"",SUM($C$209:$K$209)),IFERROR(INDEX($C$209:$K$209,MATCH($B$2,$C$197:$K$197,0)),""))</f>
        <v/>
      </c>
      <c r="Z23" t="str">
        <f>IF(AND(ISNUMBER(Y23),ISNUMBER(X23)),IF(X23&gt;0,Y23/X23,""),"")</f>
        <v/>
      </c>
      <c r="AA23" t="str">
        <f>IF($B$2="Todos",IF(COUNT($C$244:$K$244)=0,"",SUM($C$244:$K$244)),IFERROR(INDEX($C$244:$K$244,MATCH($B$2,$C$232:$K$232,0)),""))</f>
        <v/>
      </c>
      <c r="AB23">
        <f>IF($B$2="Todos",SUMIFS(Base!$AA$3:$AA$5001,Base!$A$3:$A$5001,$B23),SUMIFS(Base!$AA$3:$AA$5001,Base!$A$3:$A$5001,$B23,Base!$B$3:$B$5001,$B$2))</f>
        <v>0</v>
      </c>
      <c r="AC23">
        <f>IF($B$2="Todos",SUMIFS(Base!$AB$3:$AB$5001,Base!$A$3:$A$5001,$B23),SUMIFS(Base!$AB$3:$AB$5001,Base!$A$3:$A$5001,$B23,Base!$B$3:$B$5001,$B$2))</f>
        <v>0</v>
      </c>
      <c r="AD23">
        <f>IF($B$2="Todos",SUMIFS(Base!$AC$3:$AC$5001,Base!$A$3:$A$5001,$B23),SUMIFS(Base!$AC$3:$AC$5001,Base!$A$3:$A$5001,$B23,Base!$B$3:$B$5001,$B$2))</f>
        <v>0</v>
      </c>
      <c r="AE23">
        <f>IF($B$2="Todos",SUMIFS(Base!$AD$3:$AD$5001,Base!$A$3:$A$5001,$B23),SUMIFS(Base!$AD$3:$AD$5001,Base!$A$3:$A$5001,$B23,Base!$B$3:$B$5001,$B$2))</f>
        <v>0</v>
      </c>
      <c r="AG23">
        <f>IFERROR(N(INDEX($C23:$AE23,MATCH($B$3,$C$11:$AE$11,0))),0)</f>
        <v>0</v>
      </c>
      <c r="AH23">
        <f>IFERROR(N(INDEX($C23:$AE23,MATCH($C$3,$C$11:$AE$11,0))),0)</f>
        <v>0</v>
      </c>
      <c r="AI23">
        <f>$B$5</f>
        <v>0.7</v>
      </c>
      <c r="AJ23">
        <f>$B$6</f>
        <v>0.9</v>
      </c>
      <c r="AN23" t="inlineStr">
        <is>
          <t xml:space="preserve">DEZEMBRO · 2026</t>
        </is>
      </c>
    </row>
    <row r="24">
      <c r="A24">
        <v>13</v>
      </c>
      <c r="B24" s="152">
        <f>IF(ISNUMBER($A24),$C$7+$A24-1,"")</f>
        <v>46278</v>
      </c>
      <c r="C24">
        <f>IF($B$2="Todos",SUMIFS(Base!$C$3:$C$5001,Base!$A$3:$A$5001,$B24),SUMIFS(Base!$C$3:$C$5001,Base!$A$3:$A$5001,$B24,Base!$B$3:$B$5001,$B$2))</f>
        <v>0</v>
      </c>
      <c r="D24">
        <f>IF($B$2="Todos",SUMIFS(Base!$D$3:$D$5001,Base!$A$3:$A$5001,$B24),SUMIFS(Base!$D$3:$D$5001,Base!$A$3:$A$5001,$B24,Base!$B$3:$B$5001,$B$2))</f>
        <v>0</v>
      </c>
      <c r="E24">
        <f>IF($B$2="Todos",SUMIFS(Base!$E$3:$E$5001,Base!$A$3:$A$5001,$B24),SUMIFS(Base!$E$3:$E$5001,Base!$A$3:$A$5001,$B24,Base!$B$3:$B$5001,$B$2))</f>
        <v>0</v>
      </c>
      <c r="F24">
        <f>IF($B$2="Todos",SUMIFS(Base!$F$3:$F$5001,Base!$A$3:$A$5001,$B24),SUMIFS(Base!$F$3:$F$5001,Base!$A$3:$A$5001,$B24,Base!$B$3:$B$5001,$B$2))</f>
        <v>0</v>
      </c>
      <c r="G24">
        <f>IF($B$2="Todos",SUMIFS(Base!$G$3:$G$5001,Base!$A$3:$A$5001,$B24),SUMIFS(Base!$G$3:$G$5001,Base!$A$3:$A$5001,$B24,Base!$B$3:$B$5001,$B$2))</f>
        <v>0</v>
      </c>
      <c r="H24">
        <f>IF($B$2="Todos",SUMIFS(Base!$H$3:$H$5001,Base!$A$3:$A$5001,$B24),SUMIFS(Base!$H$3:$H$5001,Base!$A$3:$A$5001,$B24,Base!$B$3:$B$5001,$B$2))</f>
        <v>0</v>
      </c>
      <c r="I24">
        <f>IF($B$2="Todos",SUMIFS(Base!$I$3:$I$5001,Base!$A$3:$A$5001,$B24),SUMIFS(Base!$I$3:$I$5001,Base!$A$3:$A$5001,$B24,Base!$B$3:$B$5001,$B$2))</f>
        <v>0</v>
      </c>
      <c r="J24">
        <f>IF($B$2="Todos",SUMIFS(Base!$J$3:$J$5001,Base!$A$3:$A$5001,$B24),SUMIFS(Base!$J$3:$J$5001,Base!$A$3:$A$5001,$B24,Base!$B$3:$B$5001,$B$2))</f>
        <v>0</v>
      </c>
      <c r="K24">
        <f>IF($B$2="Todos",SUMIFS(Base!$K$3:$K$5001,Base!$A$3:$A$5001,$B24),SUMIFS(Base!$K$3:$K$5001,Base!$A$3:$A$5001,$B24,Base!$B$3:$B$5001,$B$2))</f>
        <v>0</v>
      </c>
      <c r="L24">
        <f>IF($B$2="Todos",SUMIFS(Base!$L$3:$L$5001,Base!$A$3:$A$5001,$B24),SUMIFS(Base!$L$3:$L$5001,Base!$A$3:$A$5001,$B24,Base!$B$3:$B$5001,$B$2))</f>
        <v>0</v>
      </c>
      <c r="M24">
        <f>IF($B$2="Todos",SUMIFS(Base!$M$3:$M$5001,Base!$A$3:$A$5001,$B24),SUMIFS(Base!$M$3:$M$5001,Base!$A$3:$A$5001,$B24,Base!$B$3:$B$5001,$B$2))</f>
        <v>0</v>
      </c>
      <c r="N24">
        <f>IF($B$2="Todos",SUMIFS(Base!$N$3:$N$5001,Base!$A$3:$A$5001,$B24),SUMIFS(Base!$N$3:$N$5001,Base!$A$3:$A$5001,$B24,Base!$B$3:$B$5001,$B$2))</f>
        <v>0</v>
      </c>
      <c r="O24">
        <f>IF($B$2="Todos",SUMIFS(Base!$O$3:$O$5001,Base!$A$3:$A$5001,$B24),SUMIFS(Base!$O$3:$O$5001,Base!$A$3:$A$5001,$B24,Base!$B$3:$B$5001,$B$2))</f>
        <v>0</v>
      </c>
      <c r="P24">
        <f>IF($B$2="Todos",SUMIFS(Base!$P$3:$P$5001,Base!$A$3:$A$5001,$B24),SUMIFS(Base!$P$3:$P$5001,Base!$A$3:$A$5001,$B24,Base!$B$3:$B$5001,$B$2))</f>
        <v>0</v>
      </c>
      <c r="Q24">
        <f>IF($B$2="Todos",SUMIFS(Base!$Q$3:$Q$5001,Base!$A$3:$A$5001,$B24),SUMIFS(Base!$Q$3:$Q$5001,Base!$A$3:$A$5001,$B24,Base!$B$3:$B$5001,$B$2))</f>
        <v>0</v>
      </c>
      <c r="R24">
        <f>IF($B$2="Todos",SUMIFS(Base!$R$3:$R$5001,Base!$A$3:$A$5001,$B24),SUMIFS(Base!$R$3:$R$5001,Base!$A$3:$A$5001,$B24,Base!$B$3:$B$5001,$B$2))</f>
        <v>0</v>
      </c>
      <c r="S24">
        <f>IF($B$2="Todos",SUMIFS(Base!$S$3:$S$5001,Base!$A$3:$A$5001,$B24),SUMIFS(Base!$S$3:$S$5001,Base!$A$3:$A$5001,$B24,Base!$B$3:$B$5001,$B$2))</f>
        <v>0</v>
      </c>
      <c r="T24">
        <f>IF($B$2="Todos",SUMIFS(Base!$T$3:$T$5001,Base!$A$3:$A$5001,$B24),SUMIFS(Base!$T$3:$T$5001,Base!$A$3:$A$5001,$B24,Base!$B$3:$B$5001,$B$2))</f>
        <v>0</v>
      </c>
      <c r="U24">
        <f>IF($B$2="Todos",SUMIFS(Base!$U$3:$U$5001,Base!$A$3:$A$5001,$B24),SUMIFS(Base!$U$3:$U$5001,Base!$A$3:$A$5001,$B24,Base!$B$3:$B$5001,$B$2))</f>
        <v>0</v>
      </c>
      <c r="V24">
        <f>IF($B$2="Todos",SUMIFS(Base!$V$3:$V$5001,Base!$A$3:$A$5001,$B24),SUMIFS(Base!$V$3:$V$5001,Base!$A$3:$A$5001,$B24,Base!$B$3:$B$5001,$B$2))</f>
        <v>0</v>
      </c>
      <c r="W24" t="str">
        <f>IF($B$2="Todos",IF(COUNT($C$140:$K$140)=0,"",SUM($C$140:$K$140)),IFERROR(INDEX($C$140:$K$140,MATCH($B$2,$C$127:$K$127,0)),""))</f>
        <v/>
      </c>
      <c r="X24" t="str">
        <f>IF(Y24="","",IF($B$2="Todos",IF(ISNUMBER($B$4),$B$4,IF(COUNT($C$175:$K$175)=0,"",SUM($C$175:$K$175))),IFERROR(INDEX($C$175:$K$175,MATCH($B$2,$C$162:$K$162,0)),"")))</f>
        <v/>
      </c>
      <c r="Y24" t="str">
        <f>IF($B$2="Todos",IF(COUNT($C$210:$K$210)=0,"",SUM($C$210:$K$210)),IFERROR(INDEX($C$210:$K$210,MATCH($B$2,$C$197:$K$197,0)),""))</f>
        <v/>
      </c>
      <c r="Z24" t="str">
        <f>IF(AND(ISNUMBER(Y24),ISNUMBER(X24)),IF(X24&gt;0,Y24/X24,""),"")</f>
        <v/>
      </c>
      <c r="AA24" t="str">
        <f>IF($B$2="Todos",IF(COUNT($C$245:$K$245)=0,"",SUM($C$245:$K$245)),IFERROR(INDEX($C$245:$K$245,MATCH($B$2,$C$232:$K$232,0)),""))</f>
        <v/>
      </c>
      <c r="AB24">
        <f>IF($B$2="Todos",SUMIFS(Base!$AA$3:$AA$5001,Base!$A$3:$A$5001,$B24),SUMIFS(Base!$AA$3:$AA$5001,Base!$A$3:$A$5001,$B24,Base!$B$3:$B$5001,$B$2))</f>
        <v>0</v>
      </c>
      <c r="AC24">
        <f>IF($B$2="Todos",SUMIFS(Base!$AB$3:$AB$5001,Base!$A$3:$A$5001,$B24),SUMIFS(Base!$AB$3:$AB$5001,Base!$A$3:$A$5001,$B24,Base!$B$3:$B$5001,$B$2))</f>
        <v>0</v>
      </c>
      <c r="AD24">
        <f>IF($B$2="Todos",SUMIFS(Base!$AC$3:$AC$5001,Base!$A$3:$A$5001,$B24),SUMIFS(Base!$AC$3:$AC$5001,Base!$A$3:$A$5001,$B24,Base!$B$3:$B$5001,$B$2))</f>
        <v>0</v>
      </c>
      <c r="AE24">
        <f>IF($B$2="Todos",SUMIFS(Base!$AD$3:$AD$5001,Base!$A$3:$A$5001,$B24),SUMIFS(Base!$AD$3:$AD$5001,Base!$A$3:$A$5001,$B24,Base!$B$3:$B$5001,$B$2))</f>
        <v>0</v>
      </c>
      <c r="AG24">
        <f>IFERROR(N(INDEX($C24:$AE24,MATCH($B$3,$C$11:$AE$11,0))),0)</f>
        <v>0</v>
      </c>
      <c r="AH24">
        <f>IFERROR(N(INDEX($C24:$AE24,MATCH($C$3,$C$11:$AE$11,0))),0)</f>
        <v>0</v>
      </c>
      <c r="AI24">
        <f>$B$5</f>
        <v>0.7</v>
      </c>
      <c r="AJ24">
        <f>$B$6</f>
        <v>0.9</v>
      </c>
      <c r="AN24" t="inlineStr">
        <is>
          <t xml:space="preserve">JANEIRO · 2027</t>
        </is>
      </c>
    </row>
    <row r="25">
      <c r="A25">
        <v>14</v>
      </c>
      <c r="B25" s="152">
        <f>IF(ISNUMBER($A25),$C$7+$A25-1,"")</f>
        <v>46279</v>
      </c>
      <c r="C25">
        <f>IF($B$2="Todos",SUMIFS(Base!$C$3:$C$5001,Base!$A$3:$A$5001,$B25),SUMIFS(Base!$C$3:$C$5001,Base!$A$3:$A$5001,$B25,Base!$B$3:$B$5001,$B$2))</f>
        <v>0</v>
      </c>
      <c r="D25">
        <f>IF($B$2="Todos",SUMIFS(Base!$D$3:$D$5001,Base!$A$3:$A$5001,$B25),SUMIFS(Base!$D$3:$D$5001,Base!$A$3:$A$5001,$B25,Base!$B$3:$B$5001,$B$2))</f>
        <v>0</v>
      </c>
      <c r="E25">
        <f>IF($B$2="Todos",SUMIFS(Base!$E$3:$E$5001,Base!$A$3:$A$5001,$B25),SUMIFS(Base!$E$3:$E$5001,Base!$A$3:$A$5001,$B25,Base!$B$3:$B$5001,$B$2))</f>
        <v>0</v>
      </c>
      <c r="F25">
        <f>IF($B$2="Todos",SUMIFS(Base!$F$3:$F$5001,Base!$A$3:$A$5001,$B25),SUMIFS(Base!$F$3:$F$5001,Base!$A$3:$A$5001,$B25,Base!$B$3:$B$5001,$B$2))</f>
        <v>0</v>
      </c>
      <c r="G25">
        <f>IF($B$2="Todos",SUMIFS(Base!$G$3:$G$5001,Base!$A$3:$A$5001,$B25),SUMIFS(Base!$G$3:$G$5001,Base!$A$3:$A$5001,$B25,Base!$B$3:$B$5001,$B$2))</f>
        <v>0</v>
      </c>
      <c r="H25">
        <f>IF($B$2="Todos",SUMIFS(Base!$H$3:$H$5001,Base!$A$3:$A$5001,$B25),SUMIFS(Base!$H$3:$H$5001,Base!$A$3:$A$5001,$B25,Base!$B$3:$B$5001,$B$2))</f>
        <v>0</v>
      </c>
      <c r="I25">
        <f>IF($B$2="Todos",SUMIFS(Base!$I$3:$I$5001,Base!$A$3:$A$5001,$B25),SUMIFS(Base!$I$3:$I$5001,Base!$A$3:$A$5001,$B25,Base!$B$3:$B$5001,$B$2))</f>
        <v>0</v>
      </c>
      <c r="J25">
        <f>IF($B$2="Todos",SUMIFS(Base!$J$3:$J$5001,Base!$A$3:$A$5001,$B25),SUMIFS(Base!$J$3:$J$5001,Base!$A$3:$A$5001,$B25,Base!$B$3:$B$5001,$B$2))</f>
        <v>0</v>
      </c>
      <c r="K25">
        <f>IF($B$2="Todos",SUMIFS(Base!$K$3:$K$5001,Base!$A$3:$A$5001,$B25),SUMIFS(Base!$K$3:$K$5001,Base!$A$3:$A$5001,$B25,Base!$B$3:$B$5001,$B$2))</f>
        <v>0</v>
      </c>
      <c r="L25">
        <f>IF($B$2="Todos",SUMIFS(Base!$L$3:$L$5001,Base!$A$3:$A$5001,$B25),SUMIFS(Base!$L$3:$L$5001,Base!$A$3:$A$5001,$B25,Base!$B$3:$B$5001,$B$2))</f>
        <v>0</v>
      </c>
      <c r="M25">
        <f>IF($B$2="Todos",SUMIFS(Base!$M$3:$M$5001,Base!$A$3:$A$5001,$B25),SUMIFS(Base!$M$3:$M$5001,Base!$A$3:$A$5001,$B25,Base!$B$3:$B$5001,$B$2))</f>
        <v>0</v>
      </c>
      <c r="N25">
        <f>IF($B$2="Todos",SUMIFS(Base!$N$3:$N$5001,Base!$A$3:$A$5001,$B25),SUMIFS(Base!$N$3:$N$5001,Base!$A$3:$A$5001,$B25,Base!$B$3:$B$5001,$B$2))</f>
        <v>0</v>
      </c>
      <c r="O25">
        <f>IF($B$2="Todos",SUMIFS(Base!$O$3:$O$5001,Base!$A$3:$A$5001,$B25),SUMIFS(Base!$O$3:$O$5001,Base!$A$3:$A$5001,$B25,Base!$B$3:$B$5001,$B$2))</f>
        <v>0</v>
      </c>
      <c r="P25">
        <f>IF($B$2="Todos",SUMIFS(Base!$P$3:$P$5001,Base!$A$3:$A$5001,$B25),SUMIFS(Base!$P$3:$P$5001,Base!$A$3:$A$5001,$B25,Base!$B$3:$B$5001,$B$2))</f>
        <v>0</v>
      </c>
      <c r="Q25">
        <f>IF($B$2="Todos",SUMIFS(Base!$Q$3:$Q$5001,Base!$A$3:$A$5001,$B25),SUMIFS(Base!$Q$3:$Q$5001,Base!$A$3:$A$5001,$B25,Base!$B$3:$B$5001,$B$2))</f>
        <v>0</v>
      </c>
      <c r="R25">
        <f>IF($B$2="Todos",SUMIFS(Base!$R$3:$R$5001,Base!$A$3:$A$5001,$B25),SUMIFS(Base!$R$3:$R$5001,Base!$A$3:$A$5001,$B25,Base!$B$3:$B$5001,$B$2))</f>
        <v>0</v>
      </c>
      <c r="S25">
        <f>IF($B$2="Todos",SUMIFS(Base!$S$3:$S$5001,Base!$A$3:$A$5001,$B25),SUMIFS(Base!$S$3:$S$5001,Base!$A$3:$A$5001,$B25,Base!$B$3:$B$5001,$B$2))</f>
        <v>0</v>
      </c>
      <c r="T25">
        <f>IF($B$2="Todos",SUMIFS(Base!$T$3:$T$5001,Base!$A$3:$A$5001,$B25),SUMIFS(Base!$T$3:$T$5001,Base!$A$3:$A$5001,$B25,Base!$B$3:$B$5001,$B$2))</f>
        <v>0</v>
      </c>
      <c r="U25">
        <f>IF($B$2="Todos",SUMIFS(Base!$U$3:$U$5001,Base!$A$3:$A$5001,$B25),SUMIFS(Base!$U$3:$U$5001,Base!$A$3:$A$5001,$B25,Base!$B$3:$B$5001,$B$2))</f>
        <v>0</v>
      </c>
      <c r="V25">
        <f>IF($B$2="Todos",SUMIFS(Base!$V$3:$V$5001,Base!$A$3:$A$5001,$B25),SUMIFS(Base!$V$3:$V$5001,Base!$A$3:$A$5001,$B25,Base!$B$3:$B$5001,$B$2))</f>
        <v>0</v>
      </c>
      <c r="W25" t="str">
        <f>IF($B$2="Todos",IF(COUNT($C$141:$K$141)=0,"",SUM($C$141:$K$141)),IFERROR(INDEX($C$141:$K$141,MATCH($B$2,$C$127:$K$127,0)),""))</f>
        <v/>
      </c>
      <c r="X25" t="str">
        <f>IF(Y25="","",IF($B$2="Todos",IF(ISNUMBER($B$4),$B$4,IF(COUNT($C$176:$K$176)=0,"",SUM($C$176:$K$176))),IFERROR(INDEX($C$176:$K$176,MATCH($B$2,$C$162:$K$162,0)),"")))</f>
        <v/>
      </c>
      <c r="Y25" t="str">
        <f>IF($B$2="Todos",IF(COUNT($C$211:$K$211)=0,"",SUM($C$211:$K$211)),IFERROR(INDEX($C$211:$K$211,MATCH($B$2,$C$197:$K$197,0)),""))</f>
        <v/>
      </c>
      <c r="Z25" t="str">
        <f>IF(AND(ISNUMBER(Y25),ISNUMBER(X25)),IF(X25&gt;0,Y25/X25,""),"")</f>
        <v/>
      </c>
      <c r="AA25" t="str">
        <f>IF($B$2="Todos",IF(COUNT($C$246:$K$246)=0,"",SUM($C$246:$K$246)),IFERROR(INDEX($C$246:$K$246,MATCH($B$2,$C$232:$K$232,0)),""))</f>
        <v/>
      </c>
      <c r="AB25">
        <f>IF($B$2="Todos",SUMIFS(Base!$AA$3:$AA$5001,Base!$A$3:$A$5001,$B25),SUMIFS(Base!$AA$3:$AA$5001,Base!$A$3:$A$5001,$B25,Base!$B$3:$B$5001,$B$2))</f>
        <v>0</v>
      </c>
      <c r="AC25">
        <f>IF($B$2="Todos",SUMIFS(Base!$AB$3:$AB$5001,Base!$A$3:$A$5001,$B25),SUMIFS(Base!$AB$3:$AB$5001,Base!$A$3:$A$5001,$B25,Base!$B$3:$B$5001,$B$2))</f>
        <v>0</v>
      </c>
      <c r="AD25">
        <f>IF($B$2="Todos",SUMIFS(Base!$AC$3:$AC$5001,Base!$A$3:$A$5001,$B25),SUMIFS(Base!$AC$3:$AC$5001,Base!$A$3:$A$5001,$B25,Base!$B$3:$B$5001,$B$2))</f>
        <v>0</v>
      </c>
      <c r="AE25">
        <f>IF($B$2="Todos",SUMIFS(Base!$AD$3:$AD$5001,Base!$A$3:$A$5001,$B25),SUMIFS(Base!$AD$3:$AD$5001,Base!$A$3:$A$5001,$B25,Base!$B$3:$B$5001,$B$2))</f>
        <v>0</v>
      </c>
      <c r="AG25">
        <f>IFERROR(N(INDEX($C25:$AE25,MATCH($B$3,$C$11:$AE$11,0))),0)</f>
        <v>0</v>
      </c>
      <c r="AH25">
        <f>IFERROR(N(INDEX($C25:$AE25,MATCH($C$3,$C$11:$AE$11,0))),0)</f>
        <v>0</v>
      </c>
      <c r="AI25">
        <f>$B$5</f>
        <v>0.7</v>
      </c>
      <c r="AJ25">
        <f>$B$6</f>
        <v>0.9</v>
      </c>
      <c r="AN25" t="inlineStr">
        <is>
          <t xml:space="preserve">FEVEREIRO · 2027</t>
        </is>
      </c>
    </row>
    <row r="26">
      <c r="A26">
        <v>15</v>
      </c>
      <c r="B26" s="152">
        <f>IF(ISNUMBER($A26),$C$7+$A26-1,"")</f>
        <v>46280</v>
      </c>
      <c r="C26">
        <f>IF($B$2="Todos",SUMIFS(Base!$C$3:$C$5001,Base!$A$3:$A$5001,$B26),SUMIFS(Base!$C$3:$C$5001,Base!$A$3:$A$5001,$B26,Base!$B$3:$B$5001,$B$2))</f>
        <v>0</v>
      </c>
      <c r="D26">
        <f>IF($B$2="Todos",SUMIFS(Base!$D$3:$D$5001,Base!$A$3:$A$5001,$B26),SUMIFS(Base!$D$3:$D$5001,Base!$A$3:$A$5001,$B26,Base!$B$3:$B$5001,$B$2))</f>
        <v>0</v>
      </c>
      <c r="E26">
        <f>IF($B$2="Todos",SUMIFS(Base!$E$3:$E$5001,Base!$A$3:$A$5001,$B26),SUMIFS(Base!$E$3:$E$5001,Base!$A$3:$A$5001,$B26,Base!$B$3:$B$5001,$B$2))</f>
        <v>0</v>
      </c>
      <c r="F26">
        <f>IF($B$2="Todos",SUMIFS(Base!$F$3:$F$5001,Base!$A$3:$A$5001,$B26),SUMIFS(Base!$F$3:$F$5001,Base!$A$3:$A$5001,$B26,Base!$B$3:$B$5001,$B$2))</f>
        <v>0</v>
      </c>
      <c r="G26">
        <f>IF($B$2="Todos",SUMIFS(Base!$G$3:$G$5001,Base!$A$3:$A$5001,$B26),SUMIFS(Base!$G$3:$G$5001,Base!$A$3:$A$5001,$B26,Base!$B$3:$B$5001,$B$2))</f>
        <v>0</v>
      </c>
      <c r="H26">
        <f>IF($B$2="Todos",SUMIFS(Base!$H$3:$H$5001,Base!$A$3:$A$5001,$B26),SUMIFS(Base!$H$3:$H$5001,Base!$A$3:$A$5001,$B26,Base!$B$3:$B$5001,$B$2))</f>
        <v>0</v>
      </c>
      <c r="I26">
        <f>IF($B$2="Todos",SUMIFS(Base!$I$3:$I$5001,Base!$A$3:$A$5001,$B26),SUMIFS(Base!$I$3:$I$5001,Base!$A$3:$A$5001,$B26,Base!$B$3:$B$5001,$B$2))</f>
        <v>0</v>
      </c>
      <c r="J26">
        <f>IF($B$2="Todos",SUMIFS(Base!$J$3:$J$5001,Base!$A$3:$A$5001,$B26),SUMIFS(Base!$J$3:$J$5001,Base!$A$3:$A$5001,$B26,Base!$B$3:$B$5001,$B$2))</f>
        <v>0</v>
      </c>
      <c r="K26">
        <f>IF($B$2="Todos",SUMIFS(Base!$K$3:$K$5001,Base!$A$3:$A$5001,$B26),SUMIFS(Base!$K$3:$K$5001,Base!$A$3:$A$5001,$B26,Base!$B$3:$B$5001,$B$2))</f>
        <v>0</v>
      </c>
      <c r="L26">
        <f>IF($B$2="Todos",SUMIFS(Base!$L$3:$L$5001,Base!$A$3:$A$5001,$B26),SUMIFS(Base!$L$3:$L$5001,Base!$A$3:$A$5001,$B26,Base!$B$3:$B$5001,$B$2))</f>
        <v>0</v>
      </c>
      <c r="M26">
        <f>IF($B$2="Todos",SUMIFS(Base!$M$3:$M$5001,Base!$A$3:$A$5001,$B26),SUMIFS(Base!$M$3:$M$5001,Base!$A$3:$A$5001,$B26,Base!$B$3:$B$5001,$B$2))</f>
        <v>0</v>
      </c>
      <c r="N26">
        <f>IF($B$2="Todos",SUMIFS(Base!$N$3:$N$5001,Base!$A$3:$A$5001,$B26),SUMIFS(Base!$N$3:$N$5001,Base!$A$3:$A$5001,$B26,Base!$B$3:$B$5001,$B$2))</f>
        <v>0</v>
      </c>
      <c r="O26">
        <f>IF($B$2="Todos",SUMIFS(Base!$O$3:$O$5001,Base!$A$3:$A$5001,$B26),SUMIFS(Base!$O$3:$O$5001,Base!$A$3:$A$5001,$B26,Base!$B$3:$B$5001,$B$2))</f>
        <v>0</v>
      </c>
      <c r="P26">
        <f>IF($B$2="Todos",SUMIFS(Base!$P$3:$P$5001,Base!$A$3:$A$5001,$B26),SUMIFS(Base!$P$3:$P$5001,Base!$A$3:$A$5001,$B26,Base!$B$3:$B$5001,$B$2))</f>
        <v>0</v>
      </c>
      <c r="Q26">
        <f>IF($B$2="Todos",SUMIFS(Base!$Q$3:$Q$5001,Base!$A$3:$A$5001,$B26),SUMIFS(Base!$Q$3:$Q$5001,Base!$A$3:$A$5001,$B26,Base!$B$3:$B$5001,$B$2))</f>
        <v>0</v>
      </c>
      <c r="R26">
        <f>IF($B$2="Todos",SUMIFS(Base!$R$3:$R$5001,Base!$A$3:$A$5001,$B26),SUMIFS(Base!$R$3:$R$5001,Base!$A$3:$A$5001,$B26,Base!$B$3:$B$5001,$B$2))</f>
        <v>0</v>
      </c>
      <c r="S26">
        <f>IF($B$2="Todos",SUMIFS(Base!$S$3:$S$5001,Base!$A$3:$A$5001,$B26),SUMIFS(Base!$S$3:$S$5001,Base!$A$3:$A$5001,$B26,Base!$B$3:$B$5001,$B$2))</f>
        <v>0</v>
      </c>
      <c r="T26">
        <f>IF($B$2="Todos",SUMIFS(Base!$T$3:$T$5001,Base!$A$3:$A$5001,$B26),SUMIFS(Base!$T$3:$T$5001,Base!$A$3:$A$5001,$B26,Base!$B$3:$B$5001,$B$2))</f>
        <v>0</v>
      </c>
      <c r="U26">
        <f>IF($B$2="Todos",SUMIFS(Base!$U$3:$U$5001,Base!$A$3:$A$5001,$B26),SUMIFS(Base!$U$3:$U$5001,Base!$A$3:$A$5001,$B26,Base!$B$3:$B$5001,$B$2))</f>
        <v>0</v>
      </c>
      <c r="V26">
        <f>IF($B$2="Todos",SUMIFS(Base!$V$3:$V$5001,Base!$A$3:$A$5001,$B26),SUMIFS(Base!$V$3:$V$5001,Base!$A$3:$A$5001,$B26,Base!$B$3:$B$5001,$B$2))</f>
        <v>0</v>
      </c>
      <c r="W26" t="str">
        <f>IF($B$2="Todos",IF(COUNT($C$142:$K$142)=0,"",SUM($C$142:$K$142)),IFERROR(INDEX($C$142:$K$142,MATCH($B$2,$C$127:$K$127,0)),""))</f>
        <v/>
      </c>
      <c r="X26" t="str">
        <f>IF(Y26="","",IF($B$2="Todos",IF(ISNUMBER($B$4),$B$4,IF(COUNT($C$177:$K$177)=0,"",SUM($C$177:$K$177))),IFERROR(INDEX($C$177:$K$177,MATCH($B$2,$C$162:$K$162,0)),"")))</f>
        <v/>
      </c>
      <c r="Y26" t="str">
        <f>IF($B$2="Todos",IF(COUNT($C$212:$K$212)=0,"",SUM($C$212:$K$212)),IFERROR(INDEX($C$212:$K$212,MATCH($B$2,$C$197:$K$197,0)),""))</f>
        <v/>
      </c>
      <c r="Z26" t="str">
        <f>IF(AND(ISNUMBER(Y26),ISNUMBER(X26)),IF(X26&gt;0,Y26/X26,""),"")</f>
        <v/>
      </c>
      <c r="AA26" t="str">
        <f>IF($B$2="Todos",IF(COUNT($C$247:$K$247)=0,"",SUM($C$247:$K$247)),IFERROR(INDEX($C$247:$K$247,MATCH($B$2,$C$232:$K$232,0)),""))</f>
        <v/>
      </c>
      <c r="AB26">
        <f>IF($B$2="Todos",SUMIFS(Base!$AA$3:$AA$5001,Base!$A$3:$A$5001,$B26),SUMIFS(Base!$AA$3:$AA$5001,Base!$A$3:$A$5001,$B26,Base!$B$3:$B$5001,$B$2))</f>
        <v>0</v>
      </c>
      <c r="AC26">
        <f>IF($B$2="Todos",SUMIFS(Base!$AB$3:$AB$5001,Base!$A$3:$A$5001,$B26),SUMIFS(Base!$AB$3:$AB$5001,Base!$A$3:$A$5001,$B26,Base!$B$3:$B$5001,$B$2))</f>
        <v>0</v>
      </c>
      <c r="AD26">
        <f>IF($B$2="Todos",SUMIFS(Base!$AC$3:$AC$5001,Base!$A$3:$A$5001,$B26),SUMIFS(Base!$AC$3:$AC$5001,Base!$A$3:$A$5001,$B26,Base!$B$3:$B$5001,$B$2))</f>
        <v>0</v>
      </c>
      <c r="AE26">
        <f>IF($B$2="Todos",SUMIFS(Base!$AD$3:$AD$5001,Base!$A$3:$A$5001,$B26),SUMIFS(Base!$AD$3:$AD$5001,Base!$A$3:$A$5001,$B26,Base!$B$3:$B$5001,$B$2))</f>
        <v>0</v>
      </c>
      <c r="AG26">
        <f>IFERROR(N(INDEX($C26:$AE26,MATCH($B$3,$C$11:$AE$11,0))),0)</f>
        <v>0</v>
      </c>
      <c r="AH26">
        <f>IFERROR(N(INDEX($C26:$AE26,MATCH($C$3,$C$11:$AE$11,0))),0)</f>
        <v>0</v>
      </c>
      <c r="AI26">
        <f>$B$5</f>
        <v>0.7</v>
      </c>
      <c r="AJ26">
        <f>$B$6</f>
        <v>0.9</v>
      </c>
      <c r="AN26" t="inlineStr">
        <is>
          <t xml:space="preserve">MARÇO · 2027</t>
        </is>
      </c>
    </row>
    <row r="27">
      <c r="A27">
        <v>16</v>
      </c>
      <c r="B27" s="152">
        <f>IF(ISNUMBER($A27),$C$7+$A27-1,"")</f>
        <v>46281</v>
      </c>
      <c r="C27">
        <f>IF($B$2="Todos",SUMIFS(Base!$C$3:$C$5001,Base!$A$3:$A$5001,$B27),SUMIFS(Base!$C$3:$C$5001,Base!$A$3:$A$5001,$B27,Base!$B$3:$B$5001,$B$2))</f>
        <v>0</v>
      </c>
      <c r="D27">
        <f>IF($B$2="Todos",SUMIFS(Base!$D$3:$D$5001,Base!$A$3:$A$5001,$B27),SUMIFS(Base!$D$3:$D$5001,Base!$A$3:$A$5001,$B27,Base!$B$3:$B$5001,$B$2))</f>
        <v>0</v>
      </c>
      <c r="E27">
        <f>IF($B$2="Todos",SUMIFS(Base!$E$3:$E$5001,Base!$A$3:$A$5001,$B27),SUMIFS(Base!$E$3:$E$5001,Base!$A$3:$A$5001,$B27,Base!$B$3:$B$5001,$B$2))</f>
        <v>0</v>
      </c>
      <c r="F27">
        <f>IF($B$2="Todos",SUMIFS(Base!$F$3:$F$5001,Base!$A$3:$A$5001,$B27),SUMIFS(Base!$F$3:$F$5001,Base!$A$3:$A$5001,$B27,Base!$B$3:$B$5001,$B$2))</f>
        <v>0</v>
      </c>
      <c r="G27">
        <f>IF($B$2="Todos",SUMIFS(Base!$G$3:$G$5001,Base!$A$3:$A$5001,$B27),SUMIFS(Base!$G$3:$G$5001,Base!$A$3:$A$5001,$B27,Base!$B$3:$B$5001,$B$2))</f>
        <v>0</v>
      </c>
      <c r="H27">
        <f>IF($B$2="Todos",SUMIFS(Base!$H$3:$H$5001,Base!$A$3:$A$5001,$B27),SUMIFS(Base!$H$3:$H$5001,Base!$A$3:$A$5001,$B27,Base!$B$3:$B$5001,$B$2))</f>
        <v>0</v>
      </c>
      <c r="I27">
        <f>IF($B$2="Todos",SUMIFS(Base!$I$3:$I$5001,Base!$A$3:$A$5001,$B27),SUMIFS(Base!$I$3:$I$5001,Base!$A$3:$A$5001,$B27,Base!$B$3:$B$5001,$B$2))</f>
        <v>0</v>
      </c>
      <c r="J27">
        <f>IF($B$2="Todos",SUMIFS(Base!$J$3:$J$5001,Base!$A$3:$A$5001,$B27),SUMIFS(Base!$J$3:$J$5001,Base!$A$3:$A$5001,$B27,Base!$B$3:$B$5001,$B$2))</f>
        <v>0</v>
      </c>
      <c r="K27">
        <f>IF($B$2="Todos",SUMIFS(Base!$K$3:$K$5001,Base!$A$3:$A$5001,$B27),SUMIFS(Base!$K$3:$K$5001,Base!$A$3:$A$5001,$B27,Base!$B$3:$B$5001,$B$2))</f>
        <v>0</v>
      </c>
      <c r="L27">
        <f>IF($B$2="Todos",SUMIFS(Base!$L$3:$L$5001,Base!$A$3:$A$5001,$B27),SUMIFS(Base!$L$3:$L$5001,Base!$A$3:$A$5001,$B27,Base!$B$3:$B$5001,$B$2))</f>
        <v>0</v>
      </c>
      <c r="M27">
        <f>IF($B$2="Todos",SUMIFS(Base!$M$3:$M$5001,Base!$A$3:$A$5001,$B27),SUMIFS(Base!$M$3:$M$5001,Base!$A$3:$A$5001,$B27,Base!$B$3:$B$5001,$B$2))</f>
        <v>0</v>
      </c>
      <c r="N27">
        <f>IF($B$2="Todos",SUMIFS(Base!$N$3:$N$5001,Base!$A$3:$A$5001,$B27),SUMIFS(Base!$N$3:$N$5001,Base!$A$3:$A$5001,$B27,Base!$B$3:$B$5001,$B$2))</f>
        <v>0</v>
      </c>
      <c r="O27">
        <f>IF($B$2="Todos",SUMIFS(Base!$O$3:$O$5001,Base!$A$3:$A$5001,$B27),SUMIFS(Base!$O$3:$O$5001,Base!$A$3:$A$5001,$B27,Base!$B$3:$B$5001,$B$2))</f>
        <v>0</v>
      </c>
      <c r="P27">
        <f>IF($B$2="Todos",SUMIFS(Base!$P$3:$P$5001,Base!$A$3:$A$5001,$B27),SUMIFS(Base!$P$3:$P$5001,Base!$A$3:$A$5001,$B27,Base!$B$3:$B$5001,$B$2))</f>
        <v>0</v>
      </c>
      <c r="Q27">
        <f>IF($B$2="Todos",SUMIFS(Base!$Q$3:$Q$5001,Base!$A$3:$A$5001,$B27),SUMIFS(Base!$Q$3:$Q$5001,Base!$A$3:$A$5001,$B27,Base!$B$3:$B$5001,$B$2))</f>
        <v>0</v>
      </c>
      <c r="R27">
        <f>IF($B$2="Todos",SUMIFS(Base!$R$3:$R$5001,Base!$A$3:$A$5001,$B27),SUMIFS(Base!$R$3:$R$5001,Base!$A$3:$A$5001,$B27,Base!$B$3:$B$5001,$B$2))</f>
        <v>0</v>
      </c>
      <c r="S27">
        <f>IF($B$2="Todos",SUMIFS(Base!$S$3:$S$5001,Base!$A$3:$A$5001,$B27),SUMIFS(Base!$S$3:$S$5001,Base!$A$3:$A$5001,$B27,Base!$B$3:$B$5001,$B$2))</f>
        <v>0</v>
      </c>
      <c r="T27">
        <f>IF($B$2="Todos",SUMIFS(Base!$T$3:$T$5001,Base!$A$3:$A$5001,$B27),SUMIFS(Base!$T$3:$T$5001,Base!$A$3:$A$5001,$B27,Base!$B$3:$B$5001,$B$2))</f>
        <v>0</v>
      </c>
      <c r="U27">
        <f>IF($B$2="Todos",SUMIFS(Base!$U$3:$U$5001,Base!$A$3:$A$5001,$B27),SUMIFS(Base!$U$3:$U$5001,Base!$A$3:$A$5001,$B27,Base!$B$3:$B$5001,$B$2))</f>
        <v>0</v>
      </c>
      <c r="V27">
        <f>IF($B$2="Todos",SUMIFS(Base!$V$3:$V$5001,Base!$A$3:$A$5001,$B27),SUMIFS(Base!$V$3:$V$5001,Base!$A$3:$A$5001,$B27,Base!$B$3:$B$5001,$B$2))</f>
        <v>0</v>
      </c>
      <c r="W27" t="str">
        <f>IF($B$2="Todos",IF(COUNT($C$143:$K$143)=0,"",SUM($C$143:$K$143)),IFERROR(INDEX($C$143:$K$143,MATCH($B$2,$C$127:$K$127,0)),""))</f>
        <v/>
      </c>
      <c r="X27" t="str">
        <f>IF(Y27="","",IF($B$2="Todos",IF(ISNUMBER($B$4),$B$4,IF(COUNT($C$178:$K$178)=0,"",SUM($C$178:$K$178))),IFERROR(INDEX($C$178:$K$178,MATCH($B$2,$C$162:$K$162,0)),"")))</f>
        <v/>
      </c>
      <c r="Y27" t="str">
        <f>IF($B$2="Todos",IF(COUNT($C$213:$K$213)=0,"",SUM($C$213:$K$213)),IFERROR(INDEX($C$213:$K$213,MATCH($B$2,$C$197:$K$197,0)),""))</f>
        <v/>
      </c>
      <c r="Z27" t="str">
        <f>IF(AND(ISNUMBER(Y27),ISNUMBER(X27)),IF(X27&gt;0,Y27/X27,""),"")</f>
        <v/>
      </c>
      <c r="AA27" t="str">
        <f>IF($B$2="Todos",IF(COUNT($C$248:$K$248)=0,"",SUM($C$248:$K$248)),IFERROR(INDEX($C$248:$K$248,MATCH($B$2,$C$232:$K$232,0)),""))</f>
        <v/>
      </c>
      <c r="AB27">
        <f>IF($B$2="Todos",SUMIFS(Base!$AA$3:$AA$5001,Base!$A$3:$A$5001,$B27),SUMIFS(Base!$AA$3:$AA$5001,Base!$A$3:$A$5001,$B27,Base!$B$3:$B$5001,$B$2))</f>
        <v>0</v>
      </c>
      <c r="AC27">
        <f>IF($B$2="Todos",SUMIFS(Base!$AB$3:$AB$5001,Base!$A$3:$A$5001,$B27),SUMIFS(Base!$AB$3:$AB$5001,Base!$A$3:$A$5001,$B27,Base!$B$3:$B$5001,$B$2))</f>
        <v>0</v>
      </c>
      <c r="AD27">
        <f>IF($B$2="Todos",SUMIFS(Base!$AC$3:$AC$5001,Base!$A$3:$A$5001,$B27),SUMIFS(Base!$AC$3:$AC$5001,Base!$A$3:$A$5001,$B27,Base!$B$3:$B$5001,$B$2))</f>
        <v>0</v>
      </c>
      <c r="AE27">
        <f>IF($B$2="Todos",SUMIFS(Base!$AD$3:$AD$5001,Base!$A$3:$A$5001,$B27),SUMIFS(Base!$AD$3:$AD$5001,Base!$A$3:$A$5001,$B27,Base!$B$3:$B$5001,$B$2))</f>
        <v>0</v>
      </c>
      <c r="AG27">
        <f>IFERROR(N(INDEX($C27:$AE27,MATCH($B$3,$C$11:$AE$11,0))),0)</f>
        <v>0</v>
      </c>
      <c r="AH27">
        <f>IFERROR(N(INDEX($C27:$AE27,MATCH($C$3,$C$11:$AE$11,0))),0)</f>
        <v>0</v>
      </c>
      <c r="AI27">
        <f>$B$5</f>
        <v>0.7</v>
      </c>
      <c r="AJ27">
        <f>$B$6</f>
        <v>0.9</v>
      </c>
      <c r="AN27" t="inlineStr">
        <is>
          <t xml:space="preserve">ABRIL · 2027</t>
        </is>
      </c>
    </row>
    <row r="28">
      <c r="A28">
        <v>17</v>
      </c>
      <c r="B28" s="152">
        <f>IF(ISNUMBER($A28),$C$7+$A28-1,"")</f>
        <v>46282</v>
      </c>
      <c r="C28">
        <f>IF($B$2="Todos",SUMIFS(Base!$C$3:$C$5001,Base!$A$3:$A$5001,$B28),SUMIFS(Base!$C$3:$C$5001,Base!$A$3:$A$5001,$B28,Base!$B$3:$B$5001,$B$2))</f>
        <v>0</v>
      </c>
      <c r="D28">
        <f>IF($B$2="Todos",SUMIFS(Base!$D$3:$D$5001,Base!$A$3:$A$5001,$B28),SUMIFS(Base!$D$3:$D$5001,Base!$A$3:$A$5001,$B28,Base!$B$3:$B$5001,$B$2))</f>
        <v>0</v>
      </c>
      <c r="E28">
        <f>IF($B$2="Todos",SUMIFS(Base!$E$3:$E$5001,Base!$A$3:$A$5001,$B28),SUMIFS(Base!$E$3:$E$5001,Base!$A$3:$A$5001,$B28,Base!$B$3:$B$5001,$B$2))</f>
        <v>0</v>
      </c>
      <c r="F28">
        <f>IF($B$2="Todos",SUMIFS(Base!$F$3:$F$5001,Base!$A$3:$A$5001,$B28),SUMIFS(Base!$F$3:$F$5001,Base!$A$3:$A$5001,$B28,Base!$B$3:$B$5001,$B$2))</f>
        <v>0</v>
      </c>
      <c r="G28">
        <f>IF($B$2="Todos",SUMIFS(Base!$G$3:$G$5001,Base!$A$3:$A$5001,$B28),SUMIFS(Base!$G$3:$G$5001,Base!$A$3:$A$5001,$B28,Base!$B$3:$B$5001,$B$2))</f>
        <v>0</v>
      </c>
      <c r="H28">
        <f>IF($B$2="Todos",SUMIFS(Base!$H$3:$H$5001,Base!$A$3:$A$5001,$B28),SUMIFS(Base!$H$3:$H$5001,Base!$A$3:$A$5001,$B28,Base!$B$3:$B$5001,$B$2))</f>
        <v>0</v>
      </c>
      <c r="I28">
        <f>IF($B$2="Todos",SUMIFS(Base!$I$3:$I$5001,Base!$A$3:$A$5001,$B28),SUMIFS(Base!$I$3:$I$5001,Base!$A$3:$A$5001,$B28,Base!$B$3:$B$5001,$B$2))</f>
        <v>0</v>
      </c>
      <c r="J28">
        <f>IF($B$2="Todos",SUMIFS(Base!$J$3:$J$5001,Base!$A$3:$A$5001,$B28),SUMIFS(Base!$J$3:$J$5001,Base!$A$3:$A$5001,$B28,Base!$B$3:$B$5001,$B$2))</f>
        <v>0</v>
      </c>
      <c r="K28">
        <f>IF($B$2="Todos",SUMIFS(Base!$K$3:$K$5001,Base!$A$3:$A$5001,$B28),SUMIFS(Base!$K$3:$K$5001,Base!$A$3:$A$5001,$B28,Base!$B$3:$B$5001,$B$2))</f>
        <v>0</v>
      </c>
      <c r="L28">
        <f>IF($B$2="Todos",SUMIFS(Base!$L$3:$L$5001,Base!$A$3:$A$5001,$B28),SUMIFS(Base!$L$3:$L$5001,Base!$A$3:$A$5001,$B28,Base!$B$3:$B$5001,$B$2))</f>
        <v>0</v>
      </c>
      <c r="M28">
        <f>IF($B$2="Todos",SUMIFS(Base!$M$3:$M$5001,Base!$A$3:$A$5001,$B28),SUMIFS(Base!$M$3:$M$5001,Base!$A$3:$A$5001,$B28,Base!$B$3:$B$5001,$B$2))</f>
        <v>0</v>
      </c>
      <c r="N28">
        <f>IF($B$2="Todos",SUMIFS(Base!$N$3:$N$5001,Base!$A$3:$A$5001,$B28),SUMIFS(Base!$N$3:$N$5001,Base!$A$3:$A$5001,$B28,Base!$B$3:$B$5001,$B$2))</f>
        <v>0</v>
      </c>
      <c r="O28">
        <f>IF($B$2="Todos",SUMIFS(Base!$O$3:$O$5001,Base!$A$3:$A$5001,$B28),SUMIFS(Base!$O$3:$O$5001,Base!$A$3:$A$5001,$B28,Base!$B$3:$B$5001,$B$2))</f>
        <v>0</v>
      </c>
      <c r="P28">
        <f>IF($B$2="Todos",SUMIFS(Base!$P$3:$P$5001,Base!$A$3:$A$5001,$B28),SUMIFS(Base!$P$3:$P$5001,Base!$A$3:$A$5001,$B28,Base!$B$3:$B$5001,$B$2))</f>
        <v>0</v>
      </c>
      <c r="Q28">
        <f>IF($B$2="Todos",SUMIFS(Base!$Q$3:$Q$5001,Base!$A$3:$A$5001,$B28),SUMIFS(Base!$Q$3:$Q$5001,Base!$A$3:$A$5001,$B28,Base!$B$3:$B$5001,$B$2))</f>
        <v>0</v>
      </c>
      <c r="R28">
        <f>IF($B$2="Todos",SUMIFS(Base!$R$3:$R$5001,Base!$A$3:$A$5001,$B28),SUMIFS(Base!$R$3:$R$5001,Base!$A$3:$A$5001,$B28,Base!$B$3:$B$5001,$B$2))</f>
        <v>0</v>
      </c>
      <c r="S28">
        <f>IF($B$2="Todos",SUMIFS(Base!$S$3:$S$5001,Base!$A$3:$A$5001,$B28),SUMIFS(Base!$S$3:$S$5001,Base!$A$3:$A$5001,$B28,Base!$B$3:$B$5001,$B$2))</f>
        <v>0</v>
      </c>
      <c r="T28">
        <f>IF($B$2="Todos",SUMIFS(Base!$T$3:$T$5001,Base!$A$3:$A$5001,$B28),SUMIFS(Base!$T$3:$T$5001,Base!$A$3:$A$5001,$B28,Base!$B$3:$B$5001,$B$2))</f>
        <v>0</v>
      </c>
      <c r="U28">
        <f>IF($B$2="Todos",SUMIFS(Base!$U$3:$U$5001,Base!$A$3:$A$5001,$B28),SUMIFS(Base!$U$3:$U$5001,Base!$A$3:$A$5001,$B28,Base!$B$3:$B$5001,$B$2))</f>
        <v>0</v>
      </c>
      <c r="V28">
        <f>IF($B$2="Todos",SUMIFS(Base!$V$3:$V$5001,Base!$A$3:$A$5001,$B28),SUMIFS(Base!$V$3:$V$5001,Base!$A$3:$A$5001,$B28,Base!$B$3:$B$5001,$B$2))</f>
        <v>0</v>
      </c>
      <c r="W28" t="str">
        <f>IF($B$2="Todos",IF(COUNT($C$144:$K$144)=0,"",SUM($C$144:$K$144)),IFERROR(INDEX($C$144:$K$144,MATCH($B$2,$C$127:$K$127,0)),""))</f>
        <v/>
      </c>
      <c r="X28" t="str">
        <f>IF(Y28="","",IF($B$2="Todos",IF(ISNUMBER($B$4),$B$4,IF(COUNT($C$179:$K$179)=0,"",SUM($C$179:$K$179))),IFERROR(INDEX($C$179:$K$179,MATCH($B$2,$C$162:$K$162,0)),"")))</f>
        <v/>
      </c>
      <c r="Y28" t="str">
        <f>IF($B$2="Todos",IF(COUNT($C$214:$K$214)=0,"",SUM($C$214:$K$214)),IFERROR(INDEX($C$214:$K$214,MATCH($B$2,$C$197:$K$197,0)),""))</f>
        <v/>
      </c>
      <c r="Z28" t="str">
        <f>IF(AND(ISNUMBER(Y28),ISNUMBER(X28)),IF(X28&gt;0,Y28/X28,""),"")</f>
        <v/>
      </c>
      <c r="AA28" t="str">
        <f>IF($B$2="Todos",IF(COUNT($C$249:$K$249)=0,"",SUM($C$249:$K$249)),IFERROR(INDEX($C$249:$K$249,MATCH($B$2,$C$232:$K$232,0)),""))</f>
        <v/>
      </c>
      <c r="AB28">
        <f>IF($B$2="Todos",SUMIFS(Base!$AA$3:$AA$5001,Base!$A$3:$A$5001,$B28),SUMIFS(Base!$AA$3:$AA$5001,Base!$A$3:$A$5001,$B28,Base!$B$3:$B$5001,$B$2))</f>
        <v>0</v>
      </c>
      <c r="AC28">
        <f>IF($B$2="Todos",SUMIFS(Base!$AB$3:$AB$5001,Base!$A$3:$A$5001,$B28),SUMIFS(Base!$AB$3:$AB$5001,Base!$A$3:$A$5001,$B28,Base!$B$3:$B$5001,$B$2))</f>
        <v>0</v>
      </c>
      <c r="AD28">
        <f>IF($B$2="Todos",SUMIFS(Base!$AC$3:$AC$5001,Base!$A$3:$A$5001,$B28),SUMIFS(Base!$AC$3:$AC$5001,Base!$A$3:$A$5001,$B28,Base!$B$3:$B$5001,$B$2))</f>
        <v>0</v>
      </c>
      <c r="AE28">
        <f>IF($B$2="Todos",SUMIFS(Base!$AD$3:$AD$5001,Base!$A$3:$A$5001,$B28),SUMIFS(Base!$AD$3:$AD$5001,Base!$A$3:$A$5001,$B28,Base!$B$3:$B$5001,$B$2))</f>
        <v>0</v>
      </c>
      <c r="AG28">
        <f>IFERROR(N(INDEX($C28:$AE28,MATCH($B$3,$C$11:$AE$11,0))),0)</f>
        <v>0</v>
      </c>
      <c r="AH28">
        <f>IFERROR(N(INDEX($C28:$AE28,MATCH($C$3,$C$11:$AE$11,0))),0)</f>
        <v>0</v>
      </c>
      <c r="AI28">
        <f>$B$5</f>
        <v>0.7</v>
      </c>
      <c r="AJ28">
        <f>$B$6</f>
        <v>0.9</v>
      </c>
      <c r="AN28" t="inlineStr">
        <is>
          <t xml:space="preserve">MAIO · 2027</t>
        </is>
      </c>
    </row>
    <row r="29">
      <c r="A29">
        <v>18</v>
      </c>
      <c r="B29" s="152">
        <f>IF(ISNUMBER($A29),$C$7+$A29-1,"")</f>
        <v>46283</v>
      </c>
      <c r="C29">
        <f>IF($B$2="Todos",SUMIFS(Base!$C$3:$C$5001,Base!$A$3:$A$5001,$B29),SUMIFS(Base!$C$3:$C$5001,Base!$A$3:$A$5001,$B29,Base!$B$3:$B$5001,$B$2))</f>
        <v>0</v>
      </c>
      <c r="D29">
        <f>IF($B$2="Todos",SUMIFS(Base!$D$3:$D$5001,Base!$A$3:$A$5001,$B29),SUMIFS(Base!$D$3:$D$5001,Base!$A$3:$A$5001,$B29,Base!$B$3:$B$5001,$B$2))</f>
        <v>0</v>
      </c>
      <c r="E29">
        <f>IF($B$2="Todos",SUMIFS(Base!$E$3:$E$5001,Base!$A$3:$A$5001,$B29),SUMIFS(Base!$E$3:$E$5001,Base!$A$3:$A$5001,$B29,Base!$B$3:$B$5001,$B$2))</f>
        <v>0</v>
      </c>
      <c r="F29">
        <f>IF($B$2="Todos",SUMIFS(Base!$F$3:$F$5001,Base!$A$3:$A$5001,$B29),SUMIFS(Base!$F$3:$F$5001,Base!$A$3:$A$5001,$B29,Base!$B$3:$B$5001,$B$2))</f>
        <v>0</v>
      </c>
      <c r="G29">
        <f>IF($B$2="Todos",SUMIFS(Base!$G$3:$G$5001,Base!$A$3:$A$5001,$B29),SUMIFS(Base!$G$3:$G$5001,Base!$A$3:$A$5001,$B29,Base!$B$3:$B$5001,$B$2))</f>
        <v>0</v>
      </c>
      <c r="H29">
        <f>IF($B$2="Todos",SUMIFS(Base!$H$3:$H$5001,Base!$A$3:$A$5001,$B29),SUMIFS(Base!$H$3:$H$5001,Base!$A$3:$A$5001,$B29,Base!$B$3:$B$5001,$B$2))</f>
        <v>0</v>
      </c>
      <c r="I29">
        <f>IF($B$2="Todos",SUMIFS(Base!$I$3:$I$5001,Base!$A$3:$A$5001,$B29),SUMIFS(Base!$I$3:$I$5001,Base!$A$3:$A$5001,$B29,Base!$B$3:$B$5001,$B$2))</f>
        <v>0</v>
      </c>
      <c r="J29">
        <f>IF($B$2="Todos",SUMIFS(Base!$J$3:$J$5001,Base!$A$3:$A$5001,$B29),SUMIFS(Base!$J$3:$J$5001,Base!$A$3:$A$5001,$B29,Base!$B$3:$B$5001,$B$2))</f>
        <v>0</v>
      </c>
      <c r="K29">
        <f>IF($B$2="Todos",SUMIFS(Base!$K$3:$K$5001,Base!$A$3:$A$5001,$B29),SUMIFS(Base!$K$3:$K$5001,Base!$A$3:$A$5001,$B29,Base!$B$3:$B$5001,$B$2))</f>
        <v>0</v>
      </c>
      <c r="L29">
        <f>IF($B$2="Todos",SUMIFS(Base!$L$3:$L$5001,Base!$A$3:$A$5001,$B29),SUMIFS(Base!$L$3:$L$5001,Base!$A$3:$A$5001,$B29,Base!$B$3:$B$5001,$B$2))</f>
        <v>0</v>
      </c>
      <c r="M29">
        <f>IF($B$2="Todos",SUMIFS(Base!$M$3:$M$5001,Base!$A$3:$A$5001,$B29),SUMIFS(Base!$M$3:$M$5001,Base!$A$3:$A$5001,$B29,Base!$B$3:$B$5001,$B$2))</f>
        <v>0</v>
      </c>
      <c r="N29">
        <f>IF($B$2="Todos",SUMIFS(Base!$N$3:$N$5001,Base!$A$3:$A$5001,$B29),SUMIFS(Base!$N$3:$N$5001,Base!$A$3:$A$5001,$B29,Base!$B$3:$B$5001,$B$2))</f>
        <v>0</v>
      </c>
      <c r="O29">
        <f>IF($B$2="Todos",SUMIFS(Base!$O$3:$O$5001,Base!$A$3:$A$5001,$B29),SUMIFS(Base!$O$3:$O$5001,Base!$A$3:$A$5001,$B29,Base!$B$3:$B$5001,$B$2))</f>
        <v>0</v>
      </c>
      <c r="P29">
        <f>IF($B$2="Todos",SUMIFS(Base!$P$3:$P$5001,Base!$A$3:$A$5001,$B29),SUMIFS(Base!$P$3:$P$5001,Base!$A$3:$A$5001,$B29,Base!$B$3:$B$5001,$B$2))</f>
        <v>0</v>
      </c>
      <c r="Q29">
        <f>IF($B$2="Todos",SUMIFS(Base!$Q$3:$Q$5001,Base!$A$3:$A$5001,$B29),SUMIFS(Base!$Q$3:$Q$5001,Base!$A$3:$A$5001,$B29,Base!$B$3:$B$5001,$B$2))</f>
        <v>0</v>
      </c>
      <c r="R29">
        <f>IF($B$2="Todos",SUMIFS(Base!$R$3:$R$5001,Base!$A$3:$A$5001,$B29),SUMIFS(Base!$R$3:$R$5001,Base!$A$3:$A$5001,$B29,Base!$B$3:$B$5001,$B$2))</f>
        <v>0</v>
      </c>
      <c r="S29">
        <f>IF($B$2="Todos",SUMIFS(Base!$S$3:$S$5001,Base!$A$3:$A$5001,$B29),SUMIFS(Base!$S$3:$S$5001,Base!$A$3:$A$5001,$B29,Base!$B$3:$B$5001,$B$2))</f>
        <v>0</v>
      </c>
      <c r="T29">
        <f>IF($B$2="Todos",SUMIFS(Base!$T$3:$T$5001,Base!$A$3:$A$5001,$B29),SUMIFS(Base!$T$3:$T$5001,Base!$A$3:$A$5001,$B29,Base!$B$3:$B$5001,$B$2))</f>
        <v>0</v>
      </c>
      <c r="U29">
        <f>IF($B$2="Todos",SUMIFS(Base!$U$3:$U$5001,Base!$A$3:$A$5001,$B29),SUMIFS(Base!$U$3:$U$5001,Base!$A$3:$A$5001,$B29,Base!$B$3:$B$5001,$B$2))</f>
        <v>0</v>
      </c>
      <c r="V29">
        <f>IF($B$2="Todos",SUMIFS(Base!$V$3:$V$5001,Base!$A$3:$A$5001,$B29),SUMIFS(Base!$V$3:$V$5001,Base!$A$3:$A$5001,$B29,Base!$B$3:$B$5001,$B$2))</f>
        <v>0</v>
      </c>
      <c r="W29" t="str">
        <f>IF($B$2="Todos",IF(COUNT($C$145:$K$145)=0,"",SUM($C$145:$K$145)),IFERROR(INDEX($C$145:$K$145,MATCH($B$2,$C$127:$K$127,0)),""))</f>
        <v/>
      </c>
      <c r="X29" t="str">
        <f>IF(Y29="","",IF($B$2="Todos",IF(ISNUMBER($B$4),$B$4,IF(COUNT($C$180:$K$180)=0,"",SUM($C$180:$K$180))),IFERROR(INDEX($C$180:$K$180,MATCH($B$2,$C$162:$K$162,0)),"")))</f>
        <v/>
      </c>
      <c r="Y29" t="str">
        <f>IF($B$2="Todos",IF(COUNT($C$215:$K$215)=0,"",SUM($C$215:$K$215)),IFERROR(INDEX($C$215:$K$215,MATCH($B$2,$C$197:$K$197,0)),""))</f>
        <v/>
      </c>
      <c r="Z29" t="str">
        <f>IF(AND(ISNUMBER(Y29),ISNUMBER(X29)),IF(X29&gt;0,Y29/X29,""),"")</f>
        <v/>
      </c>
      <c r="AA29" t="str">
        <f>IF($B$2="Todos",IF(COUNT($C$250:$K$250)=0,"",SUM($C$250:$K$250)),IFERROR(INDEX($C$250:$K$250,MATCH($B$2,$C$232:$K$232,0)),""))</f>
        <v/>
      </c>
      <c r="AB29">
        <f>IF($B$2="Todos",SUMIFS(Base!$AA$3:$AA$5001,Base!$A$3:$A$5001,$B29),SUMIFS(Base!$AA$3:$AA$5001,Base!$A$3:$A$5001,$B29,Base!$B$3:$B$5001,$B$2))</f>
        <v>0</v>
      </c>
      <c r="AC29">
        <f>IF($B$2="Todos",SUMIFS(Base!$AB$3:$AB$5001,Base!$A$3:$A$5001,$B29),SUMIFS(Base!$AB$3:$AB$5001,Base!$A$3:$A$5001,$B29,Base!$B$3:$B$5001,$B$2))</f>
        <v>0</v>
      </c>
      <c r="AD29">
        <f>IF($B$2="Todos",SUMIFS(Base!$AC$3:$AC$5001,Base!$A$3:$A$5001,$B29),SUMIFS(Base!$AC$3:$AC$5001,Base!$A$3:$A$5001,$B29,Base!$B$3:$B$5001,$B$2))</f>
        <v>0</v>
      </c>
      <c r="AE29">
        <f>IF($B$2="Todos",SUMIFS(Base!$AD$3:$AD$5001,Base!$A$3:$A$5001,$B29),SUMIFS(Base!$AD$3:$AD$5001,Base!$A$3:$A$5001,$B29,Base!$B$3:$B$5001,$B$2))</f>
        <v>0</v>
      </c>
      <c r="AG29">
        <f>IFERROR(N(INDEX($C29:$AE29,MATCH($B$3,$C$11:$AE$11,0))),0)</f>
        <v>0</v>
      </c>
      <c r="AH29">
        <f>IFERROR(N(INDEX($C29:$AE29,MATCH($C$3,$C$11:$AE$11,0))),0)</f>
        <v>0</v>
      </c>
      <c r="AI29">
        <f>$B$5</f>
        <v>0.7</v>
      </c>
      <c r="AJ29">
        <f>$B$6</f>
        <v>0.9</v>
      </c>
      <c r="AN29" t="inlineStr">
        <is>
          <t xml:space="preserve">JUNHO · 2027</t>
        </is>
      </c>
    </row>
    <row r="30">
      <c r="A30">
        <v>19</v>
      </c>
      <c r="B30" s="152">
        <f>IF(ISNUMBER($A30),$C$7+$A30-1,"")</f>
        <v>46284</v>
      </c>
      <c r="C30">
        <f>IF($B$2="Todos",SUMIFS(Base!$C$3:$C$5001,Base!$A$3:$A$5001,$B30),SUMIFS(Base!$C$3:$C$5001,Base!$A$3:$A$5001,$B30,Base!$B$3:$B$5001,$B$2))</f>
        <v>0</v>
      </c>
      <c r="D30">
        <f>IF($B$2="Todos",SUMIFS(Base!$D$3:$D$5001,Base!$A$3:$A$5001,$B30),SUMIFS(Base!$D$3:$D$5001,Base!$A$3:$A$5001,$B30,Base!$B$3:$B$5001,$B$2))</f>
        <v>0</v>
      </c>
      <c r="E30">
        <f>IF($B$2="Todos",SUMIFS(Base!$E$3:$E$5001,Base!$A$3:$A$5001,$B30),SUMIFS(Base!$E$3:$E$5001,Base!$A$3:$A$5001,$B30,Base!$B$3:$B$5001,$B$2))</f>
        <v>0</v>
      </c>
      <c r="F30">
        <f>IF($B$2="Todos",SUMIFS(Base!$F$3:$F$5001,Base!$A$3:$A$5001,$B30),SUMIFS(Base!$F$3:$F$5001,Base!$A$3:$A$5001,$B30,Base!$B$3:$B$5001,$B$2))</f>
        <v>0</v>
      </c>
      <c r="G30">
        <f>IF($B$2="Todos",SUMIFS(Base!$G$3:$G$5001,Base!$A$3:$A$5001,$B30),SUMIFS(Base!$G$3:$G$5001,Base!$A$3:$A$5001,$B30,Base!$B$3:$B$5001,$B$2))</f>
        <v>0</v>
      </c>
      <c r="H30">
        <f>IF($B$2="Todos",SUMIFS(Base!$H$3:$H$5001,Base!$A$3:$A$5001,$B30),SUMIFS(Base!$H$3:$H$5001,Base!$A$3:$A$5001,$B30,Base!$B$3:$B$5001,$B$2))</f>
        <v>0</v>
      </c>
      <c r="I30">
        <f>IF($B$2="Todos",SUMIFS(Base!$I$3:$I$5001,Base!$A$3:$A$5001,$B30),SUMIFS(Base!$I$3:$I$5001,Base!$A$3:$A$5001,$B30,Base!$B$3:$B$5001,$B$2))</f>
        <v>0</v>
      </c>
      <c r="J30">
        <f>IF($B$2="Todos",SUMIFS(Base!$J$3:$J$5001,Base!$A$3:$A$5001,$B30),SUMIFS(Base!$J$3:$J$5001,Base!$A$3:$A$5001,$B30,Base!$B$3:$B$5001,$B$2))</f>
        <v>0</v>
      </c>
      <c r="K30">
        <f>IF($B$2="Todos",SUMIFS(Base!$K$3:$K$5001,Base!$A$3:$A$5001,$B30),SUMIFS(Base!$K$3:$K$5001,Base!$A$3:$A$5001,$B30,Base!$B$3:$B$5001,$B$2))</f>
        <v>0</v>
      </c>
      <c r="L30">
        <f>IF($B$2="Todos",SUMIFS(Base!$L$3:$L$5001,Base!$A$3:$A$5001,$B30),SUMIFS(Base!$L$3:$L$5001,Base!$A$3:$A$5001,$B30,Base!$B$3:$B$5001,$B$2))</f>
        <v>0</v>
      </c>
      <c r="M30">
        <f>IF($B$2="Todos",SUMIFS(Base!$M$3:$M$5001,Base!$A$3:$A$5001,$B30),SUMIFS(Base!$M$3:$M$5001,Base!$A$3:$A$5001,$B30,Base!$B$3:$B$5001,$B$2))</f>
        <v>0</v>
      </c>
      <c r="N30">
        <f>IF($B$2="Todos",SUMIFS(Base!$N$3:$N$5001,Base!$A$3:$A$5001,$B30),SUMIFS(Base!$N$3:$N$5001,Base!$A$3:$A$5001,$B30,Base!$B$3:$B$5001,$B$2))</f>
        <v>0</v>
      </c>
      <c r="O30">
        <f>IF($B$2="Todos",SUMIFS(Base!$O$3:$O$5001,Base!$A$3:$A$5001,$B30),SUMIFS(Base!$O$3:$O$5001,Base!$A$3:$A$5001,$B30,Base!$B$3:$B$5001,$B$2))</f>
        <v>0</v>
      </c>
      <c r="P30">
        <f>IF($B$2="Todos",SUMIFS(Base!$P$3:$P$5001,Base!$A$3:$A$5001,$B30),SUMIFS(Base!$P$3:$P$5001,Base!$A$3:$A$5001,$B30,Base!$B$3:$B$5001,$B$2))</f>
        <v>0</v>
      </c>
      <c r="Q30">
        <f>IF($B$2="Todos",SUMIFS(Base!$Q$3:$Q$5001,Base!$A$3:$A$5001,$B30),SUMIFS(Base!$Q$3:$Q$5001,Base!$A$3:$A$5001,$B30,Base!$B$3:$B$5001,$B$2))</f>
        <v>0</v>
      </c>
      <c r="R30">
        <f>IF($B$2="Todos",SUMIFS(Base!$R$3:$R$5001,Base!$A$3:$A$5001,$B30),SUMIFS(Base!$R$3:$R$5001,Base!$A$3:$A$5001,$B30,Base!$B$3:$B$5001,$B$2))</f>
        <v>0</v>
      </c>
      <c r="S30">
        <f>IF($B$2="Todos",SUMIFS(Base!$S$3:$S$5001,Base!$A$3:$A$5001,$B30),SUMIFS(Base!$S$3:$S$5001,Base!$A$3:$A$5001,$B30,Base!$B$3:$B$5001,$B$2))</f>
        <v>0</v>
      </c>
      <c r="T30">
        <f>IF($B$2="Todos",SUMIFS(Base!$T$3:$T$5001,Base!$A$3:$A$5001,$B30),SUMIFS(Base!$T$3:$T$5001,Base!$A$3:$A$5001,$B30,Base!$B$3:$B$5001,$B$2))</f>
        <v>0</v>
      </c>
      <c r="U30">
        <f>IF($B$2="Todos",SUMIFS(Base!$U$3:$U$5001,Base!$A$3:$A$5001,$B30),SUMIFS(Base!$U$3:$U$5001,Base!$A$3:$A$5001,$B30,Base!$B$3:$B$5001,$B$2))</f>
        <v>0</v>
      </c>
      <c r="V30">
        <f>IF($B$2="Todos",SUMIFS(Base!$V$3:$V$5001,Base!$A$3:$A$5001,$B30),SUMIFS(Base!$V$3:$V$5001,Base!$A$3:$A$5001,$B30,Base!$B$3:$B$5001,$B$2))</f>
        <v>0</v>
      </c>
      <c r="W30" t="str">
        <f>IF($B$2="Todos",IF(COUNT($C$146:$K$146)=0,"",SUM($C$146:$K$146)),IFERROR(INDEX($C$146:$K$146,MATCH($B$2,$C$127:$K$127,0)),""))</f>
        <v/>
      </c>
      <c r="X30" t="str">
        <f>IF(Y30="","",IF($B$2="Todos",IF(ISNUMBER($B$4),$B$4,IF(COUNT($C$181:$K$181)=0,"",SUM($C$181:$K$181))),IFERROR(INDEX($C$181:$K$181,MATCH($B$2,$C$162:$K$162,0)),"")))</f>
        <v/>
      </c>
      <c r="Y30" t="str">
        <f>IF($B$2="Todos",IF(COUNT($C$216:$K$216)=0,"",SUM($C$216:$K$216)),IFERROR(INDEX($C$216:$K$216,MATCH($B$2,$C$197:$K$197,0)),""))</f>
        <v/>
      </c>
      <c r="Z30" t="str">
        <f>IF(AND(ISNUMBER(Y30),ISNUMBER(X30)),IF(X30&gt;0,Y30/X30,""),"")</f>
        <v/>
      </c>
      <c r="AA30" t="str">
        <f>IF($B$2="Todos",IF(COUNT($C$251:$K$251)=0,"",SUM($C$251:$K$251)),IFERROR(INDEX($C$251:$K$251,MATCH($B$2,$C$232:$K$232,0)),""))</f>
        <v/>
      </c>
      <c r="AB30">
        <f>IF($B$2="Todos",SUMIFS(Base!$AA$3:$AA$5001,Base!$A$3:$A$5001,$B30),SUMIFS(Base!$AA$3:$AA$5001,Base!$A$3:$A$5001,$B30,Base!$B$3:$B$5001,$B$2))</f>
        <v>0</v>
      </c>
      <c r="AC30">
        <f>IF($B$2="Todos",SUMIFS(Base!$AB$3:$AB$5001,Base!$A$3:$A$5001,$B30),SUMIFS(Base!$AB$3:$AB$5001,Base!$A$3:$A$5001,$B30,Base!$B$3:$B$5001,$B$2))</f>
        <v>0</v>
      </c>
      <c r="AD30">
        <f>IF($B$2="Todos",SUMIFS(Base!$AC$3:$AC$5001,Base!$A$3:$A$5001,$B30),SUMIFS(Base!$AC$3:$AC$5001,Base!$A$3:$A$5001,$B30,Base!$B$3:$B$5001,$B$2))</f>
        <v>0</v>
      </c>
      <c r="AE30">
        <f>IF($B$2="Todos",SUMIFS(Base!$AD$3:$AD$5001,Base!$A$3:$A$5001,$B30),SUMIFS(Base!$AD$3:$AD$5001,Base!$A$3:$A$5001,$B30,Base!$B$3:$B$5001,$B$2))</f>
        <v>0</v>
      </c>
      <c r="AG30">
        <f>IFERROR(N(INDEX($C30:$AE30,MATCH($B$3,$C$11:$AE$11,0))),0)</f>
        <v>0</v>
      </c>
      <c r="AH30">
        <f>IFERROR(N(INDEX($C30:$AE30,MATCH($C$3,$C$11:$AE$11,0))),0)</f>
        <v>0</v>
      </c>
      <c r="AI30">
        <f>$B$5</f>
        <v>0.7</v>
      </c>
      <c r="AJ30">
        <f>$B$6</f>
        <v>0.9</v>
      </c>
      <c r="AN30" t="inlineStr">
        <is>
          <t xml:space="preserve">JULHO · 2027</t>
        </is>
      </c>
    </row>
    <row r="31">
      <c r="A31">
        <v>20</v>
      </c>
      <c r="B31" s="152">
        <f>IF(ISNUMBER($A31),$C$7+$A31-1,"")</f>
        <v>46285</v>
      </c>
      <c r="C31">
        <f>IF($B$2="Todos",SUMIFS(Base!$C$3:$C$5001,Base!$A$3:$A$5001,$B31),SUMIFS(Base!$C$3:$C$5001,Base!$A$3:$A$5001,$B31,Base!$B$3:$B$5001,$B$2))</f>
        <v>0</v>
      </c>
      <c r="D31">
        <f>IF($B$2="Todos",SUMIFS(Base!$D$3:$D$5001,Base!$A$3:$A$5001,$B31),SUMIFS(Base!$D$3:$D$5001,Base!$A$3:$A$5001,$B31,Base!$B$3:$B$5001,$B$2))</f>
        <v>0</v>
      </c>
      <c r="E31">
        <f>IF($B$2="Todos",SUMIFS(Base!$E$3:$E$5001,Base!$A$3:$A$5001,$B31),SUMIFS(Base!$E$3:$E$5001,Base!$A$3:$A$5001,$B31,Base!$B$3:$B$5001,$B$2))</f>
        <v>0</v>
      </c>
      <c r="F31">
        <f>IF($B$2="Todos",SUMIFS(Base!$F$3:$F$5001,Base!$A$3:$A$5001,$B31),SUMIFS(Base!$F$3:$F$5001,Base!$A$3:$A$5001,$B31,Base!$B$3:$B$5001,$B$2))</f>
        <v>0</v>
      </c>
      <c r="G31">
        <f>IF($B$2="Todos",SUMIFS(Base!$G$3:$G$5001,Base!$A$3:$A$5001,$B31),SUMIFS(Base!$G$3:$G$5001,Base!$A$3:$A$5001,$B31,Base!$B$3:$B$5001,$B$2))</f>
        <v>0</v>
      </c>
      <c r="H31">
        <f>IF($B$2="Todos",SUMIFS(Base!$H$3:$H$5001,Base!$A$3:$A$5001,$B31),SUMIFS(Base!$H$3:$H$5001,Base!$A$3:$A$5001,$B31,Base!$B$3:$B$5001,$B$2))</f>
        <v>0</v>
      </c>
      <c r="I31">
        <f>IF($B$2="Todos",SUMIFS(Base!$I$3:$I$5001,Base!$A$3:$A$5001,$B31),SUMIFS(Base!$I$3:$I$5001,Base!$A$3:$A$5001,$B31,Base!$B$3:$B$5001,$B$2))</f>
        <v>0</v>
      </c>
      <c r="J31">
        <f>IF($B$2="Todos",SUMIFS(Base!$J$3:$J$5001,Base!$A$3:$A$5001,$B31),SUMIFS(Base!$J$3:$J$5001,Base!$A$3:$A$5001,$B31,Base!$B$3:$B$5001,$B$2))</f>
        <v>0</v>
      </c>
      <c r="K31">
        <f>IF($B$2="Todos",SUMIFS(Base!$K$3:$K$5001,Base!$A$3:$A$5001,$B31),SUMIFS(Base!$K$3:$K$5001,Base!$A$3:$A$5001,$B31,Base!$B$3:$B$5001,$B$2))</f>
        <v>0</v>
      </c>
      <c r="L31">
        <f>IF($B$2="Todos",SUMIFS(Base!$L$3:$L$5001,Base!$A$3:$A$5001,$B31),SUMIFS(Base!$L$3:$L$5001,Base!$A$3:$A$5001,$B31,Base!$B$3:$B$5001,$B$2))</f>
        <v>0</v>
      </c>
      <c r="M31">
        <f>IF($B$2="Todos",SUMIFS(Base!$M$3:$M$5001,Base!$A$3:$A$5001,$B31),SUMIFS(Base!$M$3:$M$5001,Base!$A$3:$A$5001,$B31,Base!$B$3:$B$5001,$B$2))</f>
        <v>0</v>
      </c>
      <c r="N31">
        <f>IF($B$2="Todos",SUMIFS(Base!$N$3:$N$5001,Base!$A$3:$A$5001,$B31),SUMIFS(Base!$N$3:$N$5001,Base!$A$3:$A$5001,$B31,Base!$B$3:$B$5001,$B$2))</f>
        <v>0</v>
      </c>
      <c r="O31">
        <f>IF($B$2="Todos",SUMIFS(Base!$O$3:$O$5001,Base!$A$3:$A$5001,$B31),SUMIFS(Base!$O$3:$O$5001,Base!$A$3:$A$5001,$B31,Base!$B$3:$B$5001,$B$2))</f>
        <v>0</v>
      </c>
      <c r="P31">
        <f>IF($B$2="Todos",SUMIFS(Base!$P$3:$P$5001,Base!$A$3:$A$5001,$B31),SUMIFS(Base!$P$3:$P$5001,Base!$A$3:$A$5001,$B31,Base!$B$3:$B$5001,$B$2))</f>
        <v>0</v>
      </c>
      <c r="Q31">
        <f>IF($B$2="Todos",SUMIFS(Base!$Q$3:$Q$5001,Base!$A$3:$A$5001,$B31),SUMIFS(Base!$Q$3:$Q$5001,Base!$A$3:$A$5001,$B31,Base!$B$3:$B$5001,$B$2))</f>
        <v>0</v>
      </c>
      <c r="R31">
        <f>IF($B$2="Todos",SUMIFS(Base!$R$3:$R$5001,Base!$A$3:$A$5001,$B31),SUMIFS(Base!$R$3:$R$5001,Base!$A$3:$A$5001,$B31,Base!$B$3:$B$5001,$B$2))</f>
        <v>0</v>
      </c>
      <c r="S31">
        <f>IF($B$2="Todos",SUMIFS(Base!$S$3:$S$5001,Base!$A$3:$A$5001,$B31),SUMIFS(Base!$S$3:$S$5001,Base!$A$3:$A$5001,$B31,Base!$B$3:$B$5001,$B$2))</f>
        <v>0</v>
      </c>
      <c r="T31">
        <f>IF($B$2="Todos",SUMIFS(Base!$T$3:$T$5001,Base!$A$3:$A$5001,$B31),SUMIFS(Base!$T$3:$T$5001,Base!$A$3:$A$5001,$B31,Base!$B$3:$B$5001,$B$2))</f>
        <v>0</v>
      </c>
      <c r="U31">
        <f>IF($B$2="Todos",SUMIFS(Base!$U$3:$U$5001,Base!$A$3:$A$5001,$B31),SUMIFS(Base!$U$3:$U$5001,Base!$A$3:$A$5001,$B31,Base!$B$3:$B$5001,$B$2))</f>
        <v>0</v>
      </c>
      <c r="V31">
        <f>IF($B$2="Todos",SUMIFS(Base!$V$3:$V$5001,Base!$A$3:$A$5001,$B31),SUMIFS(Base!$V$3:$V$5001,Base!$A$3:$A$5001,$B31,Base!$B$3:$B$5001,$B$2))</f>
        <v>0</v>
      </c>
      <c r="W31" t="str">
        <f>IF($B$2="Todos",IF(COUNT($C$147:$K$147)=0,"",SUM($C$147:$K$147)),IFERROR(INDEX($C$147:$K$147,MATCH($B$2,$C$127:$K$127,0)),""))</f>
        <v/>
      </c>
      <c r="X31" t="str">
        <f>IF(Y31="","",IF($B$2="Todos",IF(ISNUMBER($B$4),$B$4,IF(COUNT($C$182:$K$182)=0,"",SUM($C$182:$K$182))),IFERROR(INDEX($C$182:$K$182,MATCH($B$2,$C$162:$K$162,0)),"")))</f>
        <v/>
      </c>
      <c r="Y31" t="str">
        <f>IF($B$2="Todos",IF(COUNT($C$217:$K$217)=0,"",SUM($C$217:$K$217)),IFERROR(INDEX($C$217:$K$217,MATCH($B$2,$C$197:$K$197,0)),""))</f>
        <v/>
      </c>
      <c r="Z31" t="str">
        <f>IF(AND(ISNUMBER(Y31),ISNUMBER(X31)),IF(X31&gt;0,Y31/X31,""),"")</f>
        <v/>
      </c>
      <c r="AA31" t="str">
        <f>IF($B$2="Todos",IF(COUNT($C$252:$K$252)=0,"",SUM($C$252:$K$252)),IFERROR(INDEX($C$252:$K$252,MATCH($B$2,$C$232:$K$232,0)),""))</f>
        <v/>
      </c>
      <c r="AB31">
        <f>IF($B$2="Todos",SUMIFS(Base!$AA$3:$AA$5001,Base!$A$3:$A$5001,$B31),SUMIFS(Base!$AA$3:$AA$5001,Base!$A$3:$A$5001,$B31,Base!$B$3:$B$5001,$B$2))</f>
        <v>0</v>
      </c>
      <c r="AC31">
        <f>IF($B$2="Todos",SUMIFS(Base!$AB$3:$AB$5001,Base!$A$3:$A$5001,$B31),SUMIFS(Base!$AB$3:$AB$5001,Base!$A$3:$A$5001,$B31,Base!$B$3:$B$5001,$B$2))</f>
        <v>0</v>
      </c>
      <c r="AD31">
        <f>IF($B$2="Todos",SUMIFS(Base!$AC$3:$AC$5001,Base!$A$3:$A$5001,$B31),SUMIFS(Base!$AC$3:$AC$5001,Base!$A$3:$A$5001,$B31,Base!$B$3:$B$5001,$B$2))</f>
        <v>0</v>
      </c>
      <c r="AE31">
        <f>IF($B$2="Todos",SUMIFS(Base!$AD$3:$AD$5001,Base!$A$3:$A$5001,$B31),SUMIFS(Base!$AD$3:$AD$5001,Base!$A$3:$A$5001,$B31,Base!$B$3:$B$5001,$B$2))</f>
        <v>0</v>
      </c>
      <c r="AG31">
        <f>IFERROR(N(INDEX($C31:$AE31,MATCH($B$3,$C$11:$AE$11,0))),0)</f>
        <v>0</v>
      </c>
      <c r="AH31">
        <f>IFERROR(N(INDEX($C31:$AE31,MATCH($C$3,$C$11:$AE$11,0))),0)</f>
        <v>0</v>
      </c>
      <c r="AI31">
        <f>$B$5</f>
        <v>0.7</v>
      </c>
      <c r="AJ31">
        <f>$B$6</f>
        <v>0.9</v>
      </c>
      <c r="AN31" t="inlineStr">
        <is>
          <t xml:space="preserve">AGOSTO · 2027</t>
        </is>
      </c>
    </row>
    <row r="32">
      <c r="A32">
        <v>21</v>
      </c>
      <c r="B32" s="152">
        <f>IF(ISNUMBER($A32),$C$7+$A32-1,"")</f>
        <v>46286</v>
      </c>
      <c r="C32">
        <f>IF($B$2="Todos",SUMIFS(Base!$C$3:$C$5001,Base!$A$3:$A$5001,$B32),SUMIFS(Base!$C$3:$C$5001,Base!$A$3:$A$5001,$B32,Base!$B$3:$B$5001,$B$2))</f>
        <v>0</v>
      </c>
      <c r="D32">
        <f>IF($B$2="Todos",SUMIFS(Base!$D$3:$D$5001,Base!$A$3:$A$5001,$B32),SUMIFS(Base!$D$3:$D$5001,Base!$A$3:$A$5001,$B32,Base!$B$3:$B$5001,$B$2))</f>
        <v>0</v>
      </c>
      <c r="E32">
        <f>IF($B$2="Todos",SUMIFS(Base!$E$3:$E$5001,Base!$A$3:$A$5001,$B32),SUMIFS(Base!$E$3:$E$5001,Base!$A$3:$A$5001,$B32,Base!$B$3:$B$5001,$B$2))</f>
        <v>0</v>
      </c>
      <c r="F32">
        <f>IF($B$2="Todos",SUMIFS(Base!$F$3:$F$5001,Base!$A$3:$A$5001,$B32),SUMIFS(Base!$F$3:$F$5001,Base!$A$3:$A$5001,$B32,Base!$B$3:$B$5001,$B$2))</f>
        <v>0</v>
      </c>
      <c r="G32">
        <f>IF($B$2="Todos",SUMIFS(Base!$G$3:$G$5001,Base!$A$3:$A$5001,$B32),SUMIFS(Base!$G$3:$G$5001,Base!$A$3:$A$5001,$B32,Base!$B$3:$B$5001,$B$2))</f>
        <v>0</v>
      </c>
      <c r="H32">
        <f>IF($B$2="Todos",SUMIFS(Base!$H$3:$H$5001,Base!$A$3:$A$5001,$B32),SUMIFS(Base!$H$3:$H$5001,Base!$A$3:$A$5001,$B32,Base!$B$3:$B$5001,$B$2))</f>
        <v>0</v>
      </c>
      <c r="I32">
        <f>IF($B$2="Todos",SUMIFS(Base!$I$3:$I$5001,Base!$A$3:$A$5001,$B32),SUMIFS(Base!$I$3:$I$5001,Base!$A$3:$A$5001,$B32,Base!$B$3:$B$5001,$B$2))</f>
        <v>0</v>
      </c>
      <c r="J32">
        <f>IF($B$2="Todos",SUMIFS(Base!$J$3:$J$5001,Base!$A$3:$A$5001,$B32),SUMIFS(Base!$J$3:$J$5001,Base!$A$3:$A$5001,$B32,Base!$B$3:$B$5001,$B$2))</f>
        <v>0</v>
      </c>
      <c r="K32">
        <f>IF($B$2="Todos",SUMIFS(Base!$K$3:$K$5001,Base!$A$3:$A$5001,$B32),SUMIFS(Base!$K$3:$K$5001,Base!$A$3:$A$5001,$B32,Base!$B$3:$B$5001,$B$2))</f>
        <v>0</v>
      </c>
      <c r="L32">
        <f>IF($B$2="Todos",SUMIFS(Base!$L$3:$L$5001,Base!$A$3:$A$5001,$B32),SUMIFS(Base!$L$3:$L$5001,Base!$A$3:$A$5001,$B32,Base!$B$3:$B$5001,$B$2))</f>
        <v>0</v>
      </c>
      <c r="M32">
        <f>IF($B$2="Todos",SUMIFS(Base!$M$3:$M$5001,Base!$A$3:$A$5001,$B32),SUMIFS(Base!$M$3:$M$5001,Base!$A$3:$A$5001,$B32,Base!$B$3:$B$5001,$B$2))</f>
        <v>0</v>
      </c>
      <c r="N32">
        <f>IF($B$2="Todos",SUMIFS(Base!$N$3:$N$5001,Base!$A$3:$A$5001,$B32),SUMIFS(Base!$N$3:$N$5001,Base!$A$3:$A$5001,$B32,Base!$B$3:$B$5001,$B$2))</f>
        <v>0</v>
      </c>
      <c r="O32">
        <f>IF($B$2="Todos",SUMIFS(Base!$O$3:$O$5001,Base!$A$3:$A$5001,$B32),SUMIFS(Base!$O$3:$O$5001,Base!$A$3:$A$5001,$B32,Base!$B$3:$B$5001,$B$2))</f>
        <v>0</v>
      </c>
      <c r="P32">
        <f>IF($B$2="Todos",SUMIFS(Base!$P$3:$P$5001,Base!$A$3:$A$5001,$B32),SUMIFS(Base!$P$3:$P$5001,Base!$A$3:$A$5001,$B32,Base!$B$3:$B$5001,$B$2))</f>
        <v>0</v>
      </c>
      <c r="Q32">
        <f>IF($B$2="Todos",SUMIFS(Base!$Q$3:$Q$5001,Base!$A$3:$A$5001,$B32),SUMIFS(Base!$Q$3:$Q$5001,Base!$A$3:$A$5001,$B32,Base!$B$3:$B$5001,$B$2))</f>
        <v>0</v>
      </c>
      <c r="R32">
        <f>IF($B$2="Todos",SUMIFS(Base!$R$3:$R$5001,Base!$A$3:$A$5001,$B32),SUMIFS(Base!$R$3:$R$5001,Base!$A$3:$A$5001,$B32,Base!$B$3:$B$5001,$B$2))</f>
        <v>0</v>
      </c>
      <c r="S32">
        <f>IF($B$2="Todos",SUMIFS(Base!$S$3:$S$5001,Base!$A$3:$A$5001,$B32),SUMIFS(Base!$S$3:$S$5001,Base!$A$3:$A$5001,$B32,Base!$B$3:$B$5001,$B$2))</f>
        <v>0</v>
      </c>
      <c r="T32">
        <f>IF($B$2="Todos",SUMIFS(Base!$T$3:$T$5001,Base!$A$3:$A$5001,$B32),SUMIFS(Base!$T$3:$T$5001,Base!$A$3:$A$5001,$B32,Base!$B$3:$B$5001,$B$2))</f>
        <v>0</v>
      </c>
      <c r="U32">
        <f>IF($B$2="Todos",SUMIFS(Base!$U$3:$U$5001,Base!$A$3:$A$5001,$B32),SUMIFS(Base!$U$3:$U$5001,Base!$A$3:$A$5001,$B32,Base!$B$3:$B$5001,$B$2))</f>
        <v>0</v>
      </c>
      <c r="V32">
        <f>IF($B$2="Todos",SUMIFS(Base!$V$3:$V$5001,Base!$A$3:$A$5001,$B32),SUMIFS(Base!$V$3:$V$5001,Base!$A$3:$A$5001,$B32,Base!$B$3:$B$5001,$B$2))</f>
        <v>0</v>
      </c>
      <c r="W32" t="str">
        <f>IF($B$2="Todos",IF(COUNT($C$148:$K$148)=0,"",SUM($C$148:$K$148)),IFERROR(INDEX($C$148:$K$148,MATCH($B$2,$C$127:$K$127,0)),""))</f>
        <v/>
      </c>
      <c r="X32" t="str">
        <f>IF(Y32="","",IF($B$2="Todos",IF(ISNUMBER($B$4),$B$4,IF(COUNT($C$183:$K$183)=0,"",SUM($C$183:$K$183))),IFERROR(INDEX($C$183:$K$183,MATCH($B$2,$C$162:$K$162,0)),"")))</f>
        <v/>
      </c>
      <c r="Y32" t="str">
        <f>IF($B$2="Todos",IF(COUNT($C$218:$K$218)=0,"",SUM($C$218:$K$218)),IFERROR(INDEX($C$218:$K$218,MATCH($B$2,$C$197:$K$197,0)),""))</f>
        <v/>
      </c>
      <c r="Z32" t="str">
        <f>IF(AND(ISNUMBER(Y32),ISNUMBER(X32)),IF(X32&gt;0,Y32/X32,""),"")</f>
        <v/>
      </c>
      <c r="AA32" t="str">
        <f>IF($B$2="Todos",IF(COUNT($C$253:$K$253)=0,"",SUM($C$253:$K$253)),IFERROR(INDEX($C$253:$K$253,MATCH($B$2,$C$232:$K$232,0)),""))</f>
        <v/>
      </c>
      <c r="AB32">
        <f>IF($B$2="Todos",SUMIFS(Base!$AA$3:$AA$5001,Base!$A$3:$A$5001,$B32),SUMIFS(Base!$AA$3:$AA$5001,Base!$A$3:$A$5001,$B32,Base!$B$3:$B$5001,$B$2))</f>
        <v>0</v>
      </c>
      <c r="AC32">
        <f>IF($B$2="Todos",SUMIFS(Base!$AB$3:$AB$5001,Base!$A$3:$A$5001,$B32),SUMIFS(Base!$AB$3:$AB$5001,Base!$A$3:$A$5001,$B32,Base!$B$3:$B$5001,$B$2))</f>
        <v>0</v>
      </c>
      <c r="AD32">
        <f>IF($B$2="Todos",SUMIFS(Base!$AC$3:$AC$5001,Base!$A$3:$A$5001,$B32),SUMIFS(Base!$AC$3:$AC$5001,Base!$A$3:$A$5001,$B32,Base!$B$3:$B$5001,$B$2))</f>
        <v>0</v>
      </c>
      <c r="AE32">
        <f>IF($B$2="Todos",SUMIFS(Base!$AD$3:$AD$5001,Base!$A$3:$A$5001,$B32),SUMIFS(Base!$AD$3:$AD$5001,Base!$A$3:$A$5001,$B32,Base!$B$3:$B$5001,$B$2))</f>
        <v>0</v>
      </c>
      <c r="AG32">
        <f>IFERROR(N(INDEX($C32:$AE32,MATCH($B$3,$C$11:$AE$11,0))),0)</f>
        <v>0</v>
      </c>
      <c r="AH32">
        <f>IFERROR(N(INDEX($C32:$AE32,MATCH($C$3,$C$11:$AE$11,0))),0)</f>
        <v>0</v>
      </c>
      <c r="AI32">
        <f>$B$5</f>
        <v>0.7</v>
      </c>
      <c r="AJ32">
        <f>$B$6</f>
        <v>0.9</v>
      </c>
      <c r="AN32" t="inlineStr">
        <is>
          <t xml:space="preserve">SETEMBRO · 2027</t>
        </is>
      </c>
    </row>
    <row r="33">
      <c r="A33">
        <v>22</v>
      </c>
      <c r="B33" s="152">
        <f>IF(ISNUMBER($A33),$C$7+$A33-1,"")</f>
        <v>46287</v>
      </c>
      <c r="C33">
        <f>IF($B$2="Todos",SUMIFS(Base!$C$3:$C$5001,Base!$A$3:$A$5001,$B33),SUMIFS(Base!$C$3:$C$5001,Base!$A$3:$A$5001,$B33,Base!$B$3:$B$5001,$B$2))</f>
        <v>0</v>
      </c>
      <c r="D33">
        <f>IF($B$2="Todos",SUMIFS(Base!$D$3:$D$5001,Base!$A$3:$A$5001,$B33),SUMIFS(Base!$D$3:$D$5001,Base!$A$3:$A$5001,$B33,Base!$B$3:$B$5001,$B$2))</f>
        <v>0</v>
      </c>
      <c r="E33">
        <f>IF($B$2="Todos",SUMIFS(Base!$E$3:$E$5001,Base!$A$3:$A$5001,$B33),SUMIFS(Base!$E$3:$E$5001,Base!$A$3:$A$5001,$B33,Base!$B$3:$B$5001,$B$2))</f>
        <v>0</v>
      </c>
      <c r="F33">
        <f>IF($B$2="Todos",SUMIFS(Base!$F$3:$F$5001,Base!$A$3:$A$5001,$B33),SUMIFS(Base!$F$3:$F$5001,Base!$A$3:$A$5001,$B33,Base!$B$3:$B$5001,$B$2))</f>
        <v>0</v>
      </c>
      <c r="G33">
        <f>IF($B$2="Todos",SUMIFS(Base!$G$3:$G$5001,Base!$A$3:$A$5001,$B33),SUMIFS(Base!$G$3:$G$5001,Base!$A$3:$A$5001,$B33,Base!$B$3:$B$5001,$B$2))</f>
        <v>0</v>
      </c>
      <c r="H33">
        <f>IF($B$2="Todos",SUMIFS(Base!$H$3:$H$5001,Base!$A$3:$A$5001,$B33),SUMIFS(Base!$H$3:$H$5001,Base!$A$3:$A$5001,$B33,Base!$B$3:$B$5001,$B$2))</f>
        <v>0</v>
      </c>
      <c r="I33">
        <f>IF($B$2="Todos",SUMIFS(Base!$I$3:$I$5001,Base!$A$3:$A$5001,$B33),SUMIFS(Base!$I$3:$I$5001,Base!$A$3:$A$5001,$B33,Base!$B$3:$B$5001,$B$2))</f>
        <v>0</v>
      </c>
      <c r="J33">
        <f>IF($B$2="Todos",SUMIFS(Base!$J$3:$J$5001,Base!$A$3:$A$5001,$B33),SUMIFS(Base!$J$3:$J$5001,Base!$A$3:$A$5001,$B33,Base!$B$3:$B$5001,$B$2))</f>
        <v>0</v>
      </c>
      <c r="K33">
        <f>IF($B$2="Todos",SUMIFS(Base!$K$3:$K$5001,Base!$A$3:$A$5001,$B33),SUMIFS(Base!$K$3:$K$5001,Base!$A$3:$A$5001,$B33,Base!$B$3:$B$5001,$B$2))</f>
        <v>0</v>
      </c>
      <c r="L33">
        <f>IF($B$2="Todos",SUMIFS(Base!$L$3:$L$5001,Base!$A$3:$A$5001,$B33),SUMIFS(Base!$L$3:$L$5001,Base!$A$3:$A$5001,$B33,Base!$B$3:$B$5001,$B$2))</f>
        <v>0</v>
      </c>
      <c r="M33">
        <f>IF($B$2="Todos",SUMIFS(Base!$M$3:$M$5001,Base!$A$3:$A$5001,$B33),SUMIFS(Base!$M$3:$M$5001,Base!$A$3:$A$5001,$B33,Base!$B$3:$B$5001,$B$2))</f>
        <v>0</v>
      </c>
      <c r="N33">
        <f>IF($B$2="Todos",SUMIFS(Base!$N$3:$N$5001,Base!$A$3:$A$5001,$B33),SUMIFS(Base!$N$3:$N$5001,Base!$A$3:$A$5001,$B33,Base!$B$3:$B$5001,$B$2))</f>
        <v>0</v>
      </c>
      <c r="O33">
        <f>IF($B$2="Todos",SUMIFS(Base!$O$3:$O$5001,Base!$A$3:$A$5001,$B33),SUMIFS(Base!$O$3:$O$5001,Base!$A$3:$A$5001,$B33,Base!$B$3:$B$5001,$B$2))</f>
        <v>0</v>
      </c>
      <c r="P33">
        <f>IF($B$2="Todos",SUMIFS(Base!$P$3:$P$5001,Base!$A$3:$A$5001,$B33),SUMIFS(Base!$P$3:$P$5001,Base!$A$3:$A$5001,$B33,Base!$B$3:$B$5001,$B$2))</f>
        <v>0</v>
      </c>
      <c r="Q33">
        <f>IF($B$2="Todos",SUMIFS(Base!$Q$3:$Q$5001,Base!$A$3:$A$5001,$B33),SUMIFS(Base!$Q$3:$Q$5001,Base!$A$3:$A$5001,$B33,Base!$B$3:$B$5001,$B$2))</f>
        <v>0</v>
      </c>
      <c r="R33">
        <f>IF($B$2="Todos",SUMIFS(Base!$R$3:$R$5001,Base!$A$3:$A$5001,$B33),SUMIFS(Base!$R$3:$R$5001,Base!$A$3:$A$5001,$B33,Base!$B$3:$B$5001,$B$2))</f>
        <v>0</v>
      </c>
      <c r="S33">
        <f>IF($B$2="Todos",SUMIFS(Base!$S$3:$S$5001,Base!$A$3:$A$5001,$B33),SUMIFS(Base!$S$3:$S$5001,Base!$A$3:$A$5001,$B33,Base!$B$3:$B$5001,$B$2))</f>
        <v>0</v>
      </c>
      <c r="T33">
        <f>IF($B$2="Todos",SUMIFS(Base!$T$3:$T$5001,Base!$A$3:$A$5001,$B33),SUMIFS(Base!$T$3:$T$5001,Base!$A$3:$A$5001,$B33,Base!$B$3:$B$5001,$B$2))</f>
        <v>0</v>
      </c>
      <c r="U33">
        <f>IF($B$2="Todos",SUMIFS(Base!$U$3:$U$5001,Base!$A$3:$A$5001,$B33),SUMIFS(Base!$U$3:$U$5001,Base!$A$3:$A$5001,$B33,Base!$B$3:$B$5001,$B$2))</f>
        <v>0</v>
      </c>
      <c r="V33">
        <f>IF($B$2="Todos",SUMIFS(Base!$V$3:$V$5001,Base!$A$3:$A$5001,$B33),SUMIFS(Base!$V$3:$V$5001,Base!$A$3:$A$5001,$B33,Base!$B$3:$B$5001,$B$2))</f>
        <v>0</v>
      </c>
      <c r="W33" t="str">
        <f>IF($B$2="Todos",IF(COUNT($C$149:$K$149)=0,"",SUM($C$149:$K$149)),IFERROR(INDEX($C$149:$K$149,MATCH($B$2,$C$127:$K$127,0)),""))</f>
        <v/>
      </c>
      <c r="X33" t="str">
        <f>IF(Y33="","",IF($B$2="Todos",IF(ISNUMBER($B$4),$B$4,IF(COUNT($C$184:$K$184)=0,"",SUM($C$184:$K$184))),IFERROR(INDEX($C$184:$K$184,MATCH($B$2,$C$162:$K$162,0)),"")))</f>
        <v/>
      </c>
      <c r="Y33" t="str">
        <f>IF($B$2="Todos",IF(COUNT($C$219:$K$219)=0,"",SUM($C$219:$K$219)),IFERROR(INDEX($C$219:$K$219,MATCH($B$2,$C$197:$K$197,0)),""))</f>
        <v/>
      </c>
      <c r="Z33" t="str">
        <f>IF(AND(ISNUMBER(Y33),ISNUMBER(X33)),IF(X33&gt;0,Y33/X33,""),"")</f>
        <v/>
      </c>
      <c r="AA33" t="str">
        <f>IF($B$2="Todos",IF(COUNT($C$254:$K$254)=0,"",SUM($C$254:$K$254)),IFERROR(INDEX($C$254:$K$254,MATCH($B$2,$C$232:$K$232,0)),""))</f>
        <v/>
      </c>
      <c r="AB33">
        <f>IF($B$2="Todos",SUMIFS(Base!$AA$3:$AA$5001,Base!$A$3:$A$5001,$B33),SUMIFS(Base!$AA$3:$AA$5001,Base!$A$3:$A$5001,$B33,Base!$B$3:$B$5001,$B$2))</f>
        <v>0</v>
      </c>
      <c r="AC33">
        <f>IF($B$2="Todos",SUMIFS(Base!$AB$3:$AB$5001,Base!$A$3:$A$5001,$B33),SUMIFS(Base!$AB$3:$AB$5001,Base!$A$3:$A$5001,$B33,Base!$B$3:$B$5001,$B$2))</f>
        <v>0</v>
      </c>
      <c r="AD33">
        <f>IF($B$2="Todos",SUMIFS(Base!$AC$3:$AC$5001,Base!$A$3:$A$5001,$B33),SUMIFS(Base!$AC$3:$AC$5001,Base!$A$3:$A$5001,$B33,Base!$B$3:$B$5001,$B$2))</f>
        <v>0</v>
      </c>
      <c r="AE33">
        <f>IF($B$2="Todos",SUMIFS(Base!$AD$3:$AD$5001,Base!$A$3:$A$5001,$B33),SUMIFS(Base!$AD$3:$AD$5001,Base!$A$3:$A$5001,$B33,Base!$B$3:$B$5001,$B$2))</f>
        <v>0</v>
      </c>
      <c r="AG33">
        <f>IFERROR(N(INDEX($C33:$AE33,MATCH($B$3,$C$11:$AE$11,0))),0)</f>
        <v>0</v>
      </c>
      <c r="AH33">
        <f>IFERROR(N(INDEX($C33:$AE33,MATCH($C$3,$C$11:$AE$11,0))),0)</f>
        <v>0</v>
      </c>
      <c r="AI33">
        <f>$B$5</f>
        <v>0.7</v>
      </c>
      <c r="AJ33">
        <f>$B$6</f>
        <v>0.9</v>
      </c>
      <c r="AN33" t="inlineStr">
        <is>
          <t xml:space="preserve">OUTUBRO · 2027</t>
        </is>
      </c>
    </row>
    <row r="34">
      <c r="A34">
        <v>23</v>
      </c>
      <c r="B34" s="152">
        <f>IF(ISNUMBER($A34),$C$7+$A34-1,"")</f>
        <v>46288</v>
      </c>
      <c r="C34">
        <f>IF($B$2="Todos",SUMIFS(Base!$C$3:$C$5001,Base!$A$3:$A$5001,$B34),SUMIFS(Base!$C$3:$C$5001,Base!$A$3:$A$5001,$B34,Base!$B$3:$B$5001,$B$2))</f>
        <v>0</v>
      </c>
      <c r="D34">
        <f>IF($B$2="Todos",SUMIFS(Base!$D$3:$D$5001,Base!$A$3:$A$5001,$B34),SUMIFS(Base!$D$3:$D$5001,Base!$A$3:$A$5001,$B34,Base!$B$3:$B$5001,$B$2))</f>
        <v>0</v>
      </c>
      <c r="E34">
        <f>IF($B$2="Todos",SUMIFS(Base!$E$3:$E$5001,Base!$A$3:$A$5001,$B34),SUMIFS(Base!$E$3:$E$5001,Base!$A$3:$A$5001,$B34,Base!$B$3:$B$5001,$B$2))</f>
        <v>0</v>
      </c>
      <c r="F34">
        <f>IF($B$2="Todos",SUMIFS(Base!$F$3:$F$5001,Base!$A$3:$A$5001,$B34),SUMIFS(Base!$F$3:$F$5001,Base!$A$3:$A$5001,$B34,Base!$B$3:$B$5001,$B$2))</f>
        <v>0</v>
      </c>
      <c r="G34">
        <f>IF($B$2="Todos",SUMIFS(Base!$G$3:$G$5001,Base!$A$3:$A$5001,$B34),SUMIFS(Base!$G$3:$G$5001,Base!$A$3:$A$5001,$B34,Base!$B$3:$B$5001,$B$2))</f>
        <v>0</v>
      </c>
      <c r="H34">
        <f>IF($B$2="Todos",SUMIFS(Base!$H$3:$H$5001,Base!$A$3:$A$5001,$B34),SUMIFS(Base!$H$3:$H$5001,Base!$A$3:$A$5001,$B34,Base!$B$3:$B$5001,$B$2))</f>
        <v>0</v>
      </c>
      <c r="I34">
        <f>IF($B$2="Todos",SUMIFS(Base!$I$3:$I$5001,Base!$A$3:$A$5001,$B34),SUMIFS(Base!$I$3:$I$5001,Base!$A$3:$A$5001,$B34,Base!$B$3:$B$5001,$B$2))</f>
        <v>0</v>
      </c>
      <c r="J34">
        <f>IF($B$2="Todos",SUMIFS(Base!$J$3:$J$5001,Base!$A$3:$A$5001,$B34),SUMIFS(Base!$J$3:$J$5001,Base!$A$3:$A$5001,$B34,Base!$B$3:$B$5001,$B$2))</f>
        <v>0</v>
      </c>
      <c r="K34">
        <f>IF($B$2="Todos",SUMIFS(Base!$K$3:$K$5001,Base!$A$3:$A$5001,$B34),SUMIFS(Base!$K$3:$K$5001,Base!$A$3:$A$5001,$B34,Base!$B$3:$B$5001,$B$2))</f>
        <v>0</v>
      </c>
      <c r="L34">
        <f>IF($B$2="Todos",SUMIFS(Base!$L$3:$L$5001,Base!$A$3:$A$5001,$B34),SUMIFS(Base!$L$3:$L$5001,Base!$A$3:$A$5001,$B34,Base!$B$3:$B$5001,$B$2))</f>
        <v>0</v>
      </c>
      <c r="M34">
        <f>IF($B$2="Todos",SUMIFS(Base!$M$3:$M$5001,Base!$A$3:$A$5001,$B34),SUMIFS(Base!$M$3:$M$5001,Base!$A$3:$A$5001,$B34,Base!$B$3:$B$5001,$B$2))</f>
        <v>0</v>
      </c>
      <c r="N34">
        <f>IF($B$2="Todos",SUMIFS(Base!$N$3:$N$5001,Base!$A$3:$A$5001,$B34),SUMIFS(Base!$N$3:$N$5001,Base!$A$3:$A$5001,$B34,Base!$B$3:$B$5001,$B$2))</f>
        <v>0</v>
      </c>
      <c r="O34">
        <f>IF($B$2="Todos",SUMIFS(Base!$O$3:$O$5001,Base!$A$3:$A$5001,$B34),SUMIFS(Base!$O$3:$O$5001,Base!$A$3:$A$5001,$B34,Base!$B$3:$B$5001,$B$2))</f>
        <v>0</v>
      </c>
      <c r="P34">
        <f>IF($B$2="Todos",SUMIFS(Base!$P$3:$P$5001,Base!$A$3:$A$5001,$B34),SUMIFS(Base!$P$3:$P$5001,Base!$A$3:$A$5001,$B34,Base!$B$3:$B$5001,$B$2))</f>
        <v>0</v>
      </c>
      <c r="Q34">
        <f>IF($B$2="Todos",SUMIFS(Base!$Q$3:$Q$5001,Base!$A$3:$A$5001,$B34),SUMIFS(Base!$Q$3:$Q$5001,Base!$A$3:$A$5001,$B34,Base!$B$3:$B$5001,$B$2))</f>
        <v>0</v>
      </c>
      <c r="R34">
        <f>IF($B$2="Todos",SUMIFS(Base!$R$3:$R$5001,Base!$A$3:$A$5001,$B34),SUMIFS(Base!$R$3:$R$5001,Base!$A$3:$A$5001,$B34,Base!$B$3:$B$5001,$B$2))</f>
        <v>0</v>
      </c>
      <c r="S34">
        <f>IF($B$2="Todos",SUMIFS(Base!$S$3:$S$5001,Base!$A$3:$A$5001,$B34),SUMIFS(Base!$S$3:$S$5001,Base!$A$3:$A$5001,$B34,Base!$B$3:$B$5001,$B$2))</f>
        <v>0</v>
      </c>
      <c r="T34">
        <f>IF($B$2="Todos",SUMIFS(Base!$T$3:$T$5001,Base!$A$3:$A$5001,$B34),SUMIFS(Base!$T$3:$T$5001,Base!$A$3:$A$5001,$B34,Base!$B$3:$B$5001,$B$2))</f>
        <v>0</v>
      </c>
      <c r="U34">
        <f>IF($B$2="Todos",SUMIFS(Base!$U$3:$U$5001,Base!$A$3:$A$5001,$B34),SUMIFS(Base!$U$3:$U$5001,Base!$A$3:$A$5001,$B34,Base!$B$3:$B$5001,$B$2))</f>
        <v>0</v>
      </c>
      <c r="V34">
        <f>IF($B$2="Todos",SUMIFS(Base!$V$3:$V$5001,Base!$A$3:$A$5001,$B34),SUMIFS(Base!$V$3:$V$5001,Base!$A$3:$A$5001,$B34,Base!$B$3:$B$5001,$B$2))</f>
        <v>0</v>
      </c>
      <c r="W34" t="str">
        <f>IF($B$2="Todos",IF(COUNT($C$150:$K$150)=0,"",SUM($C$150:$K$150)),IFERROR(INDEX($C$150:$K$150,MATCH($B$2,$C$127:$K$127,0)),""))</f>
        <v/>
      </c>
      <c r="X34" t="str">
        <f>IF(Y34="","",IF($B$2="Todos",IF(ISNUMBER($B$4),$B$4,IF(COUNT($C$185:$K$185)=0,"",SUM($C$185:$K$185))),IFERROR(INDEX($C$185:$K$185,MATCH($B$2,$C$162:$K$162,0)),"")))</f>
        <v/>
      </c>
      <c r="Y34" t="str">
        <f>IF($B$2="Todos",IF(COUNT($C$220:$K$220)=0,"",SUM($C$220:$K$220)),IFERROR(INDEX($C$220:$K$220,MATCH($B$2,$C$197:$K$197,0)),""))</f>
        <v/>
      </c>
      <c r="Z34" t="str">
        <f>IF(AND(ISNUMBER(Y34),ISNUMBER(X34)),IF(X34&gt;0,Y34/X34,""),"")</f>
        <v/>
      </c>
      <c r="AA34" t="str">
        <f>IF($B$2="Todos",IF(COUNT($C$255:$K$255)=0,"",SUM($C$255:$K$255)),IFERROR(INDEX($C$255:$K$255,MATCH($B$2,$C$232:$K$232,0)),""))</f>
        <v/>
      </c>
      <c r="AB34">
        <f>IF($B$2="Todos",SUMIFS(Base!$AA$3:$AA$5001,Base!$A$3:$A$5001,$B34),SUMIFS(Base!$AA$3:$AA$5001,Base!$A$3:$A$5001,$B34,Base!$B$3:$B$5001,$B$2))</f>
        <v>0</v>
      </c>
      <c r="AC34">
        <f>IF($B$2="Todos",SUMIFS(Base!$AB$3:$AB$5001,Base!$A$3:$A$5001,$B34),SUMIFS(Base!$AB$3:$AB$5001,Base!$A$3:$A$5001,$B34,Base!$B$3:$B$5001,$B$2))</f>
        <v>0</v>
      </c>
      <c r="AD34">
        <f>IF($B$2="Todos",SUMIFS(Base!$AC$3:$AC$5001,Base!$A$3:$A$5001,$B34),SUMIFS(Base!$AC$3:$AC$5001,Base!$A$3:$A$5001,$B34,Base!$B$3:$B$5001,$B$2))</f>
        <v>0</v>
      </c>
      <c r="AE34">
        <f>IF($B$2="Todos",SUMIFS(Base!$AD$3:$AD$5001,Base!$A$3:$A$5001,$B34),SUMIFS(Base!$AD$3:$AD$5001,Base!$A$3:$A$5001,$B34,Base!$B$3:$B$5001,$B$2))</f>
        <v>0</v>
      </c>
      <c r="AG34">
        <f>IFERROR(N(INDEX($C34:$AE34,MATCH($B$3,$C$11:$AE$11,0))),0)</f>
        <v>0</v>
      </c>
      <c r="AH34">
        <f>IFERROR(N(INDEX($C34:$AE34,MATCH($C$3,$C$11:$AE$11,0))),0)</f>
        <v>0</v>
      </c>
      <c r="AI34">
        <f>$B$5</f>
        <v>0.7</v>
      </c>
      <c r="AJ34">
        <f>$B$6</f>
        <v>0.9</v>
      </c>
      <c r="AN34" t="inlineStr">
        <is>
          <t xml:space="preserve">NOVEMBRO · 2027</t>
        </is>
      </c>
    </row>
    <row r="35">
      <c r="A35">
        <v>24</v>
      </c>
      <c r="B35" s="152">
        <f>IF(ISNUMBER($A35),$C$7+$A35-1,"")</f>
        <v>46289</v>
      </c>
      <c r="C35">
        <f>IF($B$2="Todos",SUMIFS(Base!$C$3:$C$5001,Base!$A$3:$A$5001,$B35),SUMIFS(Base!$C$3:$C$5001,Base!$A$3:$A$5001,$B35,Base!$B$3:$B$5001,$B$2))</f>
        <v>0</v>
      </c>
      <c r="D35">
        <f>IF($B$2="Todos",SUMIFS(Base!$D$3:$D$5001,Base!$A$3:$A$5001,$B35),SUMIFS(Base!$D$3:$D$5001,Base!$A$3:$A$5001,$B35,Base!$B$3:$B$5001,$B$2))</f>
        <v>0</v>
      </c>
      <c r="E35">
        <f>IF($B$2="Todos",SUMIFS(Base!$E$3:$E$5001,Base!$A$3:$A$5001,$B35),SUMIFS(Base!$E$3:$E$5001,Base!$A$3:$A$5001,$B35,Base!$B$3:$B$5001,$B$2))</f>
        <v>0</v>
      </c>
      <c r="F35">
        <f>IF($B$2="Todos",SUMIFS(Base!$F$3:$F$5001,Base!$A$3:$A$5001,$B35),SUMIFS(Base!$F$3:$F$5001,Base!$A$3:$A$5001,$B35,Base!$B$3:$B$5001,$B$2))</f>
        <v>0</v>
      </c>
      <c r="G35">
        <f>IF($B$2="Todos",SUMIFS(Base!$G$3:$G$5001,Base!$A$3:$A$5001,$B35),SUMIFS(Base!$G$3:$G$5001,Base!$A$3:$A$5001,$B35,Base!$B$3:$B$5001,$B$2))</f>
        <v>0</v>
      </c>
      <c r="H35">
        <f>IF($B$2="Todos",SUMIFS(Base!$H$3:$H$5001,Base!$A$3:$A$5001,$B35),SUMIFS(Base!$H$3:$H$5001,Base!$A$3:$A$5001,$B35,Base!$B$3:$B$5001,$B$2))</f>
        <v>0</v>
      </c>
      <c r="I35">
        <f>IF($B$2="Todos",SUMIFS(Base!$I$3:$I$5001,Base!$A$3:$A$5001,$B35),SUMIFS(Base!$I$3:$I$5001,Base!$A$3:$A$5001,$B35,Base!$B$3:$B$5001,$B$2))</f>
        <v>0</v>
      </c>
      <c r="J35">
        <f>IF($B$2="Todos",SUMIFS(Base!$J$3:$J$5001,Base!$A$3:$A$5001,$B35),SUMIFS(Base!$J$3:$J$5001,Base!$A$3:$A$5001,$B35,Base!$B$3:$B$5001,$B$2))</f>
        <v>0</v>
      </c>
      <c r="K35">
        <f>IF($B$2="Todos",SUMIFS(Base!$K$3:$K$5001,Base!$A$3:$A$5001,$B35),SUMIFS(Base!$K$3:$K$5001,Base!$A$3:$A$5001,$B35,Base!$B$3:$B$5001,$B$2))</f>
        <v>0</v>
      </c>
      <c r="L35">
        <f>IF($B$2="Todos",SUMIFS(Base!$L$3:$L$5001,Base!$A$3:$A$5001,$B35),SUMIFS(Base!$L$3:$L$5001,Base!$A$3:$A$5001,$B35,Base!$B$3:$B$5001,$B$2))</f>
        <v>0</v>
      </c>
      <c r="M35">
        <f>IF($B$2="Todos",SUMIFS(Base!$M$3:$M$5001,Base!$A$3:$A$5001,$B35),SUMIFS(Base!$M$3:$M$5001,Base!$A$3:$A$5001,$B35,Base!$B$3:$B$5001,$B$2))</f>
        <v>0</v>
      </c>
      <c r="N35">
        <f>IF($B$2="Todos",SUMIFS(Base!$N$3:$N$5001,Base!$A$3:$A$5001,$B35),SUMIFS(Base!$N$3:$N$5001,Base!$A$3:$A$5001,$B35,Base!$B$3:$B$5001,$B$2))</f>
        <v>0</v>
      </c>
      <c r="O35">
        <f>IF($B$2="Todos",SUMIFS(Base!$O$3:$O$5001,Base!$A$3:$A$5001,$B35),SUMIFS(Base!$O$3:$O$5001,Base!$A$3:$A$5001,$B35,Base!$B$3:$B$5001,$B$2))</f>
        <v>0</v>
      </c>
      <c r="P35">
        <f>IF($B$2="Todos",SUMIFS(Base!$P$3:$P$5001,Base!$A$3:$A$5001,$B35),SUMIFS(Base!$P$3:$P$5001,Base!$A$3:$A$5001,$B35,Base!$B$3:$B$5001,$B$2))</f>
        <v>0</v>
      </c>
      <c r="Q35">
        <f>IF($B$2="Todos",SUMIFS(Base!$Q$3:$Q$5001,Base!$A$3:$A$5001,$B35),SUMIFS(Base!$Q$3:$Q$5001,Base!$A$3:$A$5001,$B35,Base!$B$3:$B$5001,$B$2))</f>
        <v>0</v>
      </c>
      <c r="R35">
        <f>IF($B$2="Todos",SUMIFS(Base!$R$3:$R$5001,Base!$A$3:$A$5001,$B35),SUMIFS(Base!$R$3:$R$5001,Base!$A$3:$A$5001,$B35,Base!$B$3:$B$5001,$B$2))</f>
        <v>0</v>
      </c>
      <c r="S35">
        <f>IF($B$2="Todos",SUMIFS(Base!$S$3:$S$5001,Base!$A$3:$A$5001,$B35),SUMIFS(Base!$S$3:$S$5001,Base!$A$3:$A$5001,$B35,Base!$B$3:$B$5001,$B$2))</f>
        <v>0</v>
      </c>
      <c r="T35">
        <f>IF($B$2="Todos",SUMIFS(Base!$T$3:$T$5001,Base!$A$3:$A$5001,$B35),SUMIFS(Base!$T$3:$T$5001,Base!$A$3:$A$5001,$B35,Base!$B$3:$B$5001,$B$2))</f>
        <v>0</v>
      </c>
      <c r="U35">
        <f>IF($B$2="Todos",SUMIFS(Base!$U$3:$U$5001,Base!$A$3:$A$5001,$B35),SUMIFS(Base!$U$3:$U$5001,Base!$A$3:$A$5001,$B35,Base!$B$3:$B$5001,$B$2))</f>
        <v>0</v>
      </c>
      <c r="V35">
        <f>IF($B$2="Todos",SUMIFS(Base!$V$3:$V$5001,Base!$A$3:$A$5001,$B35),SUMIFS(Base!$V$3:$V$5001,Base!$A$3:$A$5001,$B35,Base!$B$3:$B$5001,$B$2))</f>
        <v>0</v>
      </c>
      <c r="W35" t="str">
        <f>IF($B$2="Todos",IF(COUNT($C$151:$K$151)=0,"",SUM($C$151:$K$151)),IFERROR(INDEX($C$151:$K$151,MATCH($B$2,$C$127:$K$127,0)),""))</f>
        <v/>
      </c>
      <c r="X35" t="str">
        <f>IF(Y35="","",IF($B$2="Todos",IF(ISNUMBER($B$4),$B$4,IF(COUNT($C$186:$K$186)=0,"",SUM($C$186:$K$186))),IFERROR(INDEX($C$186:$K$186,MATCH($B$2,$C$162:$K$162,0)),"")))</f>
        <v/>
      </c>
      <c r="Y35" t="str">
        <f>IF($B$2="Todos",IF(COUNT($C$221:$K$221)=0,"",SUM($C$221:$K$221)),IFERROR(INDEX($C$221:$K$221,MATCH($B$2,$C$197:$K$197,0)),""))</f>
        <v/>
      </c>
      <c r="Z35" t="str">
        <f>IF(AND(ISNUMBER(Y35),ISNUMBER(X35)),IF(X35&gt;0,Y35/X35,""),"")</f>
        <v/>
      </c>
      <c r="AA35" t="str">
        <f>IF($B$2="Todos",IF(COUNT($C$256:$K$256)=0,"",SUM($C$256:$K$256)),IFERROR(INDEX($C$256:$K$256,MATCH($B$2,$C$232:$K$232,0)),""))</f>
        <v/>
      </c>
      <c r="AB35">
        <f>IF($B$2="Todos",SUMIFS(Base!$AA$3:$AA$5001,Base!$A$3:$A$5001,$B35),SUMIFS(Base!$AA$3:$AA$5001,Base!$A$3:$A$5001,$B35,Base!$B$3:$B$5001,$B$2))</f>
        <v>0</v>
      </c>
      <c r="AC35">
        <f>IF($B$2="Todos",SUMIFS(Base!$AB$3:$AB$5001,Base!$A$3:$A$5001,$B35),SUMIFS(Base!$AB$3:$AB$5001,Base!$A$3:$A$5001,$B35,Base!$B$3:$B$5001,$B$2))</f>
        <v>0</v>
      </c>
      <c r="AD35">
        <f>IF($B$2="Todos",SUMIFS(Base!$AC$3:$AC$5001,Base!$A$3:$A$5001,$B35),SUMIFS(Base!$AC$3:$AC$5001,Base!$A$3:$A$5001,$B35,Base!$B$3:$B$5001,$B$2))</f>
        <v>0</v>
      </c>
      <c r="AE35">
        <f>IF($B$2="Todos",SUMIFS(Base!$AD$3:$AD$5001,Base!$A$3:$A$5001,$B35),SUMIFS(Base!$AD$3:$AD$5001,Base!$A$3:$A$5001,$B35,Base!$B$3:$B$5001,$B$2))</f>
        <v>0</v>
      </c>
      <c r="AG35">
        <f>IFERROR(N(INDEX($C35:$AE35,MATCH($B$3,$C$11:$AE$11,0))),0)</f>
        <v>0</v>
      </c>
      <c r="AH35">
        <f>IFERROR(N(INDEX($C35:$AE35,MATCH($C$3,$C$11:$AE$11,0))),0)</f>
        <v>0</v>
      </c>
      <c r="AI35">
        <f>$B$5</f>
        <v>0.7</v>
      </c>
      <c r="AJ35">
        <f>$B$6</f>
        <v>0.9</v>
      </c>
      <c r="AN35" t="inlineStr">
        <is>
          <t xml:space="preserve">DEZEMBRO · 2027</t>
        </is>
      </c>
    </row>
    <row r="36">
      <c r="A36">
        <v>25</v>
      </c>
      <c r="B36" s="152">
        <f>IF(ISNUMBER($A36),$C$7+$A36-1,"")</f>
        <v>46290</v>
      </c>
      <c r="C36">
        <f>IF($B$2="Todos",SUMIFS(Base!$C$3:$C$5001,Base!$A$3:$A$5001,$B36),SUMIFS(Base!$C$3:$C$5001,Base!$A$3:$A$5001,$B36,Base!$B$3:$B$5001,$B$2))</f>
        <v>0</v>
      </c>
      <c r="D36">
        <f>IF($B$2="Todos",SUMIFS(Base!$D$3:$D$5001,Base!$A$3:$A$5001,$B36),SUMIFS(Base!$D$3:$D$5001,Base!$A$3:$A$5001,$B36,Base!$B$3:$B$5001,$B$2))</f>
        <v>0</v>
      </c>
      <c r="E36">
        <f>IF($B$2="Todos",SUMIFS(Base!$E$3:$E$5001,Base!$A$3:$A$5001,$B36),SUMIFS(Base!$E$3:$E$5001,Base!$A$3:$A$5001,$B36,Base!$B$3:$B$5001,$B$2))</f>
        <v>0</v>
      </c>
      <c r="F36">
        <f>IF($B$2="Todos",SUMIFS(Base!$F$3:$F$5001,Base!$A$3:$A$5001,$B36),SUMIFS(Base!$F$3:$F$5001,Base!$A$3:$A$5001,$B36,Base!$B$3:$B$5001,$B$2))</f>
        <v>0</v>
      </c>
      <c r="G36">
        <f>IF($B$2="Todos",SUMIFS(Base!$G$3:$G$5001,Base!$A$3:$A$5001,$B36),SUMIFS(Base!$G$3:$G$5001,Base!$A$3:$A$5001,$B36,Base!$B$3:$B$5001,$B$2))</f>
        <v>0</v>
      </c>
      <c r="H36">
        <f>IF($B$2="Todos",SUMIFS(Base!$H$3:$H$5001,Base!$A$3:$A$5001,$B36),SUMIFS(Base!$H$3:$H$5001,Base!$A$3:$A$5001,$B36,Base!$B$3:$B$5001,$B$2))</f>
        <v>0</v>
      </c>
      <c r="I36">
        <f>IF($B$2="Todos",SUMIFS(Base!$I$3:$I$5001,Base!$A$3:$A$5001,$B36),SUMIFS(Base!$I$3:$I$5001,Base!$A$3:$A$5001,$B36,Base!$B$3:$B$5001,$B$2))</f>
        <v>0</v>
      </c>
      <c r="J36">
        <f>IF($B$2="Todos",SUMIFS(Base!$J$3:$J$5001,Base!$A$3:$A$5001,$B36),SUMIFS(Base!$J$3:$J$5001,Base!$A$3:$A$5001,$B36,Base!$B$3:$B$5001,$B$2))</f>
        <v>0</v>
      </c>
      <c r="K36">
        <f>IF($B$2="Todos",SUMIFS(Base!$K$3:$K$5001,Base!$A$3:$A$5001,$B36),SUMIFS(Base!$K$3:$K$5001,Base!$A$3:$A$5001,$B36,Base!$B$3:$B$5001,$B$2))</f>
        <v>0</v>
      </c>
      <c r="L36">
        <f>IF($B$2="Todos",SUMIFS(Base!$L$3:$L$5001,Base!$A$3:$A$5001,$B36),SUMIFS(Base!$L$3:$L$5001,Base!$A$3:$A$5001,$B36,Base!$B$3:$B$5001,$B$2))</f>
        <v>0</v>
      </c>
      <c r="M36">
        <f>IF($B$2="Todos",SUMIFS(Base!$M$3:$M$5001,Base!$A$3:$A$5001,$B36),SUMIFS(Base!$M$3:$M$5001,Base!$A$3:$A$5001,$B36,Base!$B$3:$B$5001,$B$2))</f>
        <v>0</v>
      </c>
      <c r="N36">
        <f>IF($B$2="Todos",SUMIFS(Base!$N$3:$N$5001,Base!$A$3:$A$5001,$B36),SUMIFS(Base!$N$3:$N$5001,Base!$A$3:$A$5001,$B36,Base!$B$3:$B$5001,$B$2))</f>
        <v>0</v>
      </c>
      <c r="O36">
        <f>IF($B$2="Todos",SUMIFS(Base!$O$3:$O$5001,Base!$A$3:$A$5001,$B36),SUMIFS(Base!$O$3:$O$5001,Base!$A$3:$A$5001,$B36,Base!$B$3:$B$5001,$B$2))</f>
        <v>0</v>
      </c>
      <c r="P36">
        <f>IF($B$2="Todos",SUMIFS(Base!$P$3:$P$5001,Base!$A$3:$A$5001,$B36),SUMIFS(Base!$P$3:$P$5001,Base!$A$3:$A$5001,$B36,Base!$B$3:$B$5001,$B$2))</f>
        <v>0</v>
      </c>
      <c r="Q36">
        <f>IF($B$2="Todos",SUMIFS(Base!$Q$3:$Q$5001,Base!$A$3:$A$5001,$B36),SUMIFS(Base!$Q$3:$Q$5001,Base!$A$3:$A$5001,$B36,Base!$B$3:$B$5001,$B$2))</f>
        <v>0</v>
      </c>
      <c r="R36">
        <f>IF($B$2="Todos",SUMIFS(Base!$R$3:$R$5001,Base!$A$3:$A$5001,$B36),SUMIFS(Base!$R$3:$R$5001,Base!$A$3:$A$5001,$B36,Base!$B$3:$B$5001,$B$2))</f>
        <v>0</v>
      </c>
      <c r="S36">
        <f>IF($B$2="Todos",SUMIFS(Base!$S$3:$S$5001,Base!$A$3:$A$5001,$B36),SUMIFS(Base!$S$3:$S$5001,Base!$A$3:$A$5001,$B36,Base!$B$3:$B$5001,$B$2))</f>
        <v>0</v>
      </c>
      <c r="T36">
        <f>IF($B$2="Todos",SUMIFS(Base!$T$3:$T$5001,Base!$A$3:$A$5001,$B36),SUMIFS(Base!$T$3:$T$5001,Base!$A$3:$A$5001,$B36,Base!$B$3:$B$5001,$B$2))</f>
        <v>0</v>
      </c>
      <c r="U36">
        <f>IF($B$2="Todos",SUMIFS(Base!$U$3:$U$5001,Base!$A$3:$A$5001,$B36),SUMIFS(Base!$U$3:$U$5001,Base!$A$3:$A$5001,$B36,Base!$B$3:$B$5001,$B$2))</f>
        <v>0</v>
      </c>
      <c r="V36">
        <f>IF($B$2="Todos",SUMIFS(Base!$V$3:$V$5001,Base!$A$3:$A$5001,$B36),SUMIFS(Base!$V$3:$V$5001,Base!$A$3:$A$5001,$B36,Base!$B$3:$B$5001,$B$2))</f>
        <v>0</v>
      </c>
      <c r="W36" t="str">
        <f>IF($B$2="Todos",IF(COUNT($C$152:$K$152)=0,"",SUM($C$152:$K$152)),IFERROR(INDEX($C$152:$K$152,MATCH($B$2,$C$127:$K$127,0)),""))</f>
        <v/>
      </c>
      <c r="X36" t="str">
        <f>IF(Y36="","",IF($B$2="Todos",IF(ISNUMBER($B$4),$B$4,IF(COUNT($C$187:$K$187)=0,"",SUM($C$187:$K$187))),IFERROR(INDEX($C$187:$K$187,MATCH($B$2,$C$162:$K$162,0)),"")))</f>
        <v/>
      </c>
      <c r="Y36" t="str">
        <f>IF($B$2="Todos",IF(COUNT($C$222:$K$222)=0,"",SUM($C$222:$K$222)),IFERROR(INDEX($C$222:$K$222,MATCH($B$2,$C$197:$K$197,0)),""))</f>
        <v/>
      </c>
      <c r="Z36" t="str">
        <f>IF(AND(ISNUMBER(Y36),ISNUMBER(X36)),IF(X36&gt;0,Y36/X36,""),"")</f>
        <v/>
      </c>
      <c r="AA36" t="str">
        <f>IF($B$2="Todos",IF(COUNT($C$257:$K$257)=0,"",SUM($C$257:$K$257)),IFERROR(INDEX($C$257:$K$257,MATCH($B$2,$C$232:$K$232,0)),""))</f>
        <v/>
      </c>
      <c r="AB36">
        <f>IF($B$2="Todos",SUMIFS(Base!$AA$3:$AA$5001,Base!$A$3:$A$5001,$B36),SUMIFS(Base!$AA$3:$AA$5001,Base!$A$3:$A$5001,$B36,Base!$B$3:$B$5001,$B$2))</f>
        <v>0</v>
      </c>
      <c r="AC36">
        <f>IF($B$2="Todos",SUMIFS(Base!$AB$3:$AB$5001,Base!$A$3:$A$5001,$B36),SUMIFS(Base!$AB$3:$AB$5001,Base!$A$3:$A$5001,$B36,Base!$B$3:$B$5001,$B$2))</f>
        <v>0</v>
      </c>
      <c r="AD36">
        <f>IF($B$2="Todos",SUMIFS(Base!$AC$3:$AC$5001,Base!$A$3:$A$5001,$B36),SUMIFS(Base!$AC$3:$AC$5001,Base!$A$3:$A$5001,$B36,Base!$B$3:$B$5001,$B$2))</f>
        <v>0</v>
      </c>
      <c r="AE36">
        <f>IF($B$2="Todos",SUMIFS(Base!$AD$3:$AD$5001,Base!$A$3:$A$5001,$B36),SUMIFS(Base!$AD$3:$AD$5001,Base!$A$3:$A$5001,$B36,Base!$B$3:$B$5001,$B$2))</f>
        <v>0</v>
      </c>
      <c r="AG36">
        <f>IFERROR(N(INDEX($C36:$AE36,MATCH($B$3,$C$11:$AE$11,0))),0)</f>
        <v>0</v>
      </c>
      <c r="AH36">
        <f>IFERROR(N(INDEX($C36:$AE36,MATCH($C$3,$C$11:$AE$11,0))),0)</f>
        <v>0</v>
      </c>
      <c r="AI36">
        <f>$B$5</f>
        <v>0.7</v>
      </c>
      <c r="AJ36">
        <f>$B$6</f>
        <v>0.9</v>
      </c>
    </row>
    <row r="37">
      <c r="A37">
        <v>26</v>
      </c>
      <c r="B37" s="152">
        <f>IF(ISNUMBER($A37),$C$7+$A37-1,"")</f>
        <v>46291</v>
      </c>
      <c r="C37">
        <f>IF($B$2="Todos",SUMIFS(Base!$C$3:$C$5001,Base!$A$3:$A$5001,$B37),SUMIFS(Base!$C$3:$C$5001,Base!$A$3:$A$5001,$B37,Base!$B$3:$B$5001,$B$2))</f>
        <v>0</v>
      </c>
      <c r="D37">
        <f>IF($B$2="Todos",SUMIFS(Base!$D$3:$D$5001,Base!$A$3:$A$5001,$B37),SUMIFS(Base!$D$3:$D$5001,Base!$A$3:$A$5001,$B37,Base!$B$3:$B$5001,$B$2))</f>
        <v>0</v>
      </c>
      <c r="E37">
        <f>IF($B$2="Todos",SUMIFS(Base!$E$3:$E$5001,Base!$A$3:$A$5001,$B37),SUMIFS(Base!$E$3:$E$5001,Base!$A$3:$A$5001,$B37,Base!$B$3:$B$5001,$B$2))</f>
        <v>0</v>
      </c>
      <c r="F37">
        <f>IF($B$2="Todos",SUMIFS(Base!$F$3:$F$5001,Base!$A$3:$A$5001,$B37),SUMIFS(Base!$F$3:$F$5001,Base!$A$3:$A$5001,$B37,Base!$B$3:$B$5001,$B$2))</f>
        <v>0</v>
      </c>
      <c r="G37">
        <f>IF($B$2="Todos",SUMIFS(Base!$G$3:$G$5001,Base!$A$3:$A$5001,$B37),SUMIFS(Base!$G$3:$G$5001,Base!$A$3:$A$5001,$B37,Base!$B$3:$B$5001,$B$2))</f>
        <v>0</v>
      </c>
      <c r="H37">
        <f>IF($B$2="Todos",SUMIFS(Base!$H$3:$H$5001,Base!$A$3:$A$5001,$B37),SUMIFS(Base!$H$3:$H$5001,Base!$A$3:$A$5001,$B37,Base!$B$3:$B$5001,$B$2))</f>
        <v>0</v>
      </c>
      <c r="I37">
        <f>IF($B$2="Todos",SUMIFS(Base!$I$3:$I$5001,Base!$A$3:$A$5001,$B37),SUMIFS(Base!$I$3:$I$5001,Base!$A$3:$A$5001,$B37,Base!$B$3:$B$5001,$B$2))</f>
        <v>0</v>
      </c>
      <c r="J37">
        <f>IF($B$2="Todos",SUMIFS(Base!$J$3:$J$5001,Base!$A$3:$A$5001,$B37),SUMIFS(Base!$J$3:$J$5001,Base!$A$3:$A$5001,$B37,Base!$B$3:$B$5001,$B$2))</f>
        <v>0</v>
      </c>
      <c r="K37">
        <f>IF($B$2="Todos",SUMIFS(Base!$K$3:$K$5001,Base!$A$3:$A$5001,$B37),SUMIFS(Base!$K$3:$K$5001,Base!$A$3:$A$5001,$B37,Base!$B$3:$B$5001,$B$2))</f>
        <v>0</v>
      </c>
      <c r="L37">
        <f>IF($B$2="Todos",SUMIFS(Base!$L$3:$L$5001,Base!$A$3:$A$5001,$B37),SUMIFS(Base!$L$3:$L$5001,Base!$A$3:$A$5001,$B37,Base!$B$3:$B$5001,$B$2))</f>
        <v>0</v>
      </c>
      <c r="M37">
        <f>IF($B$2="Todos",SUMIFS(Base!$M$3:$M$5001,Base!$A$3:$A$5001,$B37),SUMIFS(Base!$M$3:$M$5001,Base!$A$3:$A$5001,$B37,Base!$B$3:$B$5001,$B$2))</f>
        <v>0</v>
      </c>
      <c r="N37">
        <f>IF($B$2="Todos",SUMIFS(Base!$N$3:$N$5001,Base!$A$3:$A$5001,$B37),SUMIFS(Base!$N$3:$N$5001,Base!$A$3:$A$5001,$B37,Base!$B$3:$B$5001,$B$2))</f>
        <v>0</v>
      </c>
      <c r="O37">
        <f>IF($B$2="Todos",SUMIFS(Base!$O$3:$O$5001,Base!$A$3:$A$5001,$B37),SUMIFS(Base!$O$3:$O$5001,Base!$A$3:$A$5001,$B37,Base!$B$3:$B$5001,$B$2))</f>
        <v>0</v>
      </c>
      <c r="P37">
        <f>IF($B$2="Todos",SUMIFS(Base!$P$3:$P$5001,Base!$A$3:$A$5001,$B37),SUMIFS(Base!$P$3:$P$5001,Base!$A$3:$A$5001,$B37,Base!$B$3:$B$5001,$B$2))</f>
        <v>0</v>
      </c>
      <c r="Q37">
        <f>IF($B$2="Todos",SUMIFS(Base!$Q$3:$Q$5001,Base!$A$3:$A$5001,$B37),SUMIFS(Base!$Q$3:$Q$5001,Base!$A$3:$A$5001,$B37,Base!$B$3:$B$5001,$B$2))</f>
        <v>0</v>
      </c>
      <c r="R37">
        <f>IF($B$2="Todos",SUMIFS(Base!$R$3:$R$5001,Base!$A$3:$A$5001,$B37),SUMIFS(Base!$R$3:$R$5001,Base!$A$3:$A$5001,$B37,Base!$B$3:$B$5001,$B$2))</f>
        <v>0</v>
      </c>
      <c r="S37">
        <f>IF($B$2="Todos",SUMIFS(Base!$S$3:$S$5001,Base!$A$3:$A$5001,$B37),SUMIFS(Base!$S$3:$S$5001,Base!$A$3:$A$5001,$B37,Base!$B$3:$B$5001,$B$2))</f>
        <v>0</v>
      </c>
      <c r="T37">
        <f>IF($B$2="Todos",SUMIFS(Base!$T$3:$T$5001,Base!$A$3:$A$5001,$B37),SUMIFS(Base!$T$3:$T$5001,Base!$A$3:$A$5001,$B37,Base!$B$3:$B$5001,$B$2))</f>
        <v>0</v>
      </c>
      <c r="U37">
        <f>IF($B$2="Todos",SUMIFS(Base!$U$3:$U$5001,Base!$A$3:$A$5001,$B37),SUMIFS(Base!$U$3:$U$5001,Base!$A$3:$A$5001,$B37,Base!$B$3:$B$5001,$B$2))</f>
        <v>0</v>
      </c>
      <c r="V37">
        <f>IF($B$2="Todos",SUMIFS(Base!$V$3:$V$5001,Base!$A$3:$A$5001,$B37),SUMIFS(Base!$V$3:$V$5001,Base!$A$3:$A$5001,$B37,Base!$B$3:$B$5001,$B$2))</f>
        <v>0</v>
      </c>
      <c r="W37" t="str">
        <f>IF($B$2="Todos",IF(COUNT($C$153:$K$153)=0,"",SUM($C$153:$K$153)),IFERROR(INDEX($C$153:$K$153,MATCH($B$2,$C$127:$K$127,0)),""))</f>
        <v/>
      </c>
      <c r="X37" t="str">
        <f>IF(Y37="","",IF($B$2="Todos",IF(ISNUMBER($B$4),$B$4,IF(COUNT($C$188:$K$188)=0,"",SUM($C$188:$K$188))),IFERROR(INDEX($C$188:$K$188,MATCH($B$2,$C$162:$K$162,0)),"")))</f>
        <v/>
      </c>
      <c r="Y37" t="str">
        <f>IF($B$2="Todos",IF(COUNT($C$223:$K$223)=0,"",SUM($C$223:$K$223)),IFERROR(INDEX($C$223:$K$223,MATCH($B$2,$C$197:$K$197,0)),""))</f>
        <v/>
      </c>
      <c r="Z37" t="str">
        <f>IF(AND(ISNUMBER(Y37),ISNUMBER(X37)),IF(X37&gt;0,Y37/X37,""),"")</f>
        <v/>
      </c>
      <c r="AA37" t="str">
        <f>IF($B$2="Todos",IF(COUNT($C$258:$K$258)=0,"",SUM($C$258:$K$258)),IFERROR(INDEX($C$258:$K$258,MATCH($B$2,$C$232:$K$232,0)),""))</f>
        <v/>
      </c>
      <c r="AB37">
        <f>IF($B$2="Todos",SUMIFS(Base!$AA$3:$AA$5001,Base!$A$3:$A$5001,$B37),SUMIFS(Base!$AA$3:$AA$5001,Base!$A$3:$A$5001,$B37,Base!$B$3:$B$5001,$B$2))</f>
        <v>0</v>
      </c>
      <c r="AC37">
        <f>IF($B$2="Todos",SUMIFS(Base!$AB$3:$AB$5001,Base!$A$3:$A$5001,$B37),SUMIFS(Base!$AB$3:$AB$5001,Base!$A$3:$A$5001,$B37,Base!$B$3:$B$5001,$B$2))</f>
        <v>0</v>
      </c>
      <c r="AD37">
        <f>IF($B$2="Todos",SUMIFS(Base!$AC$3:$AC$5001,Base!$A$3:$A$5001,$B37),SUMIFS(Base!$AC$3:$AC$5001,Base!$A$3:$A$5001,$B37,Base!$B$3:$B$5001,$B$2))</f>
        <v>0</v>
      </c>
      <c r="AE37">
        <f>IF($B$2="Todos",SUMIFS(Base!$AD$3:$AD$5001,Base!$A$3:$A$5001,$B37),SUMIFS(Base!$AD$3:$AD$5001,Base!$A$3:$A$5001,$B37,Base!$B$3:$B$5001,$B$2))</f>
        <v>0</v>
      </c>
      <c r="AG37">
        <f>IFERROR(N(INDEX($C37:$AE37,MATCH($B$3,$C$11:$AE$11,0))),0)</f>
        <v>0</v>
      </c>
      <c r="AH37">
        <f>IFERROR(N(INDEX($C37:$AE37,MATCH($C$3,$C$11:$AE$11,0))),0)</f>
        <v>0</v>
      </c>
      <c r="AI37">
        <f>$B$5</f>
        <v>0.7</v>
      </c>
      <c r="AJ37">
        <f>$B$6</f>
        <v>0.9</v>
      </c>
    </row>
    <row r="38">
      <c r="A38">
        <v>27</v>
      </c>
      <c r="B38" s="152">
        <f>IF(ISNUMBER($A38),$C$7+$A38-1,"")</f>
        <v>46292</v>
      </c>
      <c r="C38">
        <f>IF($B$2="Todos",SUMIFS(Base!$C$3:$C$5001,Base!$A$3:$A$5001,$B38),SUMIFS(Base!$C$3:$C$5001,Base!$A$3:$A$5001,$B38,Base!$B$3:$B$5001,$B$2))</f>
        <v>0</v>
      </c>
      <c r="D38">
        <f>IF($B$2="Todos",SUMIFS(Base!$D$3:$D$5001,Base!$A$3:$A$5001,$B38),SUMIFS(Base!$D$3:$D$5001,Base!$A$3:$A$5001,$B38,Base!$B$3:$B$5001,$B$2))</f>
        <v>0</v>
      </c>
      <c r="E38">
        <f>IF($B$2="Todos",SUMIFS(Base!$E$3:$E$5001,Base!$A$3:$A$5001,$B38),SUMIFS(Base!$E$3:$E$5001,Base!$A$3:$A$5001,$B38,Base!$B$3:$B$5001,$B$2))</f>
        <v>0</v>
      </c>
      <c r="F38">
        <f>IF($B$2="Todos",SUMIFS(Base!$F$3:$F$5001,Base!$A$3:$A$5001,$B38),SUMIFS(Base!$F$3:$F$5001,Base!$A$3:$A$5001,$B38,Base!$B$3:$B$5001,$B$2))</f>
        <v>0</v>
      </c>
      <c r="G38">
        <f>IF($B$2="Todos",SUMIFS(Base!$G$3:$G$5001,Base!$A$3:$A$5001,$B38),SUMIFS(Base!$G$3:$G$5001,Base!$A$3:$A$5001,$B38,Base!$B$3:$B$5001,$B$2))</f>
        <v>0</v>
      </c>
      <c r="H38">
        <f>IF($B$2="Todos",SUMIFS(Base!$H$3:$H$5001,Base!$A$3:$A$5001,$B38),SUMIFS(Base!$H$3:$H$5001,Base!$A$3:$A$5001,$B38,Base!$B$3:$B$5001,$B$2))</f>
        <v>0</v>
      </c>
      <c r="I38">
        <f>IF($B$2="Todos",SUMIFS(Base!$I$3:$I$5001,Base!$A$3:$A$5001,$B38),SUMIFS(Base!$I$3:$I$5001,Base!$A$3:$A$5001,$B38,Base!$B$3:$B$5001,$B$2))</f>
        <v>0</v>
      </c>
      <c r="J38">
        <f>IF($B$2="Todos",SUMIFS(Base!$J$3:$J$5001,Base!$A$3:$A$5001,$B38),SUMIFS(Base!$J$3:$J$5001,Base!$A$3:$A$5001,$B38,Base!$B$3:$B$5001,$B$2))</f>
        <v>0</v>
      </c>
      <c r="K38">
        <f>IF($B$2="Todos",SUMIFS(Base!$K$3:$K$5001,Base!$A$3:$A$5001,$B38),SUMIFS(Base!$K$3:$K$5001,Base!$A$3:$A$5001,$B38,Base!$B$3:$B$5001,$B$2))</f>
        <v>0</v>
      </c>
      <c r="L38">
        <f>IF($B$2="Todos",SUMIFS(Base!$L$3:$L$5001,Base!$A$3:$A$5001,$B38),SUMIFS(Base!$L$3:$L$5001,Base!$A$3:$A$5001,$B38,Base!$B$3:$B$5001,$B$2))</f>
        <v>0</v>
      </c>
      <c r="M38">
        <f>IF($B$2="Todos",SUMIFS(Base!$M$3:$M$5001,Base!$A$3:$A$5001,$B38),SUMIFS(Base!$M$3:$M$5001,Base!$A$3:$A$5001,$B38,Base!$B$3:$B$5001,$B$2))</f>
        <v>0</v>
      </c>
      <c r="N38">
        <f>IF($B$2="Todos",SUMIFS(Base!$N$3:$N$5001,Base!$A$3:$A$5001,$B38),SUMIFS(Base!$N$3:$N$5001,Base!$A$3:$A$5001,$B38,Base!$B$3:$B$5001,$B$2))</f>
        <v>0</v>
      </c>
      <c r="O38">
        <f>IF($B$2="Todos",SUMIFS(Base!$O$3:$O$5001,Base!$A$3:$A$5001,$B38),SUMIFS(Base!$O$3:$O$5001,Base!$A$3:$A$5001,$B38,Base!$B$3:$B$5001,$B$2))</f>
        <v>0</v>
      </c>
      <c r="P38">
        <f>IF($B$2="Todos",SUMIFS(Base!$P$3:$P$5001,Base!$A$3:$A$5001,$B38),SUMIFS(Base!$P$3:$P$5001,Base!$A$3:$A$5001,$B38,Base!$B$3:$B$5001,$B$2))</f>
        <v>0</v>
      </c>
      <c r="Q38">
        <f>IF($B$2="Todos",SUMIFS(Base!$Q$3:$Q$5001,Base!$A$3:$A$5001,$B38),SUMIFS(Base!$Q$3:$Q$5001,Base!$A$3:$A$5001,$B38,Base!$B$3:$B$5001,$B$2))</f>
        <v>0</v>
      </c>
      <c r="R38">
        <f>IF($B$2="Todos",SUMIFS(Base!$R$3:$R$5001,Base!$A$3:$A$5001,$B38),SUMIFS(Base!$R$3:$R$5001,Base!$A$3:$A$5001,$B38,Base!$B$3:$B$5001,$B$2))</f>
        <v>0</v>
      </c>
      <c r="S38">
        <f>IF($B$2="Todos",SUMIFS(Base!$S$3:$S$5001,Base!$A$3:$A$5001,$B38),SUMIFS(Base!$S$3:$S$5001,Base!$A$3:$A$5001,$B38,Base!$B$3:$B$5001,$B$2))</f>
        <v>0</v>
      </c>
      <c r="T38">
        <f>IF($B$2="Todos",SUMIFS(Base!$T$3:$T$5001,Base!$A$3:$A$5001,$B38),SUMIFS(Base!$T$3:$T$5001,Base!$A$3:$A$5001,$B38,Base!$B$3:$B$5001,$B$2))</f>
        <v>0</v>
      </c>
      <c r="U38">
        <f>IF($B$2="Todos",SUMIFS(Base!$U$3:$U$5001,Base!$A$3:$A$5001,$B38),SUMIFS(Base!$U$3:$U$5001,Base!$A$3:$A$5001,$B38,Base!$B$3:$B$5001,$B$2))</f>
        <v>0</v>
      </c>
      <c r="V38">
        <f>IF($B$2="Todos",SUMIFS(Base!$V$3:$V$5001,Base!$A$3:$A$5001,$B38),SUMIFS(Base!$V$3:$V$5001,Base!$A$3:$A$5001,$B38,Base!$B$3:$B$5001,$B$2))</f>
        <v>0</v>
      </c>
      <c r="W38" t="str">
        <f>IF($B$2="Todos",IF(COUNT($C$154:$K$154)=0,"",SUM($C$154:$K$154)),IFERROR(INDEX($C$154:$K$154,MATCH($B$2,$C$127:$K$127,0)),""))</f>
        <v/>
      </c>
      <c r="X38" t="str">
        <f>IF(Y38="","",IF($B$2="Todos",IF(ISNUMBER($B$4),$B$4,IF(COUNT($C$189:$K$189)=0,"",SUM($C$189:$K$189))),IFERROR(INDEX($C$189:$K$189,MATCH($B$2,$C$162:$K$162,0)),"")))</f>
        <v/>
      </c>
      <c r="Y38" t="str">
        <f>IF($B$2="Todos",IF(COUNT($C$224:$K$224)=0,"",SUM($C$224:$K$224)),IFERROR(INDEX($C$224:$K$224,MATCH($B$2,$C$197:$K$197,0)),""))</f>
        <v/>
      </c>
      <c r="Z38" t="str">
        <f>IF(AND(ISNUMBER(Y38),ISNUMBER(X38)),IF(X38&gt;0,Y38/X38,""),"")</f>
        <v/>
      </c>
      <c r="AA38" t="str">
        <f>IF($B$2="Todos",IF(COUNT($C$259:$K$259)=0,"",SUM($C$259:$K$259)),IFERROR(INDEX($C$259:$K$259,MATCH($B$2,$C$232:$K$232,0)),""))</f>
        <v/>
      </c>
      <c r="AB38">
        <f>IF($B$2="Todos",SUMIFS(Base!$AA$3:$AA$5001,Base!$A$3:$A$5001,$B38),SUMIFS(Base!$AA$3:$AA$5001,Base!$A$3:$A$5001,$B38,Base!$B$3:$B$5001,$B$2))</f>
        <v>0</v>
      </c>
      <c r="AC38">
        <f>IF($B$2="Todos",SUMIFS(Base!$AB$3:$AB$5001,Base!$A$3:$A$5001,$B38),SUMIFS(Base!$AB$3:$AB$5001,Base!$A$3:$A$5001,$B38,Base!$B$3:$B$5001,$B$2))</f>
        <v>0</v>
      </c>
      <c r="AD38">
        <f>IF($B$2="Todos",SUMIFS(Base!$AC$3:$AC$5001,Base!$A$3:$A$5001,$B38),SUMIFS(Base!$AC$3:$AC$5001,Base!$A$3:$A$5001,$B38,Base!$B$3:$B$5001,$B$2))</f>
        <v>0</v>
      </c>
      <c r="AE38">
        <f>IF($B$2="Todos",SUMIFS(Base!$AD$3:$AD$5001,Base!$A$3:$A$5001,$B38),SUMIFS(Base!$AD$3:$AD$5001,Base!$A$3:$A$5001,$B38,Base!$B$3:$B$5001,$B$2))</f>
        <v>0</v>
      </c>
      <c r="AG38">
        <f>IFERROR(N(INDEX($C38:$AE38,MATCH($B$3,$C$11:$AE$11,0))),0)</f>
        <v>0</v>
      </c>
      <c r="AH38">
        <f>IFERROR(N(INDEX($C38:$AE38,MATCH($C$3,$C$11:$AE$11,0))),0)</f>
        <v>0</v>
      </c>
      <c r="AI38">
        <f>$B$5</f>
        <v>0.7</v>
      </c>
      <c r="AJ38">
        <f>$B$6</f>
        <v>0.9</v>
      </c>
    </row>
    <row r="39">
      <c r="A39">
        <v>28</v>
      </c>
      <c r="B39" s="152">
        <f>IF(ISNUMBER($A39),$C$7+$A39-1,"")</f>
        <v>46293</v>
      </c>
      <c r="C39">
        <f>IF($B$2="Todos",SUMIFS(Base!$C$3:$C$5001,Base!$A$3:$A$5001,$B39),SUMIFS(Base!$C$3:$C$5001,Base!$A$3:$A$5001,$B39,Base!$B$3:$B$5001,$B$2))</f>
        <v>0</v>
      </c>
      <c r="D39">
        <f>IF($B$2="Todos",SUMIFS(Base!$D$3:$D$5001,Base!$A$3:$A$5001,$B39),SUMIFS(Base!$D$3:$D$5001,Base!$A$3:$A$5001,$B39,Base!$B$3:$B$5001,$B$2))</f>
        <v>0</v>
      </c>
      <c r="E39">
        <f>IF($B$2="Todos",SUMIFS(Base!$E$3:$E$5001,Base!$A$3:$A$5001,$B39),SUMIFS(Base!$E$3:$E$5001,Base!$A$3:$A$5001,$B39,Base!$B$3:$B$5001,$B$2))</f>
        <v>0</v>
      </c>
      <c r="F39">
        <f>IF($B$2="Todos",SUMIFS(Base!$F$3:$F$5001,Base!$A$3:$A$5001,$B39),SUMIFS(Base!$F$3:$F$5001,Base!$A$3:$A$5001,$B39,Base!$B$3:$B$5001,$B$2))</f>
        <v>0</v>
      </c>
      <c r="G39">
        <f>IF($B$2="Todos",SUMIFS(Base!$G$3:$G$5001,Base!$A$3:$A$5001,$B39),SUMIFS(Base!$G$3:$G$5001,Base!$A$3:$A$5001,$B39,Base!$B$3:$B$5001,$B$2))</f>
        <v>0</v>
      </c>
      <c r="H39">
        <f>IF($B$2="Todos",SUMIFS(Base!$H$3:$H$5001,Base!$A$3:$A$5001,$B39),SUMIFS(Base!$H$3:$H$5001,Base!$A$3:$A$5001,$B39,Base!$B$3:$B$5001,$B$2))</f>
        <v>0</v>
      </c>
      <c r="I39">
        <f>IF($B$2="Todos",SUMIFS(Base!$I$3:$I$5001,Base!$A$3:$A$5001,$B39),SUMIFS(Base!$I$3:$I$5001,Base!$A$3:$A$5001,$B39,Base!$B$3:$B$5001,$B$2))</f>
        <v>0</v>
      </c>
      <c r="J39">
        <f>IF($B$2="Todos",SUMIFS(Base!$J$3:$J$5001,Base!$A$3:$A$5001,$B39),SUMIFS(Base!$J$3:$J$5001,Base!$A$3:$A$5001,$B39,Base!$B$3:$B$5001,$B$2))</f>
        <v>0</v>
      </c>
      <c r="K39">
        <f>IF($B$2="Todos",SUMIFS(Base!$K$3:$K$5001,Base!$A$3:$A$5001,$B39),SUMIFS(Base!$K$3:$K$5001,Base!$A$3:$A$5001,$B39,Base!$B$3:$B$5001,$B$2))</f>
        <v>0</v>
      </c>
      <c r="L39">
        <f>IF($B$2="Todos",SUMIFS(Base!$L$3:$L$5001,Base!$A$3:$A$5001,$B39),SUMIFS(Base!$L$3:$L$5001,Base!$A$3:$A$5001,$B39,Base!$B$3:$B$5001,$B$2))</f>
        <v>0</v>
      </c>
      <c r="M39">
        <f>IF($B$2="Todos",SUMIFS(Base!$M$3:$M$5001,Base!$A$3:$A$5001,$B39),SUMIFS(Base!$M$3:$M$5001,Base!$A$3:$A$5001,$B39,Base!$B$3:$B$5001,$B$2))</f>
        <v>0</v>
      </c>
      <c r="N39">
        <f>IF($B$2="Todos",SUMIFS(Base!$N$3:$N$5001,Base!$A$3:$A$5001,$B39),SUMIFS(Base!$N$3:$N$5001,Base!$A$3:$A$5001,$B39,Base!$B$3:$B$5001,$B$2))</f>
        <v>0</v>
      </c>
      <c r="O39">
        <f>IF($B$2="Todos",SUMIFS(Base!$O$3:$O$5001,Base!$A$3:$A$5001,$B39),SUMIFS(Base!$O$3:$O$5001,Base!$A$3:$A$5001,$B39,Base!$B$3:$B$5001,$B$2))</f>
        <v>0</v>
      </c>
      <c r="P39">
        <f>IF($B$2="Todos",SUMIFS(Base!$P$3:$P$5001,Base!$A$3:$A$5001,$B39),SUMIFS(Base!$P$3:$P$5001,Base!$A$3:$A$5001,$B39,Base!$B$3:$B$5001,$B$2))</f>
        <v>0</v>
      </c>
      <c r="Q39">
        <f>IF($B$2="Todos",SUMIFS(Base!$Q$3:$Q$5001,Base!$A$3:$A$5001,$B39),SUMIFS(Base!$Q$3:$Q$5001,Base!$A$3:$A$5001,$B39,Base!$B$3:$B$5001,$B$2))</f>
        <v>0</v>
      </c>
      <c r="R39">
        <f>IF($B$2="Todos",SUMIFS(Base!$R$3:$R$5001,Base!$A$3:$A$5001,$B39),SUMIFS(Base!$R$3:$R$5001,Base!$A$3:$A$5001,$B39,Base!$B$3:$B$5001,$B$2))</f>
        <v>0</v>
      </c>
      <c r="S39">
        <f>IF($B$2="Todos",SUMIFS(Base!$S$3:$S$5001,Base!$A$3:$A$5001,$B39),SUMIFS(Base!$S$3:$S$5001,Base!$A$3:$A$5001,$B39,Base!$B$3:$B$5001,$B$2))</f>
        <v>0</v>
      </c>
      <c r="T39">
        <f>IF($B$2="Todos",SUMIFS(Base!$T$3:$T$5001,Base!$A$3:$A$5001,$B39),SUMIFS(Base!$T$3:$T$5001,Base!$A$3:$A$5001,$B39,Base!$B$3:$B$5001,$B$2))</f>
        <v>0</v>
      </c>
      <c r="U39">
        <f>IF($B$2="Todos",SUMIFS(Base!$U$3:$U$5001,Base!$A$3:$A$5001,$B39),SUMIFS(Base!$U$3:$U$5001,Base!$A$3:$A$5001,$B39,Base!$B$3:$B$5001,$B$2))</f>
        <v>0</v>
      </c>
      <c r="V39">
        <f>IF($B$2="Todos",SUMIFS(Base!$V$3:$V$5001,Base!$A$3:$A$5001,$B39),SUMIFS(Base!$V$3:$V$5001,Base!$A$3:$A$5001,$B39,Base!$B$3:$B$5001,$B$2))</f>
        <v>0</v>
      </c>
      <c r="W39" t="str">
        <f>IF($B$2="Todos",IF(COUNT($C$155:$K$155)=0,"",SUM($C$155:$K$155)),IFERROR(INDEX($C$155:$K$155,MATCH($B$2,$C$127:$K$127,0)),""))</f>
        <v/>
      </c>
      <c r="X39" t="str">
        <f>IF(Y39="","",IF($B$2="Todos",IF(ISNUMBER($B$4),$B$4,IF(COUNT($C$190:$K$190)=0,"",SUM($C$190:$K$190))),IFERROR(INDEX($C$190:$K$190,MATCH($B$2,$C$162:$K$162,0)),"")))</f>
        <v/>
      </c>
      <c r="Y39" t="str">
        <f>IF($B$2="Todos",IF(COUNT($C$225:$K$225)=0,"",SUM($C$225:$K$225)),IFERROR(INDEX($C$225:$K$225,MATCH($B$2,$C$197:$K$197,0)),""))</f>
        <v/>
      </c>
      <c r="Z39" t="str">
        <f>IF(AND(ISNUMBER(Y39),ISNUMBER(X39)),IF(X39&gt;0,Y39/X39,""),"")</f>
        <v/>
      </c>
      <c r="AA39" t="str">
        <f>IF($B$2="Todos",IF(COUNT($C$260:$K$260)=0,"",SUM($C$260:$K$260)),IFERROR(INDEX($C$260:$K$260,MATCH($B$2,$C$232:$K$232,0)),""))</f>
        <v/>
      </c>
      <c r="AB39">
        <f>IF($B$2="Todos",SUMIFS(Base!$AA$3:$AA$5001,Base!$A$3:$A$5001,$B39),SUMIFS(Base!$AA$3:$AA$5001,Base!$A$3:$A$5001,$B39,Base!$B$3:$B$5001,$B$2))</f>
        <v>0</v>
      </c>
      <c r="AC39">
        <f>IF($B$2="Todos",SUMIFS(Base!$AB$3:$AB$5001,Base!$A$3:$A$5001,$B39),SUMIFS(Base!$AB$3:$AB$5001,Base!$A$3:$A$5001,$B39,Base!$B$3:$B$5001,$B$2))</f>
        <v>0</v>
      </c>
      <c r="AD39">
        <f>IF($B$2="Todos",SUMIFS(Base!$AC$3:$AC$5001,Base!$A$3:$A$5001,$B39),SUMIFS(Base!$AC$3:$AC$5001,Base!$A$3:$A$5001,$B39,Base!$B$3:$B$5001,$B$2))</f>
        <v>0</v>
      </c>
      <c r="AE39">
        <f>IF($B$2="Todos",SUMIFS(Base!$AD$3:$AD$5001,Base!$A$3:$A$5001,$B39),SUMIFS(Base!$AD$3:$AD$5001,Base!$A$3:$A$5001,$B39,Base!$B$3:$B$5001,$B$2))</f>
        <v>0</v>
      </c>
      <c r="AG39">
        <f>IFERROR(N(INDEX($C39:$AE39,MATCH($B$3,$C$11:$AE$11,0))),0)</f>
        <v>0</v>
      </c>
      <c r="AH39">
        <f>IFERROR(N(INDEX($C39:$AE39,MATCH($C$3,$C$11:$AE$11,0))),0)</f>
        <v>0</v>
      </c>
      <c r="AI39">
        <f>$B$5</f>
        <v>0.7</v>
      </c>
      <c r="AJ39">
        <f>$B$6</f>
        <v>0.9</v>
      </c>
    </row>
    <row r="40">
      <c r="A40">
        <f>IF(DAY($D$7)&gt;=29,29,"")</f>
        <v>29</v>
      </c>
      <c r="B40" s="152">
        <f>IF(ISNUMBER($A40),$C$7+$A40-1,"")</f>
        <v>46294</v>
      </c>
      <c r="C40">
        <f>IF($B$2="Todos",SUMIFS(Base!$C$3:$C$5001,Base!$A$3:$A$5001,$B40),SUMIFS(Base!$C$3:$C$5001,Base!$A$3:$A$5001,$B40,Base!$B$3:$B$5001,$B$2))</f>
        <v>0</v>
      </c>
      <c r="D40">
        <f>IF($B$2="Todos",SUMIFS(Base!$D$3:$D$5001,Base!$A$3:$A$5001,$B40),SUMIFS(Base!$D$3:$D$5001,Base!$A$3:$A$5001,$B40,Base!$B$3:$B$5001,$B$2))</f>
        <v>0</v>
      </c>
      <c r="E40">
        <f>IF($B$2="Todos",SUMIFS(Base!$E$3:$E$5001,Base!$A$3:$A$5001,$B40),SUMIFS(Base!$E$3:$E$5001,Base!$A$3:$A$5001,$B40,Base!$B$3:$B$5001,$B$2))</f>
        <v>0</v>
      </c>
      <c r="F40">
        <f>IF($B$2="Todos",SUMIFS(Base!$F$3:$F$5001,Base!$A$3:$A$5001,$B40),SUMIFS(Base!$F$3:$F$5001,Base!$A$3:$A$5001,$B40,Base!$B$3:$B$5001,$B$2))</f>
        <v>0</v>
      </c>
      <c r="G40">
        <f>IF($B$2="Todos",SUMIFS(Base!$G$3:$G$5001,Base!$A$3:$A$5001,$B40),SUMIFS(Base!$G$3:$G$5001,Base!$A$3:$A$5001,$B40,Base!$B$3:$B$5001,$B$2))</f>
        <v>0</v>
      </c>
      <c r="H40">
        <f>IF($B$2="Todos",SUMIFS(Base!$H$3:$H$5001,Base!$A$3:$A$5001,$B40),SUMIFS(Base!$H$3:$H$5001,Base!$A$3:$A$5001,$B40,Base!$B$3:$B$5001,$B$2))</f>
        <v>0</v>
      </c>
      <c r="I40">
        <f>IF($B$2="Todos",SUMIFS(Base!$I$3:$I$5001,Base!$A$3:$A$5001,$B40),SUMIFS(Base!$I$3:$I$5001,Base!$A$3:$A$5001,$B40,Base!$B$3:$B$5001,$B$2))</f>
        <v>0</v>
      </c>
      <c r="J40">
        <f>IF($B$2="Todos",SUMIFS(Base!$J$3:$J$5001,Base!$A$3:$A$5001,$B40),SUMIFS(Base!$J$3:$J$5001,Base!$A$3:$A$5001,$B40,Base!$B$3:$B$5001,$B$2))</f>
        <v>0</v>
      </c>
      <c r="K40">
        <f>IF($B$2="Todos",SUMIFS(Base!$K$3:$K$5001,Base!$A$3:$A$5001,$B40),SUMIFS(Base!$K$3:$K$5001,Base!$A$3:$A$5001,$B40,Base!$B$3:$B$5001,$B$2))</f>
        <v>0</v>
      </c>
      <c r="L40">
        <f>IF($B$2="Todos",SUMIFS(Base!$L$3:$L$5001,Base!$A$3:$A$5001,$B40),SUMIFS(Base!$L$3:$L$5001,Base!$A$3:$A$5001,$B40,Base!$B$3:$B$5001,$B$2))</f>
        <v>0</v>
      </c>
      <c r="M40">
        <f>IF($B$2="Todos",SUMIFS(Base!$M$3:$M$5001,Base!$A$3:$A$5001,$B40),SUMIFS(Base!$M$3:$M$5001,Base!$A$3:$A$5001,$B40,Base!$B$3:$B$5001,$B$2))</f>
        <v>0</v>
      </c>
      <c r="N40">
        <f>IF($B$2="Todos",SUMIFS(Base!$N$3:$N$5001,Base!$A$3:$A$5001,$B40),SUMIFS(Base!$N$3:$N$5001,Base!$A$3:$A$5001,$B40,Base!$B$3:$B$5001,$B$2))</f>
        <v>0</v>
      </c>
      <c r="O40">
        <f>IF($B$2="Todos",SUMIFS(Base!$O$3:$O$5001,Base!$A$3:$A$5001,$B40),SUMIFS(Base!$O$3:$O$5001,Base!$A$3:$A$5001,$B40,Base!$B$3:$B$5001,$B$2))</f>
        <v>0</v>
      </c>
      <c r="P40">
        <f>IF($B$2="Todos",SUMIFS(Base!$P$3:$P$5001,Base!$A$3:$A$5001,$B40),SUMIFS(Base!$P$3:$P$5001,Base!$A$3:$A$5001,$B40,Base!$B$3:$B$5001,$B$2))</f>
        <v>0</v>
      </c>
      <c r="Q40">
        <f>IF($B$2="Todos",SUMIFS(Base!$Q$3:$Q$5001,Base!$A$3:$A$5001,$B40),SUMIFS(Base!$Q$3:$Q$5001,Base!$A$3:$A$5001,$B40,Base!$B$3:$B$5001,$B$2))</f>
        <v>0</v>
      </c>
      <c r="R40">
        <f>IF($B$2="Todos",SUMIFS(Base!$R$3:$R$5001,Base!$A$3:$A$5001,$B40),SUMIFS(Base!$R$3:$R$5001,Base!$A$3:$A$5001,$B40,Base!$B$3:$B$5001,$B$2))</f>
        <v>0</v>
      </c>
      <c r="S40">
        <f>IF($B$2="Todos",SUMIFS(Base!$S$3:$S$5001,Base!$A$3:$A$5001,$B40),SUMIFS(Base!$S$3:$S$5001,Base!$A$3:$A$5001,$B40,Base!$B$3:$B$5001,$B$2))</f>
        <v>0</v>
      </c>
      <c r="T40">
        <f>IF($B$2="Todos",SUMIFS(Base!$T$3:$T$5001,Base!$A$3:$A$5001,$B40),SUMIFS(Base!$T$3:$T$5001,Base!$A$3:$A$5001,$B40,Base!$B$3:$B$5001,$B$2))</f>
        <v>0</v>
      </c>
      <c r="U40">
        <f>IF($B$2="Todos",SUMIFS(Base!$U$3:$U$5001,Base!$A$3:$A$5001,$B40),SUMIFS(Base!$U$3:$U$5001,Base!$A$3:$A$5001,$B40,Base!$B$3:$B$5001,$B$2))</f>
        <v>0</v>
      </c>
      <c r="V40">
        <f>IF($B$2="Todos",SUMIFS(Base!$V$3:$V$5001,Base!$A$3:$A$5001,$B40),SUMIFS(Base!$V$3:$V$5001,Base!$A$3:$A$5001,$B40,Base!$B$3:$B$5001,$B$2))</f>
        <v>0</v>
      </c>
      <c r="W40" t="str">
        <f>IF($B$2="Todos",IF(COUNT($C$156:$K$156)=0,"",SUM($C$156:$K$156)),IFERROR(INDEX($C$156:$K$156,MATCH($B$2,$C$127:$K$127,0)),""))</f>
        <v/>
      </c>
      <c r="X40" t="str">
        <f>IF(Y40="","",IF($B$2="Todos",IF(ISNUMBER($B$4),$B$4,IF(COUNT($C$191:$K$191)=0,"",SUM($C$191:$K$191))),IFERROR(INDEX($C$191:$K$191,MATCH($B$2,$C$162:$K$162,0)),"")))</f>
        <v/>
      </c>
      <c r="Y40" t="str">
        <f>IF($B$2="Todos",IF(COUNT($C$226:$K$226)=0,"",SUM($C$226:$K$226)),IFERROR(INDEX($C$226:$K$226,MATCH($B$2,$C$197:$K$197,0)),""))</f>
        <v/>
      </c>
      <c r="Z40" t="str">
        <f>IF(AND(ISNUMBER(Y40),ISNUMBER(X40)),IF(X40&gt;0,Y40/X40,""),"")</f>
        <v/>
      </c>
      <c r="AA40" t="str">
        <f>IF($B$2="Todos",IF(COUNT($C$261:$K$261)=0,"",SUM($C$261:$K$261)),IFERROR(INDEX($C$261:$K$261,MATCH($B$2,$C$232:$K$232,0)),""))</f>
        <v/>
      </c>
      <c r="AB40">
        <f>IF($B$2="Todos",SUMIFS(Base!$AA$3:$AA$5001,Base!$A$3:$A$5001,$B40),SUMIFS(Base!$AA$3:$AA$5001,Base!$A$3:$A$5001,$B40,Base!$B$3:$B$5001,$B$2))</f>
        <v>0</v>
      </c>
      <c r="AC40">
        <f>IF($B$2="Todos",SUMIFS(Base!$AB$3:$AB$5001,Base!$A$3:$A$5001,$B40),SUMIFS(Base!$AB$3:$AB$5001,Base!$A$3:$A$5001,$B40,Base!$B$3:$B$5001,$B$2))</f>
        <v>0</v>
      </c>
      <c r="AD40">
        <f>IF($B$2="Todos",SUMIFS(Base!$AC$3:$AC$5001,Base!$A$3:$A$5001,$B40),SUMIFS(Base!$AC$3:$AC$5001,Base!$A$3:$A$5001,$B40,Base!$B$3:$B$5001,$B$2))</f>
        <v>0</v>
      </c>
      <c r="AE40">
        <f>IF($B$2="Todos",SUMIFS(Base!$AD$3:$AD$5001,Base!$A$3:$A$5001,$B40),SUMIFS(Base!$AD$3:$AD$5001,Base!$A$3:$A$5001,$B40,Base!$B$3:$B$5001,$B$2))</f>
        <v>0</v>
      </c>
      <c r="AG40">
        <f>IFERROR(N(INDEX($C40:$AE40,MATCH($B$3,$C$11:$AE$11,0))),0)</f>
        <v>0</v>
      </c>
      <c r="AH40">
        <f>IFERROR(N(INDEX($C40:$AE40,MATCH($C$3,$C$11:$AE$11,0))),0)</f>
        <v>0</v>
      </c>
      <c r="AI40">
        <f>$B$5</f>
        <v>0.7</v>
      </c>
      <c r="AJ40">
        <f>$B$6</f>
        <v>0.9</v>
      </c>
    </row>
    <row r="41">
      <c r="A41">
        <f>IF(DAY($D$7)&gt;=30,30,"")</f>
        <v>30</v>
      </c>
      <c r="B41" s="152">
        <f>IF(ISNUMBER($A41),$C$7+$A41-1,"")</f>
        <v>46295</v>
      </c>
      <c r="C41">
        <f>IF($B$2="Todos",SUMIFS(Base!$C$3:$C$5001,Base!$A$3:$A$5001,$B41),SUMIFS(Base!$C$3:$C$5001,Base!$A$3:$A$5001,$B41,Base!$B$3:$B$5001,$B$2))</f>
        <v>0</v>
      </c>
      <c r="D41">
        <f>IF($B$2="Todos",SUMIFS(Base!$D$3:$D$5001,Base!$A$3:$A$5001,$B41),SUMIFS(Base!$D$3:$D$5001,Base!$A$3:$A$5001,$B41,Base!$B$3:$B$5001,$B$2))</f>
        <v>0</v>
      </c>
      <c r="E41">
        <f>IF($B$2="Todos",SUMIFS(Base!$E$3:$E$5001,Base!$A$3:$A$5001,$B41),SUMIFS(Base!$E$3:$E$5001,Base!$A$3:$A$5001,$B41,Base!$B$3:$B$5001,$B$2))</f>
        <v>0</v>
      </c>
      <c r="F41">
        <f>IF($B$2="Todos",SUMIFS(Base!$F$3:$F$5001,Base!$A$3:$A$5001,$B41),SUMIFS(Base!$F$3:$F$5001,Base!$A$3:$A$5001,$B41,Base!$B$3:$B$5001,$B$2))</f>
        <v>0</v>
      </c>
      <c r="G41">
        <f>IF($B$2="Todos",SUMIFS(Base!$G$3:$G$5001,Base!$A$3:$A$5001,$B41),SUMIFS(Base!$G$3:$G$5001,Base!$A$3:$A$5001,$B41,Base!$B$3:$B$5001,$B$2))</f>
        <v>0</v>
      </c>
      <c r="H41">
        <f>IF($B$2="Todos",SUMIFS(Base!$H$3:$H$5001,Base!$A$3:$A$5001,$B41),SUMIFS(Base!$H$3:$H$5001,Base!$A$3:$A$5001,$B41,Base!$B$3:$B$5001,$B$2))</f>
        <v>0</v>
      </c>
      <c r="I41">
        <f>IF($B$2="Todos",SUMIFS(Base!$I$3:$I$5001,Base!$A$3:$A$5001,$B41),SUMIFS(Base!$I$3:$I$5001,Base!$A$3:$A$5001,$B41,Base!$B$3:$B$5001,$B$2))</f>
        <v>0</v>
      </c>
      <c r="J41">
        <f>IF($B$2="Todos",SUMIFS(Base!$J$3:$J$5001,Base!$A$3:$A$5001,$B41),SUMIFS(Base!$J$3:$J$5001,Base!$A$3:$A$5001,$B41,Base!$B$3:$B$5001,$B$2))</f>
        <v>0</v>
      </c>
      <c r="K41">
        <f>IF($B$2="Todos",SUMIFS(Base!$K$3:$K$5001,Base!$A$3:$A$5001,$B41),SUMIFS(Base!$K$3:$K$5001,Base!$A$3:$A$5001,$B41,Base!$B$3:$B$5001,$B$2))</f>
        <v>0</v>
      </c>
      <c r="L41">
        <f>IF($B$2="Todos",SUMIFS(Base!$L$3:$L$5001,Base!$A$3:$A$5001,$B41),SUMIFS(Base!$L$3:$L$5001,Base!$A$3:$A$5001,$B41,Base!$B$3:$B$5001,$B$2))</f>
        <v>0</v>
      </c>
      <c r="M41">
        <f>IF($B$2="Todos",SUMIFS(Base!$M$3:$M$5001,Base!$A$3:$A$5001,$B41),SUMIFS(Base!$M$3:$M$5001,Base!$A$3:$A$5001,$B41,Base!$B$3:$B$5001,$B$2))</f>
        <v>0</v>
      </c>
      <c r="N41">
        <f>IF($B$2="Todos",SUMIFS(Base!$N$3:$N$5001,Base!$A$3:$A$5001,$B41),SUMIFS(Base!$N$3:$N$5001,Base!$A$3:$A$5001,$B41,Base!$B$3:$B$5001,$B$2))</f>
        <v>0</v>
      </c>
      <c r="O41">
        <f>IF($B$2="Todos",SUMIFS(Base!$O$3:$O$5001,Base!$A$3:$A$5001,$B41),SUMIFS(Base!$O$3:$O$5001,Base!$A$3:$A$5001,$B41,Base!$B$3:$B$5001,$B$2))</f>
        <v>0</v>
      </c>
      <c r="P41">
        <f>IF($B$2="Todos",SUMIFS(Base!$P$3:$P$5001,Base!$A$3:$A$5001,$B41),SUMIFS(Base!$P$3:$P$5001,Base!$A$3:$A$5001,$B41,Base!$B$3:$B$5001,$B$2))</f>
        <v>0</v>
      </c>
      <c r="Q41">
        <f>IF($B$2="Todos",SUMIFS(Base!$Q$3:$Q$5001,Base!$A$3:$A$5001,$B41),SUMIFS(Base!$Q$3:$Q$5001,Base!$A$3:$A$5001,$B41,Base!$B$3:$B$5001,$B$2))</f>
        <v>0</v>
      </c>
      <c r="R41">
        <f>IF($B$2="Todos",SUMIFS(Base!$R$3:$R$5001,Base!$A$3:$A$5001,$B41),SUMIFS(Base!$R$3:$R$5001,Base!$A$3:$A$5001,$B41,Base!$B$3:$B$5001,$B$2))</f>
        <v>0</v>
      </c>
      <c r="S41">
        <f>IF($B$2="Todos",SUMIFS(Base!$S$3:$S$5001,Base!$A$3:$A$5001,$B41),SUMIFS(Base!$S$3:$S$5001,Base!$A$3:$A$5001,$B41,Base!$B$3:$B$5001,$B$2))</f>
        <v>0</v>
      </c>
      <c r="T41">
        <f>IF($B$2="Todos",SUMIFS(Base!$T$3:$T$5001,Base!$A$3:$A$5001,$B41),SUMIFS(Base!$T$3:$T$5001,Base!$A$3:$A$5001,$B41,Base!$B$3:$B$5001,$B$2))</f>
        <v>0</v>
      </c>
      <c r="U41">
        <f>IF($B$2="Todos",SUMIFS(Base!$U$3:$U$5001,Base!$A$3:$A$5001,$B41),SUMIFS(Base!$U$3:$U$5001,Base!$A$3:$A$5001,$B41,Base!$B$3:$B$5001,$B$2))</f>
        <v>0</v>
      </c>
      <c r="V41">
        <f>IF($B$2="Todos",SUMIFS(Base!$V$3:$V$5001,Base!$A$3:$A$5001,$B41),SUMIFS(Base!$V$3:$V$5001,Base!$A$3:$A$5001,$B41,Base!$B$3:$B$5001,$B$2))</f>
        <v>0</v>
      </c>
      <c r="W41" t="str">
        <f>IF($B$2="Todos",IF(COUNT($C$157:$K$157)=0,"",SUM($C$157:$K$157)),IFERROR(INDEX($C$157:$K$157,MATCH($B$2,$C$127:$K$127,0)),""))</f>
        <v/>
      </c>
      <c r="X41" t="str">
        <f>IF(Y41="","",IF($B$2="Todos",IF(ISNUMBER($B$4),$B$4,IF(COUNT($C$192:$K$192)=0,"",SUM($C$192:$K$192))),IFERROR(INDEX($C$192:$K$192,MATCH($B$2,$C$162:$K$162,0)),"")))</f>
        <v/>
      </c>
      <c r="Y41" t="str">
        <f>IF($B$2="Todos",IF(COUNT($C$227:$K$227)=0,"",SUM($C$227:$K$227)),IFERROR(INDEX($C$227:$K$227,MATCH($B$2,$C$197:$K$197,0)),""))</f>
        <v/>
      </c>
      <c r="Z41" t="str">
        <f>IF(AND(ISNUMBER(Y41),ISNUMBER(X41)),IF(X41&gt;0,Y41/X41,""),"")</f>
        <v/>
      </c>
      <c r="AA41" t="str">
        <f>IF($B$2="Todos",IF(COUNT($C$262:$K$262)=0,"",SUM($C$262:$K$262)),IFERROR(INDEX($C$262:$K$262,MATCH($B$2,$C$232:$K$232,0)),""))</f>
        <v/>
      </c>
      <c r="AB41">
        <f>IF($B$2="Todos",SUMIFS(Base!$AA$3:$AA$5001,Base!$A$3:$A$5001,$B41),SUMIFS(Base!$AA$3:$AA$5001,Base!$A$3:$A$5001,$B41,Base!$B$3:$B$5001,$B$2))</f>
        <v>0</v>
      </c>
      <c r="AC41">
        <f>IF($B$2="Todos",SUMIFS(Base!$AB$3:$AB$5001,Base!$A$3:$A$5001,$B41),SUMIFS(Base!$AB$3:$AB$5001,Base!$A$3:$A$5001,$B41,Base!$B$3:$B$5001,$B$2))</f>
        <v>0</v>
      </c>
      <c r="AD41">
        <f>IF($B$2="Todos",SUMIFS(Base!$AC$3:$AC$5001,Base!$A$3:$A$5001,$B41),SUMIFS(Base!$AC$3:$AC$5001,Base!$A$3:$A$5001,$B41,Base!$B$3:$B$5001,$B$2))</f>
        <v>0</v>
      </c>
      <c r="AE41">
        <f>IF($B$2="Todos",SUMIFS(Base!$AD$3:$AD$5001,Base!$A$3:$A$5001,$B41),SUMIFS(Base!$AD$3:$AD$5001,Base!$A$3:$A$5001,$B41,Base!$B$3:$B$5001,$B$2))</f>
        <v>0</v>
      </c>
      <c r="AG41">
        <f>IFERROR(N(INDEX($C41:$AE41,MATCH($B$3,$C$11:$AE$11,0))),0)</f>
        <v>0</v>
      </c>
      <c r="AH41">
        <f>IFERROR(N(INDEX($C41:$AE41,MATCH($C$3,$C$11:$AE$11,0))),0)</f>
        <v>0</v>
      </c>
      <c r="AI41">
        <f>$B$5</f>
        <v>0.7</v>
      </c>
      <c r="AJ41">
        <f>$B$6</f>
        <v>0.9</v>
      </c>
    </row>
    <row r="42">
      <c r="A42" t="str">
        <f>IF(DAY($D$7)&gt;=31,31,"")</f>
        <v/>
      </c>
      <c r="B42" s="152" t="str">
        <f>IF(ISNUMBER($A42),$C$7+$A42-1,"")</f>
        <v/>
      </c>
      <c r="C42">
        <f>IF($B$2="Todos",SUMIFS(Base!$C$3:$C$5001,Base!$A$3:$A$5001,$B42),SUMIFS(Base!$C$3:$C$5001,Base!$A$3:$A$5001,$B42,Base!$B$3:$B$5001,$B$2))</f>
        <v>0</v>
      </c>
      <c r="D42">
        <f>IF($B$2="Todos",SUMIFS(Base!$D$3:$D$5001,Base!$A$3:$A$5001,$B42),SUMIFS(Base!$D$3:$D$5001,Base!$A$3:$A$5001,$B42,Base!$B$3:$B$5001,$B$2))</f>
        <v>0</v>
      </c>
      <c r="E42">
        <f>IF($B$2="Todos",SUMIFS(Base!$E$3:$E$5001,Base!$A$3:$A$5001,$B42),SUMIFS(Base!$E$3:$E$5001,Base!$A$3:$A$5001,$B42,Base!$B$3:$B$5001,$B$2))</f>
        <v>0</v>
      </c>
      <c r="F42">
        <f>IF($B$2="Todos",SUMIFS(Base!$F$3:$F$5001,Base!$A$3:$A$5001,$B42),SUMIFS(Base!$F$3:$F$5001,Base!$A$3:$A$5001,$B42,Base!$B$3:$B$5001,$B$2))</f>
        <v>0</v>
      </c>
      <c r="G42">
        <f>IF($B$2="Todos",SUMIFS(Base!$G$3:$G$5001,Base!$A$3:$A$5001,$B42),SUMIFS(Base!$G$3:$G$5001,Base!$A$3:$A$5001,$B42,Base!$B$3:$B$5001,$B$2))</f>
        <v>0</v>
      </c>
      <c r="H42">
        <f>IF($B$2="Todos",SUMIFS(Base!$H$3:$H$5001,Base!$A$3:$A$5001,$B42),SUMIFS(Base!$H$3:$H$5001,Base!$A$3:$A$5001,$B42,Base!$B$3:$B$5001,$B$2))</f>
        <v>0</v>
      </c>
      <c r="I42">
        <f>IF($B$2="Todos",SUMIFS(Base!$I$3:$I$5001,Base!$A$3:$A$5001,$B42),SUMIFS(Base!$I$3:$I$5001,Base!$A$3:$A$5001,$B42,Base!$B$3:$B$5001,$B$2))</f>
        <v>0</v>
      </c>
      <c r="J42">
        <f>IF($B$2="Todos",SUMIFS(Base!$J$3:$J$5001,Base!$A$3:$A$5001,$B42),SUMIFS(Base!$J$3:$J$5001,Base!$A$3:$A$5001,$B42,Base!$B$3:$B$5001,$B$2))</f>
        <v>0</v>
      </c>
      <c r="K42">
        <f>IF($B$2="Todos",SUMIFS(Base!$K$3:$K$5001,Base!$A$3:$A$5001,$B42),SUMIFS(Base!$K$3:$K$5001,Base!$A$3:$A$5001,$B42,Base!$B$3:$B$5001,$B$2))</f>
        <v>0</v>
      </c>
      <c r="L42">
        <f>IF($B$2="Todos",SUMIFS(Base!$L$3:$L$5001,Base!$A$3:$A$5001,$B42),SUMIFS(Base!$L$3:$L$5001,Base!$A$3:$A$5001,$B42,Base!$B$3:$B$5001,$B$2))</f>
        <v>0</v>
      </c>
      <c r="M42">
        <f>IF($B$2="Todos",SUMIFS(Base!$M$3:$M$5001,Base!$A$3:$A$5001,$B42),SUMIFS(Base!$M$3:$M$5001,Base!$A$3:$A$5001,$B42,Base!$B$3:$B$5001,$B$2))</f>
        <v>0</v>
      </c>
      <c r="N42">
        <f>IF($B$2="Todos",SUMIFS(Base!$N$3:$N$5001,Base!$A$3:$A$5001,$B42),SUMIFS(Base!$N$3:$N$5001,Base!$A$3:$A$5001,$B42,Base!$B$3:$B$5001,$B$2))</f>
        <v>0</v>
      </c>
      <c r="O42">
        <f>IF($B$2="Todos",SUMIFS(Base!$O$3:$O$5001,Base!$A$3:$A$5001,$B42),SUMIFS(Base!$O$3:$O$5001,Base!$A$3:$A$5001,$B42,Base!$B$3:$B$5001,$B$2))</f>
        <v>0</v>
      </c>
      <c r="P42">
        <f>IF($B$2="Todos",SUMIFS(Base!$P$3:$P$5001,Base!$A$3:$A$5001,$B42),SUMIFS(Base!$P$3:$P$5001,Base!$A$3:$A$5001,$B42,Base!$B$3:$B$5001,$B$2))</f>
        <v>0</v>
      </c>
      <c r="Q42">
        <f>IF($B$2="Todos",SUMIFS(Base!$Q$3:$Q$5001,Base!$A$3:$A$5001,$B42),SUMIFS(Base!$Q$3:$Q$5001,Base!$A$3:$A$5001,$B42,Base!$B$3:$B$5001,$B$2))</f>
        <v>0</v>
      </c>
      <c r="R42">
        <f>IF($B$2="Todos",SUMIFS(Base!$R$3:$R$5001,Base!$A$3:$A$5001,$B42),SUMIFS(Base!$R$3:$R$5001,Base!$A$3:$A$5001,$B42,Base!$B$3:$B$5001,$B$2))</f>
        <v>0</v>
      </c>
      <c r="S42">
        <f>IF($B$2="Todos",SUMIFS(Base!$S$3:$S$5001,Base!$A$3:$A$5001,$B42),SUMIFS(Base!$S$3:$S$5001,Base!$A$3:$A$5001,$B42,Base!$B$3:$B$5001,$B$2))</f>
        <v>0</v>
      </c>
      <c r="T42">
        <f>IF($B$2="Todos",SUMIFS(Base!$T$3:$T$5001,Base!$A$3:$A$5001,$B42),SUMIFS(Base!$T$3:$T$5001,Base!$A$3:$A$5001,$B42,Base!$B$3:$B$5001,$B$2))</f>
        <v>0</v>
      </c>
      <c r="U42">
        <f>IF($B$2="Todos",SUMIFS(Base!$U$3:$U$5001,Base!$A$3:$A$5001,$B42),SUMIFS(Base!$U$3:$U$5001,Base!$A$3:$A$5001,$B42,Base!$B$3:$B$5001,$B$2))</f>
        <v>0</v>
      </c>
      <c r="V42">
        <f>IF($B$2="Todos",SUMIFS(Base!$V$3:$V$5001,Base!$A$3:$A$5001,$B42),SUMIFS(Base!$V$3:$V$5001,Base!$A$3:$A$5001,$B42,Base!$B$3:$B$5001,$B$2))</f>
        <v>0</v>
      </c>
      <c r="W42" t="str">
        <f>IF($B$2="Todos",IF(COUNT($C$158:$K$158)=0,"",SUM($C$158:$K$158)),IFERROR(INDEX($C$158:$K$158,MATCH($B$2,$C$127:$K$127,0)),""))</f>
        <v/>
      </c>
      <c r="X42" t="str">
        <f>IF(Y42="","",IF($B$2="Todos",IF(ISNUMBER($B$4),$B$4,IF(COUNT($C$193:$K$193)=0,"",SUM($C$193:$K$193))),IFERROR(INDEX($C$193:$K$193,MATCH($B$2,$C$162:$K$162,0)),"")))</f>
        <v/>
      </c>
      <c r="Y42" t="str">
        <f>IF($B$2="Todos",IF(COUNT($C$228:$K$228)=0,"",SUM($C$228:$K$228)),IFERROR(INDEX($C$228:$K$228,MATCH($B$2,$C$197:$K$197,0)),""))</f>
        <v/>
      </c>
      <c r="Z42" t="str">
        <f>IF(AND(ISNUMBER(Y42),ISNUMBER(X42)),IF(X42&gt;0,Y42/X42,""),"")</f>
        <v/>
      </c>
      <c r="AA42" t="str">
        <f>IF($B$2="Todos",IF(COUNT($C$263:$K$263)=0,"",SUM($C$263:$K$263)),IFERROR(INDEX($C$263:$K$263,MATCH($B$2,$C$232:$K$232,0)),""))</f>
        <v/>
      </c>
      <c r="AB42">
        <f>IF($B$2="Todos",SUMIFS(Base!$AA$3:$AA$5001,Base!$A$3:$A$5001,$B42),SUMIFS(Base!$AA$3:$AA$5001,Base!$A$3:$A$5001,$B42,Base!$B$3:$B$5001,$B$2))</f>
        <v>0</v>
      </c>
      <c r="AC42">
        <f>IF($B$2="Todos",SUMIFS(Base!$AB$3:$AB$5001,Base!$A$3:$A$5001,$B42),SUMIFS(Base!$AB$3:$AB$5001,Base!$A$3:$A$5001,$B42,Base!$B$3:$B$5001,$B$2))</f>
        <v>0</v>
      </c>
      <c r="AD42">
        <f>IF($B$2="Todos",SUMIFS(Base!$AC$3:$AC$5001,Base!$A$3:$A$5001,$B42),SUMIFS(Base!$AC$3:$AC$5001,Base!$A$3:$A$5001,$B42,Base!$B$3:$B$5001,$B$2))</f>
        <v>0</v>
      </c>
      <c r="AE42">
        <f>IF($B$2="Todos",SUMIFS(Base!$AD$3:$AD$5001,Base!$A$3:$A$5001,$B42),SUMIFS(Base!$AD$3:$AD$5001,Base!$A$3:$A$5001,$B42,Base!$B$3:$B$5001,$B$2))</f>
        <v>0</v>
      </c>
      <c r="AG42">
        <f>IFERROR(N(INDEX($C42:$AE42,MATCH($B$3,$C$11:$AE$11,0))),0)</f>
        <v>0</v>
      </c>
      <c r="AH42">
        <f>IFERROR(N(INDEX($C42:$AE42,MATCH($C$3,$C$11:$AE$11,0))),0)</f>
        <v>0</v>
      </c>
      <c r="AI42">
        <f>$B$5</f>
        <v>0.7</v>
      </c>
      <c r="AJ42">
        <f>$B$6</f>
        <v>0.9</v>
      </c>
    </row>
    <row r="43">
      <c r="A43" t="inlineStr">
        <is>
          <t xml:space="preserve">Realizado no mês (soma · último dado em estoque)</t>
        </is>
      </c>
      <c r="C43">
        <f>SUM(C12:C42)</f>
        <v>0</v>
      </c>
      <c r="D43">
        <f>SUM(D12:D42)</f>
        <v>0</v>
      </c>
      <c r="E43">
        <f>SUM(E12:E42)</f>
        <v>0</v>
      </c>
      <c r="F43">
        <f>SUM(F12:F42)</f>
        <v>0</v>
      </c>
      <c r="G43">
        <f>SUM(G12:G42)</f>
        <v>0</v>
      </c>
      <c r="H43">
        <f>SUM(H12:H42)</f>
        <v>0</v>
      </c>
      <c r="I43">
        <f>SUM(I12:I42)</f>
        <v>0</v>
      </c>
      <c r="J43">
        <f>SUM(J12:J42)</f>
        <v>0</v>
      </c>
      <c r="K43">
        <f>SUM(K12:K42)</f>
        <v>0</v>
      </c>
      <c r="L43">
        <f>SUM(L12:L42)</f>
        <v>0</v>
      </c>
      <c r="M43">
        <f>SUM(M12:M42)</f>
        <v>0</v>
      </c>
      <c r="N43">
        <f>SUM(N12:N42)</f>
        <v>0</v>
      </c>
      <c r="O43">
        <f>SUM(O12:O42)</f>
        <v>0</v>
      </c>
      <c r="P43">
        <f>SUM(P12:P42)</f>
        <v>0</v>
      </c>
      <c r="Q43">
        <f>SUM(Q12:Q42)</f>
        <v>0</v>
      </c>
      <c r="R43">
        <f>SUM(R12:R42)</f>
        <v>0</v>
      </c>
      <c r="S43">
        <f>SUM(S12:S42)</f>
        <v>0</v>
      </c>
      <c r="T43">
        <f>SUM(T12:T42)</f>
        <v>0</v>
      </c>
      <c r="U43">
        <f>SUM(U12:U42)</f>
        <v>0</v>
      </c>
      <c r="V43">
        <f>SUM(V12:V42)</f>
        <v>0</v>
      </c>
      <c r="W43" t="str">
        <f>IFERROR(LOOKUP(9.99E+307,W12:W42),"")</f>
        <v/>
      </c>
      <c r="X43" t="str">
        <f>IFERROR(LOOKUP(9.99E+307,X12:X42),"")</f>
        <v/>
      </c>
      <c r="Y43" t="str">
        <f>IFERROR(LOOKUP(9.99E+307,Y12:Y42),"")</f>
        <v/>
      </c>
      <c r="Z43" t="str">
        <f>IF(AND(ISNUMBER(Y43),ISNUMBER(X43)),IF(X43&gt;0,Y43/X43,""),"")</f>
        <v/>
      </c>
      <c r="AA43" t="str">
        <f>IFERROR(LOOKUP(9.99E+307,AA12:AA42),"")</f>
        <v/>
      </c>
      <c r="AB43">
        <f>SUM(AB12:AB42)</f>
        <v>0</v>
      </c>
      <c r="AC43">
        <f>SUM(AC12:AC42)</f>
        <v>0</v>
      </c>
      <c r="AD43">
        <f>SUM(AD12:AD42)</f>
        <v>0</v>
      </c>
      <c r="AE43">
        <f>SUM(AE12:AE42)</f>
        <v>0</v>
      </c>
    </row>
    <row r="44">
      <c r="A44" t="inlineStr">
        <is>
          <t xml:space="preserve">Média por dia</t>
        </is>
      </c>
      <c r="C44" t="str">
        <f>IFERROR(AVERAGEIF(C12:C42,"&gt;0"),"")</f>
        <v/>
      </c>
      <c r="D44" t="str">
        <f>IFERROR(AVERAGEIF(D12:D42,"&gt;0"),"")</f>
        <v/>
      </c>
      <c r="E44" t="str">
        <f>IFERROR(AVERAGEIF(E12:E42,"&gt;0"),"")</f>
        <v/>
      </c>
      <c r="F44" t="str">
        <f>IFERROR(AVERAGEIF(F12:F42,"&gt;0"),"")</f>
        <v/>
      </c>
      <c r="G44" t="str">
        <f>IFERROR(AVERAGEIF(G12:G42,"&gt;0"),"")</f>
        <v/>
      </c>
      <c r="H44" t="str">
        <f>IFERROR(AVERAGEIF(H12:H42,"&gt;0"),"")</f>
        <v/>
      </c>
      <c r="I44" t="str">
        <f>IFERROR(AVERAGEIF(I12:I42,"&gt;0"),"")</f>
        <v/>
      </c>
      <c r="J44" t="str">
        <f>IFERROR(AVERAGEIF(J12:J42,"&gt;0"),"")</f>
        <v/>
      </c>
      <c r="K44" t="str">
        <f>IFERROR(AVERAGEIF(K12:K42,"&gt;0"),"")</f>
        <v/>
      </c>
      <c r="L44" t="str">
        <f>IFERROR(AVERAGEIF(L12:L42,"&gt;0"),"")</f>
        <v/>
      </c>
      <c r="M44" t="str">
        <f>IFERROR(AVERAGEIF(M12:M42,"&gt;0"),"")</f>
        <v/>
      </c>
      <c r="N44" t="str">
        <f>IFERROR(AVERAGEIF(N12:N42,"&gt;0"),"")</f>
        <v/>
      </c>
      <c r="O44" t="str">
        <f>IFERROR(AVERAGEIF(O12:O42,"&gt;0"),"")</f>
        <v/>
      </c>
      <c r="P44" t="str">
        <f>IFERROR(AVERAGEIF(P12:P42,"&gt;0"),"")</f>
        <v/>
      </c>
      <c r="Q44" t="str">
        <f>IFERROR(AVERAGEIF(Q12:Q42,"&gt;0"),"")</f>
        <v/>
      </c>
      <c r="R44" t="str">
        <f>IFERROR(AVERAGEIF(R12:R42,"&gt;0"),"")</f>
        <v/>
      </c>
      <c r="S44" t="str">
        <f>IFERROR(AVERAGEIF(S12:S42,"&gt;0"),"")</f>
        <v/>
      </c>
      <c r="T44" t="str">
        <f>IFERROR(AVERAGEIF(T12:T42,"&gt;0"),"")</f>
        <v/>
      </c>
      <c r="U44" t="str">
        <f>IFERROR(AVERAGEIF(U12:U42,"&gt;0"),"")</f>
        <v/>
      </c>
      <c r="V44" t="str">
        <f>IFERROR(AVERAGEIF(V12:V42,"&gt;0"),"")</f>
        <v/>
      </c>
      <c r="W44" t="str">
        <f>IFERROR(AVERAGE(W12:W42),"")</f>
        <v/>
      </c>
      <c r="X44" t="str">
        <f>IFERROR(AVERAGE(X12:X42),"")</f>
        <v/>
      </c>
      <c r="Y44" t="str">
        <f>IFERROR(AVERAGE(Y12:Y42),"")</f>
        <v/>
      </c>
      <c r="Z44" t="str">
        <f>IFERROR(AVERAGE(Z12:Z42),"")</f>
        <v/>
      </c>
      <c r="AA44" t="str">
        <f>IFERROR(AVERAGE(AA12:AA42),"")</f>
        <v/>
      </c>
      <c r="AB44" t="str">
        <f>IFERROR(AVERAGEIF(AB12:AB42,"&gt;0"),"")</f>
        <v/>
      </c>
      <c r="AC44" t="str">
        <f>IFERROR(AVERAGEIF(AC12:AC42,"&gt;0"),"")</f>
        <v/>
      </c>
      <c r="AD44" t="str">
        <f>IFERROR(AVERAGEIF(AD12:AD42,"&gt;0"),"")</f>
        <v/>
      </c>
      <c r="AE44" t="str">
        <f>IFERROR(AVERAGEIF(AE12:AE42,"&gt;0"),"")</f>
        <v/>
      </c>
    </row>
    <row r="45">
      <c r="A45" t="inlineStr">
        <is>
          <t xml:space="preserve">Máximo em um dia</t>
        </is>
      </c>
      <c r="C45">
        <f>IF(COUNT(C12:C42)=0,"",MAX(C12:C42))</f>
        <v>0</v>
      </c>
      <c r="D45">
        <f>IF(COUNT(D12:D42)=0,"",MAX(D12:D42))</f>
        <v>0</v>
      </c>
      <c r="E45">
        <f>IF(COUNT(E12:E42)=0,"",MAX(E12:E42))</f>
        <v>0</v>
      </c>
      <c r="F45">
        <f>IF(COUNT(F12:F42)=0,"",MAX(F12:F42))</f>
        <v>0</v>
      </c>
      <c r="G45">
        <f>IF(COUNT(G12:G42)=0,"",MAX(G12:G42))</f>
        <v>0</v>
      </c>
      <c r="H45">
        <f>IF(COUNT(H12:H42)=0,"",MAX(H12:H42))</f>
        <v>0</v>
      </c>
      <c r="I45">
        <f>IF(COUNT(I12:I42)=0,"",MAX(I12:I42))</f>
        <v>0</v>
      </c>
      <c r="J45">
        <f>IF(COUNT(J12:J42)=0,"",MAX(J12:J42))</f>
        <v>0</v>
      </c>
      <c r="K45">
        <f>IF(COUNT(K12:K42)=0,"",MAX(K12:K42))</f>
        <v>0</v>
      </c>
      <c r="L45">
        <f>IF(COUNT(L12:L42)=0,"",MAX(L12:L42))</f>
        <v>0</v>
      </c>
      <c r="M45">
        <f>IF(COUNT(M12:M42)=0,"",MAX(M12:M42))</f>
        <v>0</v>
      </c>
      <c r="N45">
        <f>IF(COUNT(N12:N42)=0,"",MAX(N12:N42))</f>
        <v>0</v>
      </c>
      <c r="O45">
        <f>IF(COUNT(O12:O42)=0,"",MAX(O12:O42))</f>
        <v>0</v>
      </c>
      <c r="P45">
        <f>IF(COUNT(P12:P42)=0,"",MAX(P12:P42))</f>
        <v>0</v>
      </c>
      <c r="Q45">
        <f>IF(COUNT(Q12:Q42)=0,"",MAX(Q12:Q42))</f>
        <v>0</v>
      </c>
      <c r="R45">
        <f>IF(COUNT(R12:R42)=0,"",MAX(R12:R42))</f>
        <v>0</v>
      </c>
      <c r="S45">
        <f>IF(COUNT(S12:S42)=0,"",MAX(S12:S42))</f>
        <v>0</v>
      </c>
      <c r="T45">
        <f>IF(COUNT(T12:T42)=0,"",MAX(T12:T42))</f>
        <v>0</v>
      </c>
      <c r="U45">
        <f>IF(COUNT(U12:U42)=0,"",MAX(U12:U42))</f>
        <v>0</v>
      </c>
      <c r="V45">
        <f>IF(COUNT(V12:V42)=0,"",MAX(V12:V42))</f>
        <v>0</v>
      </c>
      <c r="W45" t="str">
        <f>IF(COUNT(W12:W42)=0,"",MAX(W12:W42))</f>
        <v/>
      </c>
      <c r="X45" t="str">
        <f>IF(COUNT(X12:X42)=0,"",MAX(X12:X42))</f>
        <v/>
      </c>
      <c r="Y45" t="str">
        <f>IF(COUNT(Y12:Y42)=0,"",MAX(Y12:Y42))</f>
        <v/>
      </c>
      <c r="Z45" t="str">
        <f>IF(COUNT(Z12:Z42)=0,"",MAX(Z12:Z42))</f>
        <v/>
      </c>
      <c r="AA45" t="str">
        <f>IF(COUNT(AA12:AA42)=0,"",MAX(AA12:AA42))</f>
        <v/>
      </c>
      <c r="AB45">
        <f>IF(COUNT(AB12:AB42)=0,"",MAX(AB12:AB42))</f>
        <v>0</v>
      </c>
      <c r="AC45">
        <f>IF(COUNT(AC12:AC42)=0,"",MAX(AC12:AC42))</f>
        <v>0</v>
      </c>
      <c r="AD45">
        <f>IF(COUNT(AD12:AD42)=0,"",MAX(AD12:AD42))</f>
        <v>0</v>
      </c>
      <c r="AE45">
        <f>IF(COUNT(AE12:AE42)=0,"",MAX(AE12:AE42))</f>
        <v>0</v>
      </c>
    </row>
    <row r="46">
      <c r="A46" t="inlineStr">
        <is>
          <t xml:space="preserve">Mês anterior (mesmo intervalo)</t>
        </is>
      </c>
      <c r="C46">
        <f>IF($B$2="Todos",SUMIFS(Base!$C$3:$C$5001,Base!$A$3:$A$5001,"&gt;="&amp;$C$8,Base!$A$3:$A$5001,"&lt;="&amp;$D$8),SUMIFS(Base!$C$3:$C$5001,Base!$A$3:$A$5001,"&gt;="&amp;$C$8,Base!$A$3:$A$5001,"&lt;="&amp;$D$8,Base!$B$3:$B$5001,$B$2))</f>
        <v>0</v>
      </c>
      <c r="D46">
        <f>IF($B$2="Todos",SUMIFS(Base!$D$3:$D$5001,Base!$A$3:$A$5001,"&gt;="&amp;$C$8,Base!$A$3:$A$5001,"&lt;="&amp;$D$8),SUMIFS(Base!$D$3:$D$5001,Base!$A$3:$A$5001,"&gt;="&amp;$C$8,Base!$A$3:$A$5001,"&lt;="&amp;$D$8,Base!$B$3:$B$5001,$B$2))</f>
        <v>0</v>
      </c>
      <c r="E46">
        <f>IF($B$2="Todos",SUMIFS(Base!$E$3:$E$5001,Base!$A$3:$A$5001,"&gt;="&amp;$C$8,Base!$A$3:$A$5001,"&lt;="&amp;$D$8),SUMIFS(Base!$E$3:$E$5001,Base!$A$3:$A$5001,"&gt;="&amp;$C$8,Base!$A$3:$A$5001,"&lt;="&amp;$D$8,Base!$B$3:$B$5001,$B$2))</f>
        <v>0</v>
      </c>
      <c r="F46">
        <f>IF($B$2="Todos",SUMIFS(Base!$F$3:$F$5001,Base!$A$3:$A$5001,"&gt;="&amp;$C$8,Base!$A$3:$A$5001,"&lt;="&amp;$D$8),SUMIFS(Base!$F$3:$F$5001,Base!$A$3:$A$5001,"&gt;="&amp;$C$8,Base!$A$3:$A$5001,"&lt;="&amp;$D$8,Base!$B$3:$B$5001,$B$2))</f>
        <v>0</v>
      </c>
      <c r="G46">
        <f>IF($B$2="Todos",SUMIFS(Base!$G$3:$G$5001,Base!$A$3:$A$5001,"&gt;="&amp;$C$8,Base!$A$3:$A$5001,"&lt;="&amp;$D$8),SUMIFS(Base!$G$3:$G$5001,Base!$A$3:$A$5001,"&gt;="&amp;$C$8,Base!$A$3:$A$5001,"&lt;="&amp;$D$8,Base!$B$3:$B$5001,$B$2))</f>
        <v>0</v>
      </c>
      <c r="H46">
        <f>IF($B$2="Todos",SUMIFS(Base!$H$3:$H$5001,Base!$A$3:$A$5001,"&gt;="&amp;$C$8,Base!$A$3:$A$5001,"&lt;="&amp;$D$8),SUMIFS(Base!$H$3:$H$5001,Base!$A$3:$A$5001,"&gt;="&amp;$C$8,Base!$A$3:$A$5001,"&lt;="&amp;$D$8,Base!$B$3:$B$5001,$B$2))</f>
        <v>0</v>
      </c>
      <c r="I46">
        <f>IF($B$2="Todos",SUMIFS(Base!$I$3:$I$5001,Base!$A$3:$A$5001,"&gt;="&amp;$C$8,Base!$A$3:$A$5001,"&lt;="&amp;$D$8),SUMIFS(Base!$I$3:$I$5001,Base!$A$3:$A$5001,"&gt;="&amp;$C$8,Base!$A$3:$A$5001,"&lt;="&amp;$D$8,Base!$B$3:$B$5001,$B$2))</f>
        <v>0</v>
      </c>
      <c r="J46">
        <f>IF($B$2="Todos",SUMIFS(Base!$J$3:$J$5001,Base!$A$3:$A$5001,"&gt;="&amp;$C$8,Base!$A$3:$A$5001,"&lt;="&amp;$D$8),SUMIFS(Base!$J$3:$J$5001,Base!$A$3:$A$5001,"&gt;="&amp;$C$8,Base!$A$3:$A$5001,"&lt;="&amp;$D$8,Base!$B$3:$B$5001,$B$2))</f>
        <v>0</v>
      </c>
      <c r="K46">
        <f>IF($B$2="Todos",SUMIFS(Base!$K$3:$K$5001,Base!$A$3:$A$5001,"&gt;="&amp;$C$8,Base!$A$3:$A$5001,"&lt;="&amp;$D$8),SUMIFS(Base!$K$3:$K$5001,Base!$A$3:$A$5001,"&gt;="&amp;$C$8,Base!$A$3:$A$5001,"&lt;="&amp;$D$8,Base!$B$3:$B$5001,$B$2))</f>
        <v>0</v>
      </c>
      <c r="L46">
        <f>IF($B$2="Todos",SUMIFS(Base!$L$3:$L$5001,Base!$A$3:$A$5001,"&gt;="&amp;$C$8,Base!$A$3:$A$5001,"&lt;="&amp;$D$8),SUMIFS(Base!$L$3:$L$5001,Base!$A$3:$A$5001,"&gt;="&amp;$C$8,Base!$A$3:$A$5001,"&lt;="&amp;$D$8,Base!$B$3:$B$5001,$B$2))</f>
        <v>0</v>
      </c>
      <c r="M46">
        <f>IF($B$2="Todos",SUMIFS(Base!$M$3:$M$5001,Base!$A$3:$A$5001,"&gt;="&amp;$C$8,Base!$A$3:$A$5001,"&lt;="&amp;$D$8),SUMIFS(Base!$M$3:$M$5001,Base!$A$3:$A$5001,"&gt;="&amp;$C$8,Base!$A$3:$A$5001,"&lt;="&amp;$D$8,Base!$B$3:$B$5001,$B$2))</f>
        <v>0</v>
      </c>
      <c r="N46">
        <f>IF($B$2="Todos",SUMIFS(Base!$N$3:$N$5001,Base!$A$3:$A$5001,"&gt;="&amp;$C$8,Base!$A$3:$A$5001,"&lt;="&amp;$D$8),SUMIFS(Base!$N$3:$N$5001,Base!$A$3:$A$5001,"&gt;="&amp;$C$8,Base!$A$3:$A$5001,"&lt;="&amp;$D$8,Base!$B$3:$B$5001,$B$2))</f>
        <v>0</v>
      </c>
      <c r="O46">
        <f>IF($B$2="Todos",SUMIFS(Base!$O$3:$O$5001,Base!$A$3:$A$5001,"&gt;="&amp;$C$8,Base!$A$3:$A$5001,"&lt;="&amp;$D$8),SUMIFS(Base!$O$3:$O$5001,Base!$A$3:$A$5001,"&gt;="&amp;$C$8,Base!$A$3:$A$5001,"&lt;="&amp;$D$8,Base!$B$3:$B$5001,$B$2))</f>
        <v>0</v>
      </c>
      <c r="P46">
        <f>IF($B$2="Todos",SUMIFS(Base!$P$3:$P$5001,Base!$A$3:$A$5001,"&gt;="&amp;$C$8,Base!$A$3:$A$5001,"&lt;="&amp;$D$8),SUMIFS(Base!$P$3:$P$5001,Base!$A$3:$A$5001,"&gt;="&amp;$C$8,Base!$A$3:$A$5001,"&lt;="&amp;$D$8,Base!$B$3:$B$5001,$B$2))</f>
        <v>0</v>
      </c>
      <c r="Q46">
        <f>IF($B$2="Todos",SUMIFS(Base!$Q$3:$Q$5001,Base!$A$3:$A$5001,"&gt;="&amp;$C$8,Base!$A$3:$A$5001,"&lt;="&amp;$D$8),SUMIFS(Base!$Q$3:$Q$5001,Base!$A$3:$A$5001,"&gt;="&amp;$C$8,Base!$A$3:$A$5001,"&lt;="&amp;$D$8,Base!$B$3:$B$5001,$B$2))</f>
        <v>0</v>
      </c>
      <c r="R46">
        <f>IF($B$2="Todos",SUMIFS(Base!$R$3:$R$5001,Base!$A$3:$A$5001,"&gt;="&amp;$C$8,Base!$A$3:$A$5001,"&lt;="&amp;$D$8),SUMIFS(Base!$R$3:$R$5001,Base!$A$3:$A$5001,"&gt;="&amp;$C$8,Base!$A$3:$A$5001,"&lt;="&amp;$D$8,Base!$B$3:$B$5001,$B$2))</f>
        <v>0</v>
      </c>
      <c r="S46">
        <f>IF($B$2="Todos",SUMIFS(Base!$S$3:$S$5001,Base!$A$3:$A$5001,"&gt;="&amp;$C$8,Base!$A$3:$A$5001,"&lt;="&amp;$D$8),SUMIFS(Base!$S$3:$S$5001,Base!$A$3:$A$5001,"&gt;="&amp;$C$8,Base!$A$3:$A$5001,"&lt;="&amp;$D$8,Base!$B$3:$B$5001,$B$2))</f>
        <v>0</v>
      </c>
      <c r="T46">
        <f>IF($B$2="Todos",SUMIFS(Base!$T$3:$T$5001,Base!$A$3:$A$5001,"&gt;="&amp;$C$8,Base!$A$3:$A$5001,"&lt;="&amp;$D$8),SUMIFS(Base!$T$3:$T$5001,Base!$A$3:$A$5001,"&gt;="&amp;$C$8,Base!$A$3:$A$5001,"&lt;="&amp;$D$8,Base!$B$3:$B$5001,$B$2))</f>
        <v>0</v>
      </c>
      <c r="U46">
        <f>IF($B$2="Todos",SUMIFS(Base!$U$3:$U$5001,Base!$A$3:$A$5001,"&gt;="&amp;$C$8,Base!$A$3:$A$5001,"&lt;="&amp;$D$8),SUMIFS(Base!$U$3:$U$5001,Base!$A$3:$A$5001,"&gt;="&amp;$C$8,Base!$A$3:$A$5001,"&lt;="&amp;$D$8,Base!$B$3:$B$5001,$B$2))</f>
        <v>0</v>
      </c>
      <c r="V46">
        <f>IF($B$2="Todos",SUMIFS(Base!$V$3:$V$5001,Base!$A$3:$A$5001,"&gt;="&amp;$C$8,Base!$A$3:$A$5001,"&lt;="&amp;$D$8),SUMIFS(Base!$V$3:$V$5001,Base!$A$3:$A$5001,"&gt;="&amp;$C$8,Base!$A$3:$A$5001,"&lt;="&amp;$D$8,Base!$B$3:$B$5001,$B$2))</f>
        <v>0</v>
      </c>
      <c r="W46" t="str">
        <f>IF($B$2="Todos",IF(COUNT($C$159:$K$159)=0,"",SUM($C$159:$K$159)),IFERROR(INDEX($C$159:$K$159,MATCH($B$2,$C$127:$K$127,0)),""))</f>
        <v/>
      </c>
      <c r="X46" t="str">
        <f>IF(Y46="","",IF($B$2="Todos",IF(ISNUMBER($B$4),$B$4,IF(COUNT($C$194:$K$194)=0,"",SUM($C$194:$K$194))),IFERROR(INDEX($C$194:$K$194,MATCH($B$2,$C$162:$K$162,0)),"")))</f>
        <v/>
      </c>
      <c r="Y46" t="str">
        <f>IF($B$2="Todos",IF(COUNT($C$229:$K$229)=0,"",SUM($C$229:$K$229)),IFERROR(INDEX($C$229:$K$229,MATCH($B$2,$C$197:$K$197,0)),""))</f>
        <v/>
      </c>
      <c r="Z46" t="str">
        <f>IF(AND(ISNUMBER(Y46),ISNUMBER(X46)),IF(X46&gt;0,Y46/X46,""),"")</f>
        <v/>
      </c>
      <c r="AA46" t="str">
        <f>IF($B$2="Todos",IF(COUNT($C$264:$K$264)=0,"",SUM($C$264:$K$264)),IFERROR(INDEX($C$264:$K$264,MATCH($B$2,$C$232:$K$232,0)),""))</f>
        <v/>
      </c>
      <c r="AB46">
        <f>IF($B$2="Todos",SUMIFS(Base!$AA$3:$AA$5001,Base!$A$3:$A$5001,"&gt;="&amp;$C$8,Base!$A$3:$A$5001,"&lt;="&amp;$D$8),SUMIFS(Base!$AA$3:$AA$5001,Base!$A$3:$A$5001,"&gt;="&amp;$C$8,Base!$A$3:$A$5001,"&lt;="&amp;$D$8,Base!$B$3:$B$5001,$B$2))</f>
        <v>0</v>
      </c>
      <c r="AC46">
        <f>IF($B$2="Todos",SUMIFS(Base!$AB$3:$AB$5001,Base!$A$3:$A$5001,"&gt;="&amp;$C$8,Base!$A$3:$A$5001,"&lt;="&amp;$D$8),SUMIFS(Base!$AB$3:$AB$5001,Base!$A$3:$A$5001,"&gt;="&amp;$C$8,Base!$A$3:$A$5001,"&lt;="&amp;$D$8,Base!$B$3:$B$5001,$B$2))</f>
        <v>0</v>
      </c>
      <c r="AD46">
        <f>IF($B$2="Todos",SUMIFS(Base!$AC$3:$AC$5001,Base!$A$3:$A$5001,"&gt;="&amp;$C$8,Base!$A$3:$A$5001,"&lt;="&amp;$D$8),SUMIFS(Base!$AC$3:$AC$5001,Base!$A$3:$A$5001,"&gt;="&amp;$C$8,Base!$A$3:$A$5001,"&lt;="&amp;$D$8,Base!$B$3:$B$5001,$B$2))</f>
        <v>0</v>
      </c>
      <c r="AE46">
        <f>IF($B$2="Todos",SUMIFS(Base!$AD$3:$AD$5001,Base!$A$3:$A$5001,"&gt;="&amp;$C$8,Base!$A$3:$A$5001,"&lt;="&amp;$D$8),SUMIFS(Base!$AD$3:$AD$5001,Base!$A$3:$A$5001,"&gt;="&amp;$C$8,Base!$A$3:$A$5001,"&lt;="&amp;$D$8,Base!$B$3:$B$5001,$B$2))</f>
        <v>0</v>
      </c>
    </row>
    <row r="47">
      <c r="A47" t="inlineStr">
        <is>
          <t xml:space="preserve">Variação vs mês anterior</t>
        </is>
      </c>
      <c r="C47" t="str">
        <f>IF(AND(ISNUMBER(C43),ISNUMBER(C46)),IF(C46&lt;&gt;0,C43/C46-1,""),"")</f>
        <v/>
      </c>
      <c r="D47" t="str">
        <f>IF(AND(ISNUMBER(D43),ISNUMBER(D46)),IF(D46&lt;&gt;0,D43/D46-1,""),"")</f>
        <v/>
      </c>
      <c r="E47" t="str">
        <f>IF(AND(ISNUMBER(E43),ISNUMBER(E46)),IF(E46&lt;&gt;0,E43/E46-1,""),"")</f>
        <v/>
      </c>
      <c r="F47" t="str">
        <f>IF(AND(ISNUMBER(F43),ISNUMBER(F46)),IF(F46&lt;&gt;0,F43/F46-1,""),"")</f>
        <v/>
      </c>
      <c r="G47" t="str">
        <f>IF(AND(ISNUMBER(G43),ISNUMBER(G46)),IF(G46&lt;&gt;0,G43/G46-1,""),"")</f>
        <v/>
      </c>
      <c r="H47" t="str">
        <f>IF(AND(ISNUMBER(H43),ISNUMBER(H46)),IF(H46&lt;&gt;0,H43/H46-1,""),"")</f>
        <v/>
      </c>
      <c r="I47" t="str">
        <f>IF(AND(ISNUMBER(I43),ISNUMBER(I46)),IF(I46&lt;&gt;0,I43/I46-1,""),"")</f>
        <v/>
      </c>
      <c r="J47" t="str">
        <f>IF(AND(ISNUMBER(J43),ISNUMBER(J46)),IF(J46&lt;&gt;0,J43/J46-1,""),"")</f>
        <v/>
      </c>
      <c r="K47" t="str">
        <f>IF(AND(ISNUMBER(K43),ISNUMBER(K46)),IF(K46&lt;&gt;0,K43/K46-1,""),"")</f>
        <v/>
      </c>
      <c r="L47" t="str">
        <f>IF(AND(ISNUMBER(L43),ISNUMBER(L46)),IF(L46&lt;&gt;0,L43/L46-1,""),"")</f>
        <v/>
      </c>
      <c r="M47" t="str">
        <f>IF(AND(ISNUMBER(M43),ISNUMBER(M46)),IF(M46&lt;&gt;0,M43/M46-1,""),"")</f>
        <v/>
      </c>
      <c r="N47" t="str">
        <f>IF(AND(ISNUMBER(N43),ISNUMBER(N46)),IF(N46&lt;&gt;0,N43/N46-1,""),"")</f>
        <v/>
      </c>
      <c r="O47" t="str">
        <f>IF(AND(ISNUMBER(O43),ISNUMBER(O46)),IF(O46&lt;&gt;0,O43/O46-1,""),"")</f>
        <v/>
      </c>
      <c r="P47" t="str">
        <f>IF(AND(ISNUMBER(P43),ISNUMBER(P46)),IF(P46&lt;&gt;0,P43/P46-1,""),"")</f>
        <v/>
      </c>
      <c r="Q47" t="str">
        <f>IF(AND(ISNUMBER(Q43),ISNUMBER(Q46)),IF(Q46&lt;&gt;0,Q43/Q46-1,""),"")</f>
        <v/>
      </c>
      <c r="R47" t="str">
        <f>IF(AND(ISNUMBER(R43),ISNUMBER(R46)),IF(R46&lt;&gt;0,R43/R46-1,""),"")</f>
        <v/>
      </c>
      <c r="S47" t="str">
        <f>IF(AND(ISNUMBER(S43),ISNUMBER(S46)),IF(S46&lt;&gt;0,S43/S46-1,""),"")</f>
        <v/>
      </c>
      <c r="T47" t="str">
        <f>IF(AND(ISNUMBER(T43),ISNUMBER(T46)),IF(T46&lt;&gt;0,T43/T46-1,""),"")</f>
        <v/>
      </c>
      <c r="U47" t="str">
        <f>IF(AND(ISNUMBER(U43),ISNUMBER(U46)),IF(U46&lt;&gt;0,U43/U46-1,""),"")</f>
        <v/>
      </c>
      <c r="V47" t="str">
        <f>IF(AND(ISNUMBER(V43),ISNUMBER(V46)),IF(V46&lt;&gt;0,V43/V46-1,""),"")</f>
        <v/>
      </c>
      <c r="W47" t="str">
        <f>IF(AND(ISNUMBER(W43),ISNUMBER(W46)),IF(W46&lt;&gt;0,W43/W46-1,""),"")</f>
        <v/>
      </c>
      <c r="X47" t="str">
        <f>IF(AND(ISNUMBER(X43),ISNUMBER(X46)),IF(X46&lt;&gt;0,X43/X46-1,""),"")</f>
        <v/>
      </c>
      <c r="Y47" t="str">
        <f>IF(AND(ISNUMBER(Y43),ISNUMBER(Y46)),IF(Y46&lt;&gt;0,Y43/Y46-1,""),"")</f>
        <v/>
      </c>
      <c r="Z47" t="str">
        <f>IF(AND(ISNUMBER(Z43),ISNUMBER(Z46)),IF(Z46&lt;&gt;0,Z43/Z46-1,""),"")</f>
        <v/>
      </c>
      <c r="AA47" t="str">
        <f>IF(AND(ISNUMBER(AA43),ISNUMBER(AA46)),IF(AA46&lt;&gt;0,AA43/AA46-1,""),"")</f>
        <v/>
      </c>
      <c r="AB47" t="str">
        <f>IF(AND(ISNUMBER(AB43),ISNUMBER(AB46)),IF(AB46&lt;&gt;0,AB43/AB46-1,""),"")</f>
        <v/>
      </c>
      <c r="AC47" t="str">
        <f>IF(AND(ISNUMBER(AC43),ISNUMBER(AC46)),IF(AC46&lt;&gt;0,AC43/AC46-1,""),"")</f>
        <v/>
      </c>
      <c r="AD47" t="str">
        <f>IF(AND(ISNUMBER(AD43),ISNUMBER(AD46)),IF(AD46&lt;&gt;0,AD43/AD46-1,""),"")</f>
        <v/>
      </c>
      <c r="AE47" t="str">
        <f>IF(AND(ISNUMBER(AE43),ISNUMBER(AE46)),IF(AE46&lt;&gt;0,AE43/AE46-1,""),"")</f>
        <v/>
      </c>
    </row>
    <row r="48">
      <c r="A48" t="inlineStr">
        <is>
          <t xml:space="preserve">Meta (cliente selecionado)</t>
        </is>
      </c>
      <c r="C48" t="str">
        <f>IFERROR(1/(1/INDEX($B$55:$K$55,MATCH($B$2,$B$54:$K$54,0))),"")</f>
        <v/>
      </c>
      <c r="D48" t="str">
        <f>IFERROR(1/(1/INDEX($B$56:$K$56,MATCH($B$2,$B$54:$K$54,0))),"")</f>
        <v/>
      </c>
      <c r="E48" t="str">
        <f>IFERROR(1/(1/INDEX($B$57:$K$57,MATCH($B$2,$B$54:$K$54,0))),"")</f>
        <v/>
      </c>
      <c r="F48" t="str">
        <f>IFERROR(1/(1/INDEX($B$58:$K$58,MATCH($B$2,$B$54:$K$54,0))),"")</f>
        <v/>
      </c>
      <c r="G48" t="str">
        <f>IFERROR(1/(1/INDEX($B$59:$K$59,MATCH($B$2,$B$54:$K$54,0))),"")</f>
        <v/>
      </c>
      <c r="H48" t="str">
        <f>IFERROR(1/(1/INDEX($B$60:$K$60,MATCH($B$2,$B$54:$K$54,0))),"")</f>
        <v/>
      </c>
      <c r="I48" t="str">
        <f>IFERROR(1/(1/INDEX($B$61:$K$61,MATCH($B$2,$B$54:$K$54,0))),"")</f>
        <v/>
      </c>
      <c r="J48" t="str">
        <f>IFERROR(1/(1/INDEX($B$62:$K$62,MATCH($B$2,$B$54:$K$54,0))),"")</f>
        <v/>
      </c>
      <c r="K48" t="str">
        <f>IFERROR(1/(1/INDEX($B$63:$K$63,MATCH($B$2,$B$54:$K$54,0))),"")</f>
        <v/>
      </c>
      <c r="L48" t="str">
        <f>IFERROR(1/(1/INDEX($B$64:$K$64,MATCH($B$2,$B$54:$K$54,0))),"")</f>
        <v/>
      </c>
      <c r="M48" t="str">
        <f>IFERROR(1/(1/INDEX($B$65:$K$65,MATCH($B$2,$B$54:$K$54,0))),"")</f>
        <v/>
      </c>
      <c r="N48" t="str">
        <f>IFERROR(1/(1/INDEX($B$66:$K$66,MATCH($B$2,$B$54:$K$54,0))),"")</f>
        <v/>
      </c>
      <c r="O48" t="str">
        <f>IFERROR(1/(1/INDEX($B$67:$K$67,MATCH($B$2,$B$54:$K$54,0))),"")</f>
        <v/>
      </c>
      <c r="P48" t="str">
        <f>IFERROR(1/(1/INDEX($B$68:$K$68,MATCH($B$2,$B$54:$K$54,0))),"")</f>
        <v/>
      </c>
      <c r="Q48" t="str">
        <f>IFERROR(1/(1/INDEX($B$69:$K$69,MATCH($B$2,$B$54:$K$54,0))),"")</f>
        <v/>
      </c>
      <c r="R48" t="str">
        <f>IFERROR(1/(1/INDEX($B$70:$K$70,MATCH($B$2,$B$54:$K$54,0))),"")</f>
        <v/>
      </c>
      <c r="S48" t="str">
        <f>IFERROR(1/(1/INDEX($B$71:$K$71,MATCH($B$2,$B$54:$K$54,0))),"")</f>
        <v/>
      </c>
      <c r="T48" t="str">
        <f>IFERROR(1/(1/INDEX($B$72:$K$72,MATCH($B$2,$B$54:$K$54,0))),"")</f>
        <v/>
      </c>
      <c r="U48" t="str">
        <f>IFERROR(1/(1/INDEX($B$73:$K$73,MATCH($B$2,$B$54:$K$54,0))),"")</f>
        <v/>
      </c>
      <c r="V48" t="str">
        <f>IFERROR(1/(1/INDEX($B$74:$K$74,MATCH($B$2,$B$54:$K$54,0))),"")</f>
        <v/>
      </c>
      <c r="W48" t="str">
        <f>IFERROR(1/(1/INDEX($B$75:$K$75,MATCH($B$2,$B$54:$K$54,0))),"")</f>
        <v/>
      </c>
      <c r="X48" t="str">
        <f>IFERROR(1/(1/INDEX($B$76:$K$76,MATCH($B$2,$B$54:$K$54,0))),"")</f>
        <v/>
      </c>
      <c r="Y48" t="str">
        <f>IFERROR(1/(1/INDEX($B$77:$K$77,MATCH($B$2,$B$54:$K$54,0))),"")</f>
        <v/>
      </c>
      <c r="Z48" t="str">
        <f>IFERROR(1/(1/INDEX($B$78:$K$78,MATCH($B$2,$B$54:$K$54,0))),"")</f>
        <v/>
      </c>
      <c r="AA48" t="str">
        <f>IFERROR(1/(1/INDEX($B$79:$K$79,MATCH($B$2,$B$54:$K$54,0))),"")</f>
        <v/>
      </c>
      <c r="AB48" t="str">
        <f>IFERROR(1/(1/INDEX($B$80:$K$80,MATCH($B$2,$B$54:$K$54,0))),"")</f>
        <v/>
      </c>
      <c r="AC48" t="str">
        <f>IFERROR(1/(1/INDEX($B$81:$K$81,MATCH($B$2,$B$54:$K$54,0))),"")</f>
        <v/>
      </c>
      <c r="AD48" t="str">
        <f>IFERROR(1/(1/INDEX($B$82:$K$82,MATCH($B$2,$B$54:$K$54,0))),"")</f>
        <v/>
      </c>
      <c r="AE48" t="str">
        <f>IFERROR(1/(1/INDEX($B$83:$K$83,MATCH($B$2,$B$54:$K$54,0))),"")</f>
        <v/>
      </c>
    </row>
    <row r="49">
      <c r="A49" t="inlineStr">
        <is>
          <t xml:space="preserve">% da meta</t>
        </is>
      </c>
      <c r="C49" t="str">
        <f>IF(AND(ISNUMBER(C48),ISNUMBER(C43)),IF(C48&gt;0,C43/C48,""),"")</f>
        <v/>
      </c>
      <c r="D49" t="str">
        <f>IF(AND(ISNUMBER(D48),ISNUMBER(D43)),IF(D48&gt;0,D43/D48,""),"")</f>
        <v/>
      </c>
      <c r="E49" t="str">
        <f>IF(AND(ISNUMBER(E48),ISNUMBER(E43)),IF(E48&gt;0,E43/E48,""),"")</f>
        <v/>
      </c>
      <c r="F49" t="str">
        <f>IF(AND(ISNUMBER(F48),ISNUMBER(F43)),IF(F48&gt;0,F43/F48,""),"")</f>
        <v/>
      </c>
      <c r="G49" t="str">
        <f>IF(AND(ISNUMBER(G48),ISNUMBER(G43)),IF(G48&gt;0,G43/G48,""),"")</f>
        <v/>
      </c>
      <c r="H49" t="str">
        <f>IF(AND(ISNUMBER(H48),ISNUMBER(H43)),IF(H48&gt;0,H43/H48,""),"")</f>
        <v/>
      </c>
      <c r="I49" t="str">
        <f>IF(AND(ISNUMBER(I48),ISNUMBER(I43)),IF(I48&gt;0,I43/I48,""),"")</f>
        <v/>
      </c>
      <c r="J49" t="str">
        <f>IF(AND(ISNUMBER(J48),ISNUMBER(J43)),IF(J48&gt;0,J43/J48,""),"")</f>
        <v/>
      </c>
      <c r="K49" t="str">
        <f>IF(AND(ISNUMBER(K48),ISNUMBER(K43)),IF(K48&gt;0,K43/K48,""),"")</f>
        <v/>
      </c>
      <c r="L49" t="str">
        <f>IF(AND(ISNUMBER(L48),ISNUMBER(L43)),IF(L48&gt;0,L43/L48,""),"")</f>
        <v/>
      </c>
      <c r="M49" t="str">
        <f>IF(AND(ISNUMBER(M48),ISNUMBER(M43)),IF(M48&gt;0,M43/M48,""),"")</f>
        <v/>
      </c>
      <c r="N49" t="str">
        <f>IF(AND(ISNUMBER(N48),ISNUMBER(N43)),IF(N48&gt;0,N43/N48,""),"")</f>
        <v/>
      </c>
      <c r="O49" t="str">
        <f>IF(AND(ISNUMBER(O48),ISNUMBER(O43)),IF(O48&gt;0,O43/O48,""),"")</f>
        <v/>
      </c>
      <c r="P49" t="str">
        <f>IF(AND(ISNUMBER(P48),ISNUMBER(P43)),IF(P48&gt;0,P43/P48,""),"")</f>
        <v/>
      </c>
      <c r="Q49" t="str">
        <f>IF(AND(ISNUMBER(Q48),ISNUMBER(Q43)),IF(Q48&gt;0,Q43/Q48,""),"")</f>
        <v/>
      </c>
      <c r="R49" t="str">
        <f>IF(AND(ISNUMBER(R48),ISNUMBER(R43)),IF(R48&gt;0,R43/R48,""),"")</f>
        <v/>
      </c>
      <c r="S49" t="str">
        <f>IF(AND(ISNUMBER(S48),ISNUMBER(S43)),IF(S48&gt;0,S43/S48,""),"")</f>
        <v/>
      </c>
      <c r="T49" t="str">
        <f>IF(AND(ISNUMBER(T48),ISNUMBER(T43)),IF(T48&gt;0,T43/T48,""),"")</f>
        <v/>
      </c>
      <c r="U49" t="str">
        <f>IF(AND(ISNUMBER(U48),ISNUMBER(U43)),IF(U48&gt;0,U43/U48,""),"")</f>
        <v/>
      </c>
      <c r="V49" t="str">
        <f>IF(AND(ISNUMBER(V48),ISNUMBER(V43)),IF(V48&gt;0,V43/V48,""),"")</f>
        <v/>
      </c>
      <c r="W49" t="str">
        <f>IF(AND(ISNUMBER(W48),ISNUMBER(W43)),IF(W48&gt;0,W43/W48,""),"")</f>
        <v/>
      </c>
      <c r="X49" t="str">
        <f>IF(AND(ISNUMBER(X48),ISNUMBER(X43)),IF(X48&gt;0,X43/X48,""),"")</f>
        <v/>
      </c>
      <c r="Y49" t="str">
        <f>IF(AND(ISNUMBER(Y48),ISNUMBER(Y43)),IF(Y48&gt;0,Y43/Y48,""),"")</f>
        <v/>
      </c>
      <c r="Z49" t="str">
        <f>IF(AND(ISNUMBER(Z48),ISNUMBER(Z43)),IF(Z48&gt;0,Z43/Z48,""),"")</f>
        <v/>
      </c>
      <c r="AA49" t="str">
        <f>IF(AND(ISNUMBER(AA48),ISNUMBER(AA43)),IF(AA48&gt;0,AA43/AA48,""),"")</f>
        <v/>
      </c>
      <c r="AB49" t="str">
        <f>IF(AND(ISNUMBER(AB48),ISNUMBER(AB43)),IF(AB48&gt;0,AB43/AB48,""),"")</f>
        <v/>
      </c>
      <c r="AC49" t="str">
        <f>IF(AND(ISNUMBER(AC48),ISNUMBER(AC43)),IF(AC48&gt;0,AC43/AC48,""),"")</f>
        <v/>
      </c>
      <c r="AD49" t="str">
        <f>IF(AND(ISNUMBER(AD48),ISNUMBER(AD43)),IF(AD48&gt;0,AD43/AD48,""),"")</f>
        <v/>
      </c>
      <c r="AE49" t="str">
        <f>IF(AND(ISNUMBER(AE48),ISNUMBER(AE43)),IF(AE48&gt;0,AE43/AE48,""),"")</f>
        <v/>
      </c>
    </row>
    <row r="50">
      <c r="A50" t="inlineStr">
        <is>
          <t xml:space="preserve">Status</t>
        </is>
      </c>
      <c r="C50" t="str">
        <f>IF(ISNUMBER(C49),IF(C49&gt;=1,"meta atingida","abaixo da meta"),"")</f>
        <v/>
      </c>
      <c r="D50" t="str">
        <f>IF(ISNUMBER(D49),IF(D49&gt;=1,"meta atingida","abaixo da meta"),"")</f>
        <v/>
      </c>
      <c r="E50" t="str">
        <f>IF(ISNUMBER(E49),IF(E49&gt;=1,"meta atingida","abaixo da meta"),"")</f>
        <v/>
      </c>
      <c r="F50" t="str">
        <f>IF(ISNUMBER(F49),IF(F49&gt;=1,"meta atingida","abaixo da meta"),"")</f>
        <v/>
      </c>
      <c r="G50" t="str">
        <f>IF(ISNUMBER(G49),IF(G49&gt;=1,"meta atingida","abaixo da meta"),"")</f>
        <v/>
      </c>
      <c r="H50" t="str">
        <f>IF(ISNUMBER(H49),IF(H49&gt;=1,"meta atingida","abaixo da meta"),"")</f>
        <v/>
      </c>
      <c r="I50" t="str">
        <f>IF(ISNUMBER(I49),IF(I49&gt;=1,"meta atingida","abaixo da meta"),"")</f>
        <v/>
      </c>
      <c r="J50" t="str">
        <f>IF(ISNUMBER(J49),IF(J49&gt;=1,"meta atingida","abaixo da meta"),"")</f>
        <v/>
      </c>
      <c r="K50" t="str">
        <f>IF(ISNUMBER(K49),IF(K49&gt;=1,"meta atingida","abaixo da meta"),"")</f>
        <v/>
      </c>
      <c r="L50" t="str">
        <f>IF(ISNUMBER(L49),IF(L49&gt;=1,"meta atingida","abaixo da meta"),"")</f>
        <v/>
      </c>
      <c r="M50" t="str">
        <f>IF(ISNUMBER(M49),IF(M49&gt;=1,"meta atingida","abaixo da meta"),"")</f>
        <v/>
      </c>
      <c r="N50" t="str">
        <f>IF(ISNUMBER(N49),IF(N49&gt;=1,"meta atingida","abaixo da meta"),"")</f>
        <v/>
      </c>
      <c r="O50" t="str">
        <f>IF(ISNUMBER(O49),IF(O49&gt;=1,"meta atingida","abaixo da meta"),"")</f>
        <v/>
      </c>
      <c r="P50" t="str">
        <f>IF(ISNUMBER(P49),IF(P49&gt;=1,"meta atingida","abaixo da meta"),"")</f>
        <v/>
      </c>
      <c r="Q50" t="str">
        <f>IF(ISNUMBER(Q49),IF(Q49&gt;=1,"meta atingida","abaixo da meta"),"")</f>
        <v/>
      </c>
      <c r="R50" t="str">
        <f>IF(ISNUMBER(R49),IF(R49&gt;=1,"meta atingida","abaixo da meta"),"")</f>
        <v/>
      </c>
      <c r="S50" t="str">
        <f>IF(ISNUMBER(S49),IF(S49&gt;=1,"meta atingida","abaixo da meta"),"")</f>
        <v/>
      </c>
      <c r="T50" t="str">
        <f>IF(ISNUMBER(T49),IF(T49&gt;=1,"meta atingida","abaixo da meta"),"")</f>
        <v/>
      </c>
      <c r="U50" t="str">
        <f>IF(AND(ISNUMBER(U48),ISNUMBER(U43)),IF(U43&lt;=U48,"dentro do limite","acima do limite"),"")</f>
        <v/>
      </c>
      <c r="V50" t="str">
        <f>IF(AND(ISNUMBER(V48),ISNUMBER(V43)),IF(V43&lt;=V48,"dentro do limite","acima do limite"),"")</f>
        <v/>
      </c>
      <c r="W50" t="str">
        <f>IF(AND(ISNUMBER(W48),ISNUMBER(W43)),IF(W43&lt;=W48,"dentro do limite","acima do limite"),"")</f>
        <v/>
      </c>
      <c r="X50" t="str">
        <f>IF(ISNUMBER(X49),IF(X49&gt;=1,"meta atingida","abaixo da meta"),"")</f>
        <v/>
      </c>
      <c r="Y50" t="str">
        <f>IF(ISNUMBER(Y49),IF(Y49&gt;=1,"meta atingida","abaixo da meta"),"")</f>
        <v/>
      </c>
      <c r="Z50" t="str">
        <f>IF(ISNUMBER(Z43),IF(Z43&gt;=$B$6,"crítico",IF(Z43&gt;=$B$5,"atenção","dentro da faixa")),"")</f>
        <v/>
      </c>
      <c r="AA50" t="str">
        <f>IF(ISNUMBER(AA49),IF(AA49&gt;=1,"meta atingida","abaixo da meta"),"")</f>
        <v/>
      </c>
      <c r="AB50" t="str">
        <f>IF(AND(ISNUMBER(AB48),ISNUMBER(AB43)),IF(AB43&lt;=AB48,"dentro do limite","acima do limite"),"")</f>
        <v/>
      </c>
      <c r="AC50" t="str">
        <f>IF(ISNUMBER(AC49),IF(AC49&gt;=1,"meta atingida","abaixo da meta"),"")</f>
        <v/>
      </c>
      <c r="AD50" t="str">
        <f>IF(ISNUMBER(AD49),IF(AD49&gt;=1,"meta atingida","abaixo da meta"),"")</f>
        <v/>
      </c>
      <c r="AE50" t="str">
        <f>IF(AND(ISNUMBER(AE48),ISNUMBER(AE43)),IF(AE43&lt;=AE48,"dentro do limite","acima do limite"),"")</f>
        <v/>
      </c>
    </row>
    <row r="53">
      <c r="A53" t="inlineStr">
        <is>
          <t xml:space="preserve">METAS DO MÊS por indicador (edite as células amarelas; vazio = sem meta). Taxa de ocupação: meta em %.</t>
        </is>
      </c>
    </row>
    <row r="54">
      <c r="A54" s="145" t="inlineStr">
        <is>
          <t xml:space="preserve">Indicador</t>
        </is>
      </c>
      <c r="B54" s="145" t="inlineStr">
        <is>
          <t xml:space="preserve">Todos</t>
        </is>
      </c>
      <c r="C54" s="145" t="inlineStr">
        <is>
          <t xml:space="preserve">BASF</t>
        </is>
      </c>
      <c r="D54" s="145" t="inlineStr">
        <is>
          <t xml:space="preserve">BEAUTYBIZ</t>
        </is>
      </c>
      <c r="E54" s="145" t="inlineStr">
        <is>
          <t xml:space="preserve">BOTICÁRIO</t>
        </is>
      </c>
      <c r="F54" s="145" t="inlineStr">
        <is>
          <t xml:space="preserve">SUPPLY</t>
        </is>
      </c>
      <c r="G54" s="145" t="inlineStr">
        <is>
          <t xml:space="preserve">GE VERNOVA</t>
        </is>
      </c>
      <c r="H54" s="145" t="inlineStr">
        <is>
          <t xml:space="preserve">VESTAS</t>
        </is>
      </c>
      <c r="I54" s="145" t="inlineStr">
        <is>
          <t xml:space="preserve">VEDACIT</t>
        </is>
      </c>
      <c r="J54" s="145" t="inlineStr">
        <is>
          <t xml:space="preserve">OMNLIFE</t>
        </is>
      </c>
      <c r="K54" s="145" t="inlineStr">
        <is>
          <t xml:space="preserve">ALPARGATAS</t>
        </is>
      </c>
    </row>
    <row r="55">
      <c r="A55" t="inlineStr">
        <is>
          <t xml:space="preserve">IN Veículos Recebidos</t>
        </is>
      </c>
      <c r="B55" s="160"/>
      <c r="C55" s="160"/>
      <c r="D55" s="160"/>
      <c r="E55" s="160"/>
      <c r="F55" s="160"/>
      <c r="G55" s="160"/>
      <c r="H55" s="160"/>
      <c r="I55" s="160"/>
      <c r="J55" s="160"/>
      <c r="K55" s="160"/>
    </row>
    <row r="56">
      <c r="A56" t="inlineStr">
        <is>
          <t xml:space="preserve">IN Pallets Movimentados</t>
        </is>
      </c>
      <c r="B56" s="160"/>
      <c r="C56" s="160"/>
      <c r="D56" s="160"/>
      <c r="E56" s="160"/>
      <c r="F56" s="160"/>
      <c r="G56" s="160"/>
      <c r="H56" s="160"/>
      <c r="I56" s="160"/>
      <c r="J56" s="160"/>
      <c r="K56" s="160"/>
    </row>
    <row r="57">
      <c r="A57" t="inlineStr">
        <is>
          <t xml:space="preserve">IN Toneladas Movimentadas</t>
        </is>
      </c>
      <c r="B57" s="160"/>
      <c r="C57" s="160"/>
      <c r="D57" s="160"/>
      <c r="E57" s="160"/>
      <c r="F57" s="160"/>
      <c r="G57" s="160"/>
      <c r="H57" s="160"/>
      <c r="I57" s="160"/>
      <c r="J57" s="160"/>
      <c r="K57" s="160"/>
    </row>
    <row r="58">
      <c r="A58" t="inlineStr">
        <is>
          <t xml:space="preserve">IN Caixas Movimentadas</t>
        </is>
      </c>
      <c r="B58" s="160"/>
      <c r="C58" s="160"/>
      <c r="D58" s="160"/>
      <c r="E58" s="160"/>
      <c r="F58" s="160"/>
      <c r="G58" s="160"/>
      <c r="H58" s="160"/>
      <c r="I58" s="160"/>
      <c r="J58" s="160"/>
      <c r="K58" s="160"/>
    </row>
    <row r="59">
      <c r="A59" t="inlineStr">
        <is>
          <t xml:space="preserve">IN Itens Recebidos CX Mista</t>
        </is>
      </c>
      <c r="B59" s="160"/>
      <c r="C59" s="160"/>
      <c r="D59" s="160"/>
      <c r="E59" s="160"/>
      <c r="F59" s="160"/>
      <c r="G59" s="160"/>
      <c r="H59" s="160"/>
      <c r="I59" s="160"/>
      <c r="J59" s="160"/>
      <c r="K59" s="160"/>
    </row>
    <row r="60">
      <c r="A60" t="inlineStr">
        <is>
          <t xml:space="preserve">IN Caixas Mistas Recebidas</t>
        </is>
      </c>
      <c r="B60" s="160"/>
      <c r="C60" s="160"/>
      <c r="D60" s="160"/>
      <c r="E60" s="160"/>
      <c r="F60" s="160"/>
      <c r="G60" s="160"/>
      <c r="H60" s="160"/>
      <c r="I60" s="160"/>
      <c r="J60" s="160"/>
      <c r="K60" s="160"/>
    </row>
    <row r="61">
      <c r="A61" t="inlineStr">
        <is>
          <t xml:space="preserve">IN Caixas Fechadas</t>
        </is>
      </c>
      <c r="B61" s="160"/>
      <c r="C61" s="160"/>
      <c r="D61" s="160"/>
      <c r="E61" s="160"/>
      <c r="F61" s="160"/>
      <c r="G61" s="160"/>
      <c r="H61" s="160"/>
      <c r="I61" s="160"/>
      <c r="J61" s="160"/>
      <c r="K61" s="160"/>
    </row>
    <row r="62">
      <c r="A62" t="inlineStr">
        <is>
          <t xml:space="preserve">IN Peças Movimentadas</t>
        </is>
      </c>
      <c r="B62" s="160"/>
      <c r="C62" s="160"/>
      <c r="D62" s="160"/>
      <c r="E62" s="160"/>
      <c r="F62" s="160"/>
      <c r="G62" s="160"/>
      <c r="H62" s="160"/>
      <c r="I62" s="160"/>
      <c r="J62" s="160"/>
      <c r="K62" s="160"/>
    </row>
    <row r="63">
      <c r="A63" t="inlineStr">
        <is>
          <t xml:space="preserve">IN Linhas NF</t>
        </is>
      </c>
      <c r="B63" s="160"/>
      <c r="C63" s="160"/>
      <c r="D63" s="160"/>
      <c r="E63" s="160"/>
      <c r="F63" s="160"/>
      <c r="G63" s="160"/>
      <c r="H63" s="160"/>
      <c r="I63" s="160"/>
      <c r="J63" s="160"/>
      <c r="K63" s="160"/>
    </row>
    <row r="64">
      <c r="A64" t="inlineStr">
        <is>
          <t xml:space="preserve">OUT Veículos Expedidos</t>
        </is>
      </c>
      <c r="B64" s="160"/>
      <c r="C64" s="160"/>
      <c r="D64" s="160"/>
      <c r="E64" s="160"/>
      <c r="F64" s="160"/>
      <c r="G64" s="160"/>
      <c r="H64" s="160"/>
      <c r="I64" s="160"/>
      <c r="J64" s="160"/>
      <c r="K64" s="160"/>
    </row>
    <row r="65">
      <c r="A65" t="inlineStr">
        <is>
          <t xml:space="preserve">OUT Pallets Movimentados</t>
        </is>
      </c>
      <c r="B65" s="160"/>
      <c r="C65" s="160"/>
      <c r="D65" s="160"/>
      <c r="E65" s="160"/>
      <c r="F65" s="160"/>
      <c r="G65" s="160"/>
      <c r="H65" s="160"/>
      <c r="I65" s="160"/>
      <c r="J65" s="160"/>
      <c r="K65" s="160"/>
    </row>
    <row r="66">
      <c r="A66" t="inlineStr">
        <is>
          <t xml:space="preserve">OUT Toneladas Movimentadas</t>
        </is>
      </c>
      <c r="B66" s="160"/>
      <c r="C66" s="160"/>
      <c r="D66" s="160"/>
      <c r="E66" s="160"/>
      <c r="F66" s="160"/>
      <c r="G66" s="160"/>
      <c r="H66" s="160"/>
      <c r="I66" s="160"/>
      <c r="J66" s="160"/>
      <c r="K66" s="160"/>
    </row>
    <row r="67">
      <c r="A67" t="inlineStr">
        <is>
          <t xml:space="preserve">OUT Caixas Expedidas</t>
        </is>
      </c>
      <c r="B67" s="160"/>
      <c r="C67" s="160"/>
      <c r="D67" s="160"/>
      <c r="E67" s="160"/>
      <c r="F67" s="160"/>
      <c r="G67" s="160"/>
      <c r="H67" s="160"/>
      <c r="I67" s="160"/>
      <c r="J67" s="160"/>
      <c r="K67" s="160"/>
    </row>
    <row r="68">
      <c r="A68" t="inlineStr">
        <is>
          <t xml:space="preserve">OUT Pedidos Expedidos</t>
        </is>
      </c>
      <c r="B68" s="160"/>
      <c r="C68" s="160"/>
      <c r="D68" s="160"/>
      <c r="E68" s="160"/>
      <c r="F68" s="160"/>
      <c r="G68" s="160"/>
      <c r="H68" s="160"/>
      <c r="I68" s="160"/>
      <c r="J68" s="160"/>
      <c r="K68" s="160"/>
    </row>
    <row r="69">
      <c r="A69" t="inlineStr">
        <is>
          <t xml:space="preserve">OUT Pedidos Faturados</t>
        </is>
      </c>
      <c r="B69" s="160"/>
      <c r="C69" s="160"/>
      <c r="D69" s="160"/>
      <c r="E69" s="160"/>
      <c r="F69" s="160"/>
      <c r="G69" s="160"/>
      <c r="H69" s="160"/>
      <c r="I69" s="160"/>
      <c r="J69" s="160"/>
      <c r="K69" s="160"/>
    </row>
    <row r="70">
      <c r="A70" t="inlineStr">
        <is>
          <t xml:space="preserve">OUT Itens Expedidos</t>
        </is>
      </c>
      <c r="B70" s="160"/>
      <c r="C70" s="160"/>
      <c r="D70" s="160"/>
      <c r="E70" s="160"/>
      <c r="F70" s="160"/>
      <c r="G70" s="160"/>
      <c r="H70" s="160"/>
      <c r="I70" s="160"/>
      <c r="J70" s="160"/>
      <c r="K70" s="160"/>
    </row>
    <row r="71">
      <c r="A71" t="inlineStr">
        <is>
          <t xml:space="preserve">OUT Peças Movimentadas</t>
        </is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</row>
    <row r="72">
      <c r="A72" t="inlineStr">
        <is>
          <t xml:space="preserve">OUT Linhas NF</t>
        </is>
      </c>
      <c r="B72" s="160"/>
      <c r="C72" s="160"/>
      <c r="D72" s="160"/>
      <c r="E72" s="160"/>
      <c r="F72" s="160"/>
      <c r="G72" s="160"/>
      <c r="H72" s="160"/>
      <c r="I72" s="160"/>
      <c r="J72" s="160"/>
      <c r="K72" s="160"/>
    </row>
    <row r="73">
      <c r="A73" t="inlineStr">
        <is>
          <t xml:space="preserve">NC Incidentes</t>
        </is>
      </c>
      <c r="B73" s="160"/>
      <c r="C73" s="160"/>
      <c r="D73" s="160"/>
      <c r="E73" s="160"/>
      <c r="F73" s="160"/>
      <c r="G73" s="160"/>
      <c r="H73" s="160"/>
      <c r="I73" s="160"/>
      <c r="J73" s="160"/>
      <c r="K73" s="160"/>
    </row>
    <row r="74">
      <c r="A74" t="inlineStr">
        <is>
          <t xml:space="preserve">NC No show</t>
        </is>
      </c>
      <c r="B74" s="160"/>
      <c r="C74" s="160"/>
      <c r="D74" s="160"/>
      <c r="E74" s="160"/>
      <c r="F74" s="160"/>
      <c r="G74" s="160"/>
      <c r="H74" s="160"/>
      <c r="I74" s="160"/>
      <c r="J74" s="160"/>
      <c r="K74" s="160"/>
    </row>
    <row r="75">
      <c r="A75" t="inlineStr">
        <is>
          <t xml:space="preserve">NC Backlog</t>
        </is>
      </c>
      <c r="B75" s="160"/>
      <c r="C75" s="160"/>
      <c r="D75" s="160"/>
      <c r="E75" s="160"/>
      <c r="F75" s="160"/>
      <c r="G75" s="160"/>
      <c r="H75" s="160"/>
      <c r="I75" s="160"/>
      <c r="J75" s="160"/>
      <c r="K75" s="160"/>
    </row>
    <row r="76">
      <c r="A76" t="inlineStr">
        <is>
          <t xml:space="preserve">Posições Disponíveis</t>
        </is>
      </c>
      <c r="B76" s="160"/>
      <c r="C76" s="160"/>
      <c r="D76" s="160"/>
      <c r="E76" s="160"/>
      <c r="F76" s="160"/>
      <c r="G76" s="160"/>
      <c r="H76" s="160"/>
      <c r="I76" s="160"/>
      <c r="J76" s="160"/>
      <c r="K76" s="160"/>
    </row>
    <row r="77">
      <c r="A77" t="inlineStr">
        <is>
          <t xml:space="preserve">Posições Ocupadas</t>
        </is>
      </c>
      <c r="B77" s="160"/>
      <c r="C77" s="160"/>
      <c r="D77" s="160"/>
      <c r="E77" s="160"/>
      <c r="F77" s="160"/>
      <c r="G77" s="160"/>
      <c r="H77" s="160"/>
      <c r="I77" s="160"/>
      <c r="J77" s="160"/>
      <c r="K77" s="160"/>
    </row>
    <row r="78">
      <c r="A78" t="inlineStr">
        <is>
          <t xml:space="preserve">Taxa de Ocupação</t>
        </is>
      </c>
      <c r="B78" s="160"/>
      <c r="C78" s="160"/>
      <c r="D78" s="160"/>
      <c r="E78" s="160"/>
      <c r="F78" s="160"/>
      <c r="G78" s="160"/>
      <c r="H78" s="160"/>
      <c r="I78" s="160"/>
      <c r="J78" s="160"/>
      <c r="K78" s="160"/>
    </row>
    <row r="79">
      <c r="A79" t="inlineStr">
        <is>
          <t xml:space="preserve">Efetivo</t>
        </is>
      </c>
      <c r="B79" s="160"/>
      <c r="C79" s="160"/>
      <c r="D79" s="160"/>
      <c r="E79" s="160"/>
      <c r="F79" s="160"/>
      <c r="G79" s="160"/>
      <c r="H79" s="160"/>
      <c r="I79" s="160"/>
      <c r="J79" s="160"/>
      <c r="K79" s="160"/>
    </row>
    <row r="80">
      <c r="A80" t="inlineStr">
        <is>
          <t xml:space="preserve">Falta</t>
        </is>
      </c>
      <c r="B80" s="160"/>
      <c r="C80" s="160"/>
      <c r="D80" s="160"/>
      <c r="E80" s="160"/>
      <c r="F80" s="160"/>
      <c r="G80" s="160"/>
      <c r="H80" s="160"/>
      <c r="I80" s="160"/>
      <c r="J80" s="160"/>
      <c r="K80" s="160"/>
    </row>
    <row r="81">
      <c r="A81" t="inlineStr">
        <is>
          <t xml:space="preserve">Folga</t>
        </is>
      </c>
      <c r="B81" s="160"/>
      <c r="C81" s="160"/>
      <c r="D81" s="160"/>
      <c r="E81" s="160"/>
      <c r="F81" s="160"/>
      <c r="G81" s="160"/>
      <c r="H81" s="160"/>
      <c r="I81" s="160"/>
      <c r="J81" s="160"/>
      <c r="K81" s="160"/>
    </row>
    <row r="82">
      <c r="A82" t="inlineStr">
        <is>
          <t xml:space="preserve">Férias</t>
        </is>
      </c>
      <c r="B82" s="160"/>
      <c r="C82" s="160"/>
      <c r="D82" s="160"/>
      <c r="E82" s="160"/>
      <c r="F82" s="160"/>
      <c r="G82" s="160"/>
      <c r="H82" s="160"/>
      <c r="I82" s="160"/>
      <c r="J82" s="160"/>
      <c r="K82" s="160"/>
    </row>
    <row r="83">
      <c r="A83" t="inlineStr">
        <is>
          <t xml:space="preserve">Desligamentos</t>
        </is>
      </c>
      <c r="B83" s="160"/>
      <c r="C83" s="160"/>
      <c r="D83" s="160"/>
      <c r="E83" s="160"/>
      <c r="F83" s="160"/>
      <c r="G83" s="160"/>
      <c r="H83" s="160"/>
      <c r="I83" s="160"/>
      <c r="J83" s="160"/>
      <c r="K83" s="160"/>
    </row>
    <row r="86">
      <c r="F86" s="145" t="inlineStr">
        <is>
          <t xml:space="preserve">Semana</t>
        </is>
      </c>
      <c r="G86" s="145" t="inlineStr">
        <is>
          <t xml:space="preserve">Do dia</t>
        </is>
      </c>
      <c r="H86" s="145" t="inlineStr">
        <is>
          <t xml:space="preserve">Ao dia</t>
        </is>
      </c>
      <c r="I86" s="145" t="inlineStr">
        <is>
          <t xml:space="preserve">IN</t>
        </is>
      </c>
      <c r="J86" s="145" t="inlineStr">
        <is>
          <t xml:space="preserve">OUT</t>
        </is>
      </c>
    </row>
    <row r="87">
      <c r="F87" t="inlineStr">
        <is>
          <t xml:space="preserve">Sem 1 (01–07)</t>
        </is>
      </c>
      <c r="G87">
        <v>1</v>
      </c>
      <c r="H87">
        <v>7</v>
      </c>
      <c r="I87">
        <f>SUMIFS($AG$12:$AG$42,$A$12:$A$42,"&gt;="&amp;$G87,$A$12:$A$42,"&lt;="&amp;$H87)</f>
        <v>0</v>
      </c>
      <c r="J87">
        <f>SUMIFS($AH$12:$AH$42,$A$12:$A$42,"&gt;="&amp;$G87,$A$12:$A$42,"&lt;="&amp;$H87)</f>
        <v>0</v>
      </c>
    </row>
    <row r="88">
      <c r="F88" t="inlineStr">
        <is>
          <t xml:space="preserve">Sem 2 (08–14)</t>
        </is>
      </c>
      <c r="G88">
        <v>8</v>
      </c>
      <c r="H88">
        <v>14</v>
      </c>
      <c r="I88">
        <f>SUMIFS($AG$12:$AG$42,$A$12:$A$42,"&gt;="&amp;$G88,$A$12:$A$42,"&lt;="&amp;$H88)</f>
        <v>0</v>
      </c>
      <c r="J88">
        <f>SUMIFS($AH$12:$AH$42,$A$12:$A$42,"&gt;="&amp;$G88,$A$12:$A$42,"&lt;="&amp;$H88)</f>
        <v>0</v>
      </c>
    </row>
    <row r="89">
      <c r="F89" t="inlineStr">
        <is>
          <t xml:space="preserve">Sem 3 (15–21)</t>
        </is>
      </c>
      <c r="G89">
        <v>15</v>
      </c>
      <c r="H89">
        <v>21</v>
      </c>
      <c r="I89">
        <f>SUMIFS($AG$12:$AG$42,$A$12:$A$42,"&gt;="&amp;$G89,$A$12:$A$42,"&lt;="&amp;$H89)</f>
        <v>0</v>
      </c>
      <c r="J89">
        <f>SUMIFS($AH$12:$AH$42,$A$12:$A$42,"&gt;="&amp;$G89,$A$12:$A$42,"&lt;="&amp;$H89)</f>
        <v>0</v>
      </c>
    </row>
    <row r="90">
      <c r="F90" t="inlineStr">
        <is>
          <t xml:space="preserve">Sem 4 (22–28)</t>
        </is>
      </c>
      <c r="G90">
        <v>22</v>
      </c>
      <c r="H90">
        <v>28</v>
      </c>
      <c r="I90">
        <f>SUMIFS($AG$12:$AG$42,$A$12:$A$42,"&gt;="&amp;$G90,$A$12:$A$42,"&lt;="&amp;$H90)</f>
        <v>0</v>
      </c>
      <c r="J90">
        <f>SUMIFS($AH$12:$AH$42,$A$12:$A$42,"&gt;="&amp;$G90,$A$12:$A$42,"&lt;="&amp;$H90)</f>
        <v>0</v>
      </c>
    </row>
    <row r="91">
      <c r="F91" t="str">
        <f>IF(DAY($D$7)&lt;29,"Sem 5 (—)","Sem 5 (29–"&amp;DAY($D$7)&amp;")")</f>
        <v>Sem 5 (29–30)</v>
      </c>
      <c r="G91">
        <v>29</v>
      </c>
      <c r="H91">
        <f>DAY($D$7)</f>
        <v>30</v>
      </c>
      <c r="I91">
        <f>SUMIFS($AG$12:$AG$42,$A$12:$A$42,"&gt;="&amp;$G91,$A$12:$A$42,"&lt;="&amp;$H91)</f>
        <v>0</v>
      </c>
      <c r="J91">
        <f>SUMIFS($AH$12:$AH$42,$A$12:$A$42,"&gt;="&amp;$G91,$A$12:$A$42,"&lt;="&amp;$H91)</f>
        <v>0</v>
      </c>
    </row>
    <row r="94">
      <c r="A94" t="inlineStr">
        <is>
          <t xml:space="preserve">POR CLIENTE — mês inteiro (todos os clientes, independe do filtro). Estoque = último dado do mês. "—" = indicador não usado pelo cliente.</t>
        </is>
      </c>
    </row>
    <row r="95">
      <c r="A95" s="145" t="inlineStr">
        <is>
          <t xml:space="preserve">Indicador</t>
        </is>
      </c>
      <c r="B95" s="145" t="inlineStr">
        <is>
          <t xml:space="preserve">BASF</t>
        </is>
      </c>
      <c r="C95" s="145" t="inlineStr">
        <is>
          <t xml:space="preserve">BEAUTYBIZ</t>
        </is>
      </c>
      <c r="D95" s="145" t="inlineStr">
        <is>
          <t xml:space="preserve">BOTICÁRIO</t>
        </is>
      </c>
      <c r="E95" s="145" t="inlineStr">
        <is>
          <t xml:space="preserve">SUPPLY</t>
        </is>
      </c>
      <c r="F95" s="145" t="inlineStr">
        <is>
          <t xml:space="preserve">GE VERNOVA</t>
        </is>
      </c>
      <c r="G95" s="145" t="inlineStr">
        <is>
          <t xml:space="preserve">VESTAS</t>
        </is>
      </c>
      <c r="H95" s="145" t="inlineStr">
        <is>
          <t xml:space="preserve">VEDACIT</t>
        </is>
      </c>
      <c r="I95" s="145" t="inlineStr">
        <is>
          <t xml:space="preserve">OMNLIFE</t>
        </is>
      </c>
      <c r="J95" s="145" t="inlineStr">
        <is>
          <t xml:space="preserve">ALPARGATAS</t>
        </is>
      </c>
      <c r="K95" s="145" t="inlineStr">
        <is>
          <t xml:space="preserve">TOTAL CD</t>
        </is>
      </c>
    </row>
    <row r="96">
      <c r="A96" t="inlineStr">
        <is>
          <t xml:space="preserve">IN Veículos Recebidos</t>
        </is>
      </c>
      <c r="B96">
        <f>SUMIFS(Base!$C$3:$C$5001,Base!$B$3:$B$5001,B$95,Base!$A$3:$A$5001,"&gt;="&amp;$C$7,Base!$A$3:$A$5001,"&lt;="&amp;$D$7)</f>
        <v>0</v>
      </c>
      <c r="C96">
        <f>SUMIFS(Base!$C$3:$C$5001,Base!$B$3:$B$5001,C$95,Base!$A$3:$A$5001,"&gt;="&amp;$C$7,Base!$A$3:$A$5001,"&lt;="&amp;$D$7)</f>
        <v>0</v>
      </c>
      <c r="D96">
        <f>SUMIFS(Base!$C$3:$C$5001,Base!$B$3:$B$5001,D$95,Base!$A$3:$A$5001,"&gt;="&amp;$C$7,Base!$A$3:$A$5001,"&lt;="&amp;$D$7)</f>
        <v>0</v>
      </c>
      <c r="E96">
        <f>SUMIFS(Base!$C$3:$C$5001,Base!$B$3:$B$5001,E$95,Base!$A$3:$A$5001,"&gt;="&amp;$C$7,Base!$A$3:$A$5001,"&lt;="&amp;$D$7)</f>
        <v>0</v>
      </c>
      <c r="F96">
        <f>SUMIFS(Base!$C$3:$C$5001,Base!$B$3:$B$5001,F$95,Base!$A$3:$A$5001,"&gt;="&amp;$C$7,Base!$A$3:$A$5001,"&lt;="&amp;$D$7)</f>
        <v>0</v>
      </c>
      <c r="G96">
        <f>SUMIFS(Base!$C$3:$C$5001,Base!$B$3:$B$5001,G$95,Base!$A$3:$A$5001,"&gt;="&amp;$C$7,Base!$A$3:$A$5001,"&lt;="&amp;$D$7)</f>
        <v>0</v>
      </c>
      <c r="H96">
        <f>SUMIFS(Base!$C$3:$C$5001,Base!$B$3:$B$5001,H$95,Base!$A$3:$A$5001,"&gt;="&amp;$C$7,Base!$A$3:$A$5001,"&lt;="&amp;$D$7)</f>
        <v>0</v>
      </c>
      <c r="I96">
        <f>SUMIFS(Base!$C$3:$C$5001,Base!$B$3:$B$5001,I$95,Base!$A$3:$A$5001,"&gt;="&amp;$C$7,Base!$A$3:$A$5001,"&lt;="&amp;$D$7)</f>
        <v>0</v>
      </c>
      <c r="J96">
        <f>SUMIFS(Base!$C$3:$C$5001,Base!$B$3:$B$5001,J$95,Base!$A$3:$A$5001,"&gt;="&amp;$C$7,Base!$A$3:$A$5001,"&lt;="&amp;$D$7)</f>
        <v>0</v>
      </c>
      <c r="K96">
        <f>SUM(B96:J96)</f>
        <v>0</v>
      </c>
    </row>
    <row r="97">
      <c r="A97" t="inlineStr">
        <is>
          <t xml:space="preserve">IN Pallets Movimentados</t>
        </is>
      </c>
      <c r="B97">
        <f>SUMIFS(Base!$D$3:$D$5001,Base!$B$3:$B$5001,B$95,Base!$A$3:$A$5001,"&gt;="&amp;$C$7,Base!$A$3:$A$5001,"&lt;="&amp;$D$7)</f>
        <v>0</v>
      </c>
      <c r="C97">
        <f>SUMIFS(Base!$D$3:$D$5001,Base!$B$3:$B$5001,C$95,Base!$A$3:$A$5001,"&gt;="&amp;$C$7,Base!$A$3:$A$5001,"&lt;="&amp;$D$7)</f>
        <v>0</v>
      </c>
      <c r="D97" t="inlineStr">
        <is>
          <t xml:space="preserve">—</t>
        </is>
      </c>
      <c r="E97">
        <f>SUMIFS(Base!$D$3:$D$5001,Base!$B$3:$B$5001,E$95,Base!$A$3:$A$5001,"&gt;="&amp;$C$7,Base!$A$3:$A$5001,"&lt;="&amp;$D$7)</f>
        <v>0</v>
      </c>
      <c r="F97">
        <f>SUMIFS(Base!$D$3:$D$5001,Base!$B$3:$B$5001,F$95,Base!$A$3:$A$5001,"&gt;="&amp;$C$7,Base!$A$3:$A$5001,"&lt;="&amp;$D$7)</f>
        <v>0</v>
      </c>
      <c r="G97" t="inlineStr">
        <is>
          <t xml:space="preserve">—</t>
        </is>
      </c>
      <c r="H97">
        <f>SUMIFS(Base!$D$3:$D$5001,Base!$B$3:$B$5001,H$95,Base!$A$3:$A$5001,"&gt;="&amp;$C$7,Base!$A$3:$A$5001,"&lt;="&amp;$D$7)</f>
        <v>0</v>
      </c>
      <c r="I97">
        <f>SUMIFS(Base!$D$3:$D$5001,Base!$B$3:$B$5001,I$95,Base!$A$3:$A$5001,"&gt;="&amp;$C$7,Base!$A$3:$A$5001,"&lt;="&amp;$D$7)</f>
        <v>0</v>
      </c>
      <c r="J97" t="inlineStr">
        <is>
          <t xml:space="preserve">—</t>
        </is>
      </c>
      <c r="K97">
        <f>SUM(B97:J97)</f>
        <v>0</v>
      </c>
    </row>
    <row r="98">
      <c r="A98" t="inlineStr">
        <is>
          <t xml:space="preserve">IN Toneladas Movimentadas</t>
        </is>
      </c>
      <c r="B98">
        <f>SUMIFS(Base!$E$3:$E$5001,Base!$B$3:$B$5001,B$95,Base!$A$3:$A$5001,"&gt;="&amp;$C$7,Base!$A$3:$A$5001,"&lt;="&amp;$D$7)</f>
        <v>0</v>
      </c>
      <c r="C98" t="inlineStr">
        <is>
          <t xml:space="preserve">—</t>
        </is>
      </c>
      <c r="D98" t="inlineStr">
        <is>
          <t xml:space="preserve">—</t>
        </is>
      </c>
      <c r="E98">
        <f>SUMIFS(Base!$E$3:$E$5001,Base!$B$3:$B$5001,E$95,Base!$A$3:$A$5001,"&gt;="&amp;$C$7,Base!$A$3:$A$5001,"&lt;="&amp;$D$7)</f>
        <v>0</v>
      </c>
      <c r="F98" t="inlineStr">
        <is>
          <t xml:space="preserve">—</t>
        </is>
      </c>
      <c r="G98" t="inlineStr">
        <is>
          <t xml:space="preserve">—</t>
        </is>
      </c>
      <c r="H98" t="inlineStr">
        <is>
          <t xml:space="preserve">—</t>
        </is>
      </c>
      <c r="I98" t="inlineStr">
        <is>
          <t xml:space="preserve">—</t>
        </is>
      </c>
      <c r="J98" t="inlineStr">
        <is>
          <t xml:space="preserve">—</t>
        </is>
      </c>
      <c r="K98">
        <f>SUM(B98:J98)</f>
        <v>0</v>
      </c>
    </row>
    <row r="99">
      <c r="A99" t="inlineStr">
        <is>
          <t xml:space="preserve">IN Caixas Movimentadas</t>
        </is>
      </c>
      <c r="B99" t="inlineStr">
        <is>
          <t xml:space="preserve">—</t>
        </is>
      </c>
      <c r="C99">
        <f>SUMIFS(Base!$F$3:$F$5001,Base!$B$3:$B$5001,C$95,Base!$A$3:$A$5001,"&gt;="&amp;$C$7,Base!$A$3:$A$5001,"&lt;="&amp;$D$7)</f>
        <v>0</v>
      </c>
      <c r="D99" t="inlineStr">
        <is>
          <t xml:space="preserve">—</t>
        </is>
      </c>
      <c r="E99" t="inlineStr">
        <is>
          <t xml:space="preserve">—</t>
        </is>
      </c>
      <c r="F99" t="inlineStr">
        <is>
          <t xml:space="preserve">—</t>
        </is>
      </c>
      <c r="G99" t="inlineStr">
        <is>
          <t xml:space="preserve">—</t>
        </is>
      </c>
      <c r="H99" t="inlineStr">
        <is>
          <t xml:space="preserve">—</t>
        </is>
      </c>
      <c r="I99" t="inlineStr">
        <is>
          <t xml:space="preserve">—</t>
        </is>
      </c>
      <c r="J99">
        <f>SUMIFS(Base!$F$3:$F$5001,Base!$B$3:$B$5001,J$95,Base!$A$3:$A$5001,"&gt;="&amp;$C$7,Base!$A$3:$A$5001,"&lt;="&amp;$D$7)</f>
        <v>0</v>
      </c>
      <c r="K99">
        <f>SUM(B99:J99)</f>
        <v>0</v>
      </c>
    </row>
    <row r="100">
      <c r="A100" t="inlineStr">
        <is>
          <t xml:space="preserve">IN Itens Recebidos CX Mista</t>
        </is>
      </c>
      <c r="B100" t="inlineStr">
        <is>
          <t xml:space="preserve">—</t>
        </is>
      </c>
      <c r="C100" t="inlineStr">
        <is>
          <t xml:space="preserve">—</t>
        </is>
      </c>
      <c r="D100">
        <f>SUMIFS(Base!$G$3:$G$5001,Base!$B$3:$B$5001,D$95,Base!$A$3:$A$5001,"&gt;="&amp;$C$7,Base!$A$3:$A$5001,"&lt;="&amp;$D$7)</f>
        <v>0</v>
      </c>
      <c r="E100" t="inlineStr">
        <is>
          <t xml:space="preserve">—</t>
        </is>
      </c>
      <c r="F100" t="inlineStr">
        <is>
          <t xml:space="preserve">—</t>
        </is>
      </c>
      <c r="G100" t="inlineStr">
        <is>
          <t xml:space="preserve">—</t>
        </is>
      </c>
      <c r="H100" t="inlineStr">
        <is>
          <t xml:space="preserve">—</t>
        </is>
      </c>
      <c r="I100" t="inlineStr">
        <is>
          <t xml:space="preserve">—</t>
        </is>
      </c>
      <c r="J100" t="inlineStr">
        <is>
          <t xml:space="preserve">—</t>
        </is>
      </c>
      <c r="K100">
        <f>SUM(B100:J100)</f>
        <v>0</v>
      </c>
    </row>
    <row r="101">
      <c r="A101" t="inlineStr">
        <is>
          <t xml:space="preserve">IN Caixas Mistas Recebidas</t>
        </is>
      </c>
      <c r="B101" t="inlineStr">
        <is>
          <t xml:space="preserve">—</t>
        </is>
      </c>
      <c r="C101" t="inlineStr">
        <is>
          <t xml:space="preserve">—</t>
        </is>
      </c>
      <c r="D101">
        <f>SUMIFS(Base!$H$3:$H$5001,Base!$B$3:$B$5001,D$95,Base!$A$3:$A$5001,"&gt;="&amp;$C$7,Base!$A$3:$A$5001,"&lt;="&amp;$D$7)</f>
        <v>0</v>
      </c>
      <c r="E101" t="inlineStr">
        <is>
          <t xml:space="preserve">—</t>
        </is>
      </c>
      <c r="F101" t="inlineStr">
        <is>
          <t xml:space="preserve">—</t>
        </is>
      </c>
      <c r="G101" t="inlineStr">
        <is>
          <t xml:space="preserve">—</t>
        </is>
      </c>
      <c r="H101" t="inlineStr">
        <is>
          <t xml:space="preserve">—</t>
        </is>
      </c>
      <c r="I101" t="inlineStr">
        <is>
          <t xml:space="preserve">—</t>
        </is>
      </c>
      <c r="J101" t="inlineStr">
        <is>
          <t xml:space="preserve">—</t>
        </is>
      </c>
      <c r="K101">
        <f>SUM(B101:J101)</f>
        <v>0</v>
      </c>
    </row>
    <row r="102">
      <c r="A102" t="inlineStr">
        <is>
          <t xml:space="preserve">IN Caixas Fechadas</t>
        </is>
      </c>
      <c r="B102" t="inlineStr">
        <is>
          <t xml:space="preserve">—</t>
        </is>
      </c>
      <c r="C102" t="inlineStr">
        <is>
          <t xml:space="preserve">—</t>
        </is>
      </c>
      <c r="D102">
        <f>SUMIFS(Base!$I$3:$I$5001,Base!$B$3:$B$5001,D$95,Base!$A$3:$A$5001,"&gt;="&amp;$C$7,Base!$A$3:$A$5001,"&lt;="&amp;$D$7)</f>
        <v>0</v>
      </c>
      <c r="E102" t="inlineStr">
        <is>
          <t xml:space="preserve">—</t>
        </is>
      </c>
      <c r="F102" t="inlineStr">
        <is>
          <t xml:space="preserve">—</t>
        </is>
      </c>
      <c r="G102" t="inlineStr">
        <is>
          <t xml:space="preserve">—</t>
        </is>
      </c>
      <c r="H102" t="inlineStr">
        <is>
          <t xml:space="preserve">—</t>
        </is>
      </c>
      <c r="I102" t="inlineStr">
        <is>
          <t xml:space="preserve">—</t>
        </is>
      </c>
      <c r="J102" t="inlineStr">
        <is>
          <t xml:space="preserve">—</t>
        </is>
      </c>
      <c r="K102">
        <f>SUM(B102:J102)</f>
        <v>0</v>
      </c>
    </row>
    <row r="103">
      <c r="A103" t="inlineStr">
        <is>
          <t xml:space="preserve">IN Peças Movimentadas</t>
        </is>
      </c>
      <c r="B103" t="inlineStr">
        <is>
          <t xml:space="preserve">—</t>
        </is>
      </c>
      <c r="C103" t="inlineStr">
        <is>
          <t xml:space="preserve">—</t>
        </is>
      </c>
      <c r="D103" t="inlineStr">
        <is>
          <t xml:space="preserve">—</t>
        </is>
      </c>
      <c r="E103" t="inlineStr">
        <is>
          <t xml:space="preserve">—</t>
        </is>
      </c>
      <c r="F103">
        <f>SUMIFS(Base!$J$3:$J$5001,Base!$B$3:$B$5001,F$95,Base!$A$3:$A$5001,"&gt;="&amp;$C$7,Base!$A$3:$A$5001,"&lt;="&amp;$D$7)</f>
        <v>0</v>
      </c>
      <c r="G103" t="inlineStr">
        <is>
          <t xml:space="preserve">—</t>
        </is>
      </c>
      <c r="H103" t="inlineStr">
        <is>
          <t xml:space="preserve">—</t>
        </is>
      </c>
      <c r="I103" t="inlineStr">
        <is>
          <t xml:space="preserve">—</t>
        </is>
      </c>
      <c r="J103" t="inlineStr">
        <is>
          <t xml:space="preserve">—</t>
        </is>
      </c>
      <c r="K103">
        <f>SUM(B103:J103)</f>
        <v>0</v>
      </c>
    </row>
    <row r="104">
      <c r="A104" t="inlineStr">
        <is>
          <t xml:space="preserve">IN Linhas NF</t>
        </is>
      </c>
      <c r="B104" t="inlineStr">
        <is>
          <t xml:space="preserve">—</t>
        </is>
      </c>
      <c r="C104" t="inlineStr">
        <is>
          <t xml:space="preserve">—</t>
        </is>
      </c>
      <c r="D104" t="inlineStr">
        <is>
          <t xml:space="preserve">—</t>
        </is>
      </c>
      <c r="E104" t="inlineStr">
        <is>
          <t xml:space="preserve">—</t>
        </is>
      </c>
      <c r="F104">
        <f>SUMIFS(Base!$K$3:$K$5001,Base!$B$3:$B$5001,F$95,Base!$A$3:$A$5001,"&gt;="&amp;$C$7,Base!$A$3:$A$5001,"&lt;="&amp;$D$7)</f>
        <v>0</v>
      </c>
      <c r="G104">
        <f>SUMIFS(Base!$K$3:$K$5001,Base!$B$3:$B$5001,G$95,Base!$A$3:$A$5001,"&gt;="&amp;$C$7,Base!$A$3:$A$5001,"&lt;="&amp;$D$7)</f>
        <v>0</v>
      </c>
      <c r="H104" t="inlineStr">
        <is>
          <t xml:space="preserve">—</t>
        </is>
      </c>
      <c r="I104" t="inlineStr">
        <is>
          <t xml:space="preserve">—</t>
        </is>
      </c>
      <c r="J104" t="inlineStr">
        <is>
          <t xml:space="preserve">—</t>
        </is>
      </c>
      <c r="K104">
        <f>SUM(B104:J104)</f>
        <v>0</v>
      </c>
    </row>
    <row r="105">
      <c r="A105" t="inlineStr">
        <is>
          <t xml:space="preserve">OUT Veículos Expedidos</t>
        </is>
      </c>
      <c r="B105">
        <f>SUMIFS(Base!$L$3:$L$5001,Base!$B$3:$B$5001,B$95,Base!$A$3:$A$5001,"&gt;="&amp;$C$7,Base!$A$3:$A$5001,"&lt;="&amp;$D$7)</f>
        <v>0</v>
      </c>
      <c r="C105">
        <f>SUMIFS(Base!$L$3:$L$5001,Base!$B$3:$B$5001,C$95,Base!$A$3:$A$5001,"&gt;="&amp;$C$7,Base!$A$3:$A$5001,"&lt;="&amp;$D$7)</f>
        <v>0</v>
      </c>
      <c r="D105">
        <f>SUMIFS(Base!$L$3:$L$5001,Base!$B$3:$B$5001,D$95,Base!$A$3:$A$5001,"&gt;="&amp;$C$7,Base!$A$3:$A$5001,"&lt;="&amp;$D$7)</f>
        <v>0</v>
      </c>
      <c r="E105">
        <f>SUMIFS(Base!$L$3:$L$5001,Base!$B$3:$B$5001,E$95,Base!$A$3:$A$5001,"&gt;="&amp;$C$7,Base!$A$3:$A$5001,"&lt;="&amp;$D$7)</f>
        <v>0</v>
      </c>
      <c r="F105">
        <f>SUMIFS(Base!$L$3:$L$5001,Base!$B$3:$B$5001,F$95,Base!$A$3:$A$5001,"&gt;="&amp;$C$7,Base!$A$3:$A$5001,"&lt;="&amp;$D$7)</f>
        <v>0</v>
      </c>
      <c r="G105">
        <f>SUMIFS(Base!$L$3:$L$5001,Base!$B$3:$B$5001,G$95,Base!$A$3:$A$5001,"&gt;="&amp;$C$7,Base!$A$3:$A$5001,"&lt;="&amp;$D$7)</f>
        <v>0</v>
      </c>
      <c r="H105">
        <f>SUMIFS(Base!$L$3:$L$5001,Base!$B$3:$B$5001,H$95,Base!$A$3:$A$5001,"&gt;="&amp;$C$7,Base!$A$3:$A$5001,"&lt;="&amp;$D$7)</f>
        <v>0</v>
      </c>
      <c r="I105">
        <f>SUMIFS(Base!$L$3:$L$5001,Base!$B$3:$B$5001,I$95,Base!$A$3:$A$5001,"&gt;="&amp;$C$7,Base!$A$3:$A$5001,"&lt;="&amp;$D$7)</f>
        <v>0</v>
      </c>
      <c r="J105">
        <f>SUMIFS(Base!$L$3:$L$5001,Base!$B$3:$B$5001,J$95,Base!$A$3:$A$5001,"&gt;="&amp;$C$7,Base!$A$3:$A$5001,"&lt;="&amp;$D$7)</f>
        <v>0</v>
      </c>
      <c r="K105">
        <f>SUM(B105:J105)</f>
        <v>0</v>
      </c>
    </row>
    <row r="106">
      <c r="A106" t="inlineStr">
        <is>
          <t xml:space="preserve">OUT Pallets Movimentados</t>
        </is>
      </c>
      <c r="B106">
        <f>SUMIFS(Base!$M$3:$M$5001,Base!$B$3:$B$5001,B$95,Base!$A$3:$A$5001,"&gt;="&amp;$C$7,Base!$A$3:$A$5001,"&lt;="&amp;$D$7)</f>
        <v>0</v>
      </c>
      <c r="C106">
        <f>SUMIFS(Base!$M$3:$M$5001,Base!$B$3:$B$5001,C$95,Base!$A$3:$A$5001,"&gt;="&amp;$C$7,Base!$A$3:$A$5001,"&lt;="&amp;$D$7)</f>
        <v>0</v>
      </c>
      <c r="D106">
        <f>SUMIFS(Base!$M$3:$M$5001,Base!$B$3:$B$5001,D$95,Base!$A$3:$A$5001,"&gt;="&amp;$C$7,Base!$A$3:$A$5001,"&lt;="&amp;$D$7)</f>
        <v>0</v>
      </c>
      <c r="E106">
        <f>SUMIFS(Base!$M$3:$M$5001,Base!$B$3:$B$5001,E$95,Base!$A$3:$A$5001,"&gt;="&amp;$C$7,Base!$A$3:$A$5001,"&lt;="&amp;$D$7)</f>
        <v>0</v>
      </c>
      <c r="F106">
        <f>SUMIFS(Base!$M$3:$M$5001,Base!$B$3:$B$5001,F$95,Base!$A$3:$A$5001,"&gt;="&amp;$C$7,Base!$A$3:$A$5001,"&lt;="&amp;$D$7)</f>
        <v>0</v>
      </c>
      <c r="G106" t="inlineStr">
        <is>
          <t xml:space="preserve">—</t>
        </is>
      </c>
      <c r="H106">
        <f>SUMIFS(Base!$M$3:$M$5001,Base!$B$3:$B$5001,H$95,Base!$A$3:$A$5001,"&gt;="&amp;$C$7,Base!$A$3:$A$5001,"&lt;="&amp;$D$7)</f>
        <v>0</v>
      </c>
      <c r="I106">
        <f>SUMIFS(Base!$M$3:$M$5001,Base!$B$3:$B$5001,I$95,Base!$A$3:$A$5001,"&gt;="&amp;$C$7,Base!$A$3:$A$5001,"&lt;="&amp;$D$7)</f>
        <v>0</v>
      </c>
      <c r="J106" t="inlineStr">
        <is>
          <t xml:space="preserve">—</t>
        </is>
      </c>
      <c r="K106">
        <f>SUM(B106:J106)</f>
        <v>0</v>
      </c>
    </row>
    <row r="107">
      <c r="A107" t="inlineStr">
        <is>
          <t xml:space="preserve">OUT Toneladas Movimentadas</t>
        </is>
      </c>
      <c r="B107">
        <f>SUMIFS(Base!$N$3:$N$5001,Base!$B$3:$B$5001,B$95,Base!$A$3:$A$5001,"&gt;="&amp;$C$7,Base!$A$3:$A$5001,"&lt;="&amp;$D$7)</f>
        <v>0</v>
      </c>
      <c r="C107" t="inlineStr">
        <is>
          <t xml:space="preserve">—</t>
        </is>
      </c>
      <c r="D107" t="inlineStr">
        <is>
          <t xml:space="preserve">—</t>
        </is>
      </c>
      <c r="E107">
        <f>SUMIFS(Base!$N$3:$N$5001,Base!$B$3:$B$5001,E$95,Base!$A$3:$A$5001,"&gt;="&amp;$C$7,Base!$A$3:$A$5001,"&lt;="&amp;$D$7)</f>
        <v>0</v>
      </c>
      <c r="F107" t="inlineStr">
        <is>
          <t xml:space="preserve">—</t>
        </is>
      </c>
      <c r="G107" t="inlineStr">
        <is>
          <t xml:space="preserve">—</t>
        </is>
      </c>
      <c r="H107" t="inlineStr">
        <is>
          <t xml:space="preserve">—</t>
        </is>
      </c>
      <c r="I107" t="inlineStr">
        <is>
          <t xml:space="preserve">—</t>
        </is>
      </c>
      <c r="J107" t="inlineStr">
        <is>
          <t xml:space="preserve">—</t>
        </is>
      </c>
      <c r="K107">
        <f>SUM(B107:J107)</f>
        <v>0</v>
      </c>
    </row>
    <row r="108">
      <c r="A108" t="inlineStr">
        <is>
          <t xml:space="preserve">OUT Caixas Expedidas</t>
        </is>
      </c>
      <c r="B108" t="inlineStr">
        <is>
          <t xml:space="preserve">—</t>
        </is>
      </c>
      <c r="C108" t="inlineStr">
        <is>
          <t xml:space="preserve">—</t>
        </is>
      </c>
      <c r="D108" t="inlineStr">
        <is>
          <t xml:space="preserve">—</t>
        </is>
      </c>
      <c r="E108" t="inlineStr">
        <is>
          <t xml:space="preserve">—</t>
        </is>
      </c>
      <c r="F108" t="inlineStr">
        <is>
          <t xml:space="preserve">—</t>
        </is>
      </c>
      <c r="G108" t="inlineStr">
        <is>
          <t xml:space="preserve">—</t>
        </is>
      </c>
      <c r="H108" t="inlineStr">
        <is>
          <t xml:space="preserve">—</t>
        </is>
      </c>
      <c r="I108" t="inlineStr">
        <is>
          <t xml:space="preserve">—</t>
        </is>
      </c>
      <c r="J108">
        <f>SUMIFS(Base!$O$3:$O$5001,Base!$B$3:$B$5001,J$95,Base!$A$3:$A$5001,"&gt;="&amp;$C$7,Base!$A$3:$A$5001,"&lt;="&amp;$D$7)</f>
        <v>0</v>
      </c>
      <c r="K108">
        <f>SUM(B108:J108)</f>
        <v>0</v>
      </c>
    </row>
    <row r="109">
      <c r="A109" t="inlineStr">
        <is>
          <t xml:space="preserve">OUT Pedidos Expedidos</t>
        </is>
      </c>
      <c r="B109" t="inlineStr">
        <is>
          <t xml:space="preserve">—</t>
        </is>
      </c>
      <c r="C109">
        <f>SUMIFS(Base!$P$3:$P$5001,Base!$B$3:$B$5001,C$95,Base!$A$3:$A$5001,"&gt;="&amp;$C$7,Base!$A$3:$A$5001,"&lt;="&amp;$D$7)</f>
        <v>0</v>
      </c>
      <c r="D109" t="inlineStr">
        <is>
          <t xml:space="preserve">—</t>
        </is>
      </c>
      <c r="E109" t="inlineStr">
        <is>
          <t xml:space="preserve">—</t>
        </is>
      </c>
      <c r="F109" t="inlineStr">
        <is>
          <t xml:space="preserve">—</t>
        </is>
      </c>
      <c r="G109" t="inlineStr">
        <is>
          <t xml:space="preserve">—</t>
        </is>
      </c>
      <c r="H109" t="inlineStr">
        <is>
          <t xml:space="preserve">—</t>
        </is>
      </c>
      <c r="I109" t="inlineStr">
        <is>
          <t xml:space="preserve">—</t>
        </is>
      </c>
      <c r="J109" t="inlineStr">
        <is>
          <t xml:space="preserve">—</t>
        </is>
      </c>
      <c r="K109">
        <f>SUM(B109:J109)</f>
        <v>0</v>
      </c>
    </row>
    <row r="110">
      <c r="A110" t="inlineStr">
        <is>
          <t xml:space="preserve">OUT Pedidos Faturados</t>
        </is>
      </c>
      <c r="B110" t="inlineStr">
        <is>
          <t xml:space="preserve">—</t>
        </is>
      </c>
      <c r="C110" t="inlineStr">
        <is>
          <t xml:space="preserve">—</t>
        </is>
      </c>
      <c r="D110">
        <f>SUMIFS(Base!$Q$3:$Q$5001,Base!$B$3:$B$5001,D$95,Base!$A$3:$A$5001,"&gt;="&amp;$C$7,Base!$A$3:$A$5001,"&lt;="&amp;$D$7)</f>
        <v>0</v>
      </c>
      <c r="E110" t="inlineStr">
        <is>
          <t xml:space="preserve">—</t>
        </is>
      </c>
      <c r="F110" t="inlineStr">
        <is>
          <t xml:space="preserve">—</t>
        </is>
      </c>
      <c r="G110" t="inlineStr">
        <is>
          <t xml:space="preserve">—</t>
        </is>
      </c>
      <c r="H110" t="inlineStr">
        <is>
          <t xml:space="preserve">—</t>
        </is>
      </c>
      <c r="I110" t="inlineStr">
        <is>
          <t xml:space="preserve">—</t>
        </is>
      </c>
      <c r="J110" t="inlineStr">
        <is>
          <t xml:space="preserve">—</t>
        </is>
      </c>
      <c r="K110">
        <f>SUM(B110:J110)</f>
        <v>0</v>
      </c>
    </row>
    <row r="111">
      <c r="A111" t="inlineStr">
        <is>
          <t xml:space="preserve">OUT Itens Expedidos</t>
        </is>
      </c>
      <c r="B111" t="inlineStr">
        <is>
          <t xml:space="preserve">—</t>
        </is>
      </c>
      <c r="C111" t="inlineStr">
        <is>
          <t xml:space="preserve">—</t>
        </is>
      </c>
      <c r="D111">
        <f>SUMIFS(Base!$R$3:$R$5001,Base!$B$3:$B$5001,D$95,Base!$A$3:$A$5001,"&gt;="&amp;$C$7,Base!$A$3:$A$5001,"&lt;="&amp;$D$7)</f>
        <v>0</v>
      </c>
      <c r="E111" t="inlineStr">
        <is>
          <t xml:space="preserve">—</t>
        </is>
      </c>
      <c r="F111" t="inlineStr">
        <is>
          <t xml:space="preserve">—</t>
        </is>
      </c>
      <c r="G111" t="inlineStr">
        <is>
          <t xml:space="preserve">—</t>
        </is>
      </c>
      <c r="H111" t="inlineStr">
        <is>
          <t xml:space="preserve">—</t>
        </is>
      </c>
      <c r="I111" t="inlineStr">
        <is>
          <t xml:space="preserve">—</t>
        </is>
      </c>
      <c r="J111" t="inlineStr">
        <is>
          <t xml:space="preserve">—</t>
        </is>
      </c>
      <c r="K111">
        <f>SUM(B111:J111)</f>
        <v>0</v>
      </c>
    </row>
    <row r="112">
      <c r="A112" t="inlineStr">
        <is>
          <t xml:space="preserve">OUT Peças Movimentadas</t>
        </is>
      </c>
      <c r="B112" t="inlineStr">
        <is>
          <t xml:space="preserve">—</t>
        </is>
      </c>
      <c r="C112" t="inlineStr">
        <is>
          <t xml:space="preserve">—</t>
        </is>
      </c>
      <c r="D112" t="inlineStr">
        <is>
          <t xml:space="preserve">—</t>
        </is>
      </c>
      <c r="E112" t="inlineStr">
        <is>
          <t xml:space="preserve">—</t>
        </is>
      </c>
      <c r="F112">
        <f>SUMIFS(Base!$S$3:$S$5001,Base!$B$3:$B$5001,F$95,Base!$A$3:$A$5001,"&gt;="&amp;$C$7,Base!$A$3:$A$5001,"&lt;="&amp;$D$7)</f>
        <v>0</v>
      </c>
      <c r="G112" t="inlineStr">
        <is>
          <t xml:space="preserve">—</t>
        </is>
      </c>
      <c r="H112" t="inlineStr">
        <is>
          <t xml:space="preserve">—</t>
        </is>
      </c>
      <c r="I112" t="inlineStr">
        <is>
          <t xml:space="preserve">—</t>
        </is>
      </c>
      <c r="J112" t="inlineStr">
        <is>
          <t xml:space="preserve">—</t>
        </is>
      </c>
      <c r="K112">
        <f>SUM(B112:J112)</f>
        <v>0</v>
      </c>
    </row>
    <row r="113">
      <c r="A113" t="inlineStr">
        <is>
          <t xml:space="preserve">OUT Linhas NF</t>
        </is>
      </c>
      <c r="B113" t="inlineStr">
        <is>
          <t xml:space="preserve">—</t>
        </is>
      </c>
      <c r="C113" t="inlineStr">
        <is>
          <t xml:space="preserve">—</t>
        </is>
      </c>
      <c r="D113" t="inlineStr">
        <is>
          <t xml:space="preserve">—</t>
        </is>
      </c>
      <c r="E113" t="inlineStr">
        <is>
          <t xml:space="preserve">—</t>
        </is>
      </c>
      <c r="F113">
        <f>SUMIFS(Base!$T$3:$T$5001,Base!$B$3:$B$5001,F$95,Base!$A$3:$A$5001,"&gt;="&amp;$C$7,Base!$A$3:$A$5001,"&lt;="&amp;$D$7)</f>
        <v>0</v>
      </c>
      <c r="G113">
        <f>SUMIFS(Base!$T$3:$T$5001,Base!$B$3:$B$5001,G$95,Base!$A$3:$A$5001,"&gt;="&amp;$C$7,Base!$A$3:$A$5001,"&lt;="&amp;$D$7)</f>
        <v>0</v>
      </c>
      <c r="H113" t="inlineStr">
        <is>
          <t xml:space="preserve">—</t>
        </is>
      </c>
      <c r="I113" t="inlineStr">
        <is>
          <t xml:space="preserve">—</t>
        </is>
      </c>
      <c r="J113" t="inlineStr">
        <is>
          <t xml:space="preserve">—</t>
        </is>
      </c>
      <c r="K113">
        <f>SUM(B113:J113)</f>
        <v>0</v>
      </c>
    </row>
    <row r="114">
      <c r="A114" t="inlineStr">
        <is>
          <t xml:space="preserve">NC Incidentes</t>
        </is>
      </c>
      <c r="B114">
        <f>SUMIFS(Base!$U$3:$U$5001,Base!$B$3:$B$5001,B$95,Base!$A$3:$A$5001,"&gt;="&amp;$C$7,Base!$A$3:$A$5001,"&lt;="&amp;$D$7)</f>
        <v>0</v>
      </c>
      <c r="C114">
        <f>SUMIFS(Base!$U$3:$U$5001,Base!$B$3:$B$5001,C$95,Base!$A$3:$A$5001,"&gt;="&amp;$C$7,Base!$A$3:$A$5001,"&lt;="&amp;$D$7)</f>
        <v>0</v>
      </c>
      <c r="D114">
        <f>SUMIFS(Base!$U$3:$U$5001,Base!$B$3:$B$5001,D$95,Base!$A$3:$A$5001,"&gt;="&amp;$C$7,Base!$A$3:$A$5001,"&lt;="&amp;$D$7)</f>
        <v>0</v>
      </c>
      <c r="E114">
        <f>SUMIFS(Base!$U$3:$U$5001,Base!$B$3:$B$5001,E$95,Base!$A$3:$A$5001,"&gt;="&amp;$C$7,Base!$A$3:$A$5001,"&lt;="&amp;$D$7)</f>
        <v>0</v>
      </c>
      <c r="F114">
        <f>SUMIFS(Base!$U$3:$U$5001,Base!$B$3:$B$5001,F$95,Base!$A$3:$A$5001,"&gt;="&amp;$C$7,Base!$A$3:$A$5001,"&lt;="&amp;$D$7)</f>
        <v>0</v>
      </c>
      <c r="G114">
        <f>SUMIFS(Base!$U$3:$U$5001,Base!$B$3:$B$5001,G$95,Base!$A$3:$A$5001,"&gt;="&amp;$C$7,Base!$A$3:$A$5001,"&lt;="&amp;$D$7)</f>
        <v>0</v>
      </c>
      <c r="H114">
        <f>SUMIFS(Base!$U$3:$U$5001,Base!$B$3:$B$5001,H$95,Base!$A$3:$A$5001,"&gt;="&amp;$C$7,Base!$A$3:$A$5001,"&lt;="&amp;$D$7)</f>
        <v>0</v>
      </c>
      <c r="I114">
        <f>SUMIFS(Base!$U$3:$U$5001,Base!$B$3:$B$5001,I$95,Base!$A$3:$A$5001,"&gt;="&amp;$C$7,Base!$A$3:$A$5001,"&lt;="&amp;$D$7)</f>
        <v>0</v>
      </c>
      <c r="J114">
        <f>SUMIFS(Base!$U$3:$U$5001,Base!$B$3:$B$5001,J$95,Base!$A$3:$A$5001,"&gt;="&amp;$C$7,Base!$A$3:$A$5001,"&lt;="&amp;$D$7)</f>
        <v>0</v>
      </c>
      <c r="K114">
        <f>SUM(B114:J114)</f>
        <v>0</v>
      </c>
    </row>
    <row r="115">
      <c r="A115" t="inlineStr">
        <is>
          <t xml:space="preserve">NC No show</t>
        </is>
      </c>
      <c r="B115">
        <f>SUMIFS(Base!$V$3:$V$5001,Base!$B$3:$B$5001,B$95,Base!$A$3:$A$5001,"&gt;="&amp;$C$7,Base!$A$3:$A$5001,"&lt;="&amp;$D$7)</f>
        <v>0</v>
      </c>
      <c r="C115">
        <f>SUMIFS(Base!$V$3:$V$5001,Base!$B$3:$B$5001,C$95,Base!$A$3:$A$5001,"&gt;="&amp;$C$7,Base!$A$3:$A$5001,"&lt;="&amp;$D$7)</f>
        <v>0</v>
      </c>
      <c r="D115">
        <f>SUMIFS(Base!$V$3:$V$5001,Base!$B$3:$B$5001,D$95,Base!$A$3:$A$5001,"&gt;="&amp;$C$7,Base!$A$3:$A$5001,"&lt;="&amp;$D$7)</f>
        <v>0</v>
      </c>
      <c r="E115">
        <f>SUMIFS(Base!$V$3:$V$5001,Base!$B$3:$B$5001,E$95,Base!$A$3:$A$5001,"&gt;="&amp;$C$7,Base!$A$3:$A$5001,"&lt;="&amp;$D$7)</f>
        <v>0</v>
      </c>
      <c r="F115">
        <f>SUMIFS(Base!$V$3:$V$5001,Base!$B$3:$B$5001,F$95,Base!$A$3:$A$5001,"&gt;="&amp;$C$7,Base!$A$3:$A$5001,"&lt;="&amp;$D$7)</f>
        <v>0</v>
      </c>
      <c r="G115">
        <f>SUMIFS(Base!$V$3:$V$5001,Base!$B$3:$B$5001,G$95,Base!$A$3:$A$5001,"&gt;="&amp;$C$7,Base!$A$3:$A$5001,"&lt;="&amp;$D$7)</f>
        <v>0</v>
      </c>
      <c r="H115">
        <f>SUMIFS(Base!$V$3:$V$5001,Base!$B$3:$B$5001,H$95,Base!$A$3:$A$5001,"&gt;="&amp;$C$7,Base!$A$3:$A$5001,"&lt;="&amp;$D$7)</f>
        <v>0</v>
      </c>
      <c r="I115">
        <f>SUMIFS(Base!$V$3:$V$5001,Base!$B$3:$B$5001,I$95,Base!$A$3:$A$5001,"&gt;="&amp;$C$7,Base!$A$3:$A$5001,"&lt;="&amp;$D$7)</f>
        <v>0</v>
      </c>
      <c r="J115">
        <f>SUMIFS(Base!$V$3:$V$5001,Base!$B$3:$B$5001,J$95,Base!$A$3:$A$5001,"&gt;="&amp;$C$7,Base!$A$3:$A$5001,"&lt;="&amp;$D$7)</f>
        <v>0</v>
      </c>
      <c r="K115">
        <f>SUM(B115:J115)</f>
        <v>0</v>
      </c>
    </row>
    <row r="116">
      <c r="A116" t="inlineStr">
        <is>
          <t xml:space="preserve">NC Backlog</t>
        </is>
      </c>
      <c r="B116" t="str">
        <f>IF(COUNTIFS(Base!$B$3:$B$5001,B$95,Base!$A$3:$A$5001,"&gt;="&amp;$C$7,Base!$A$3:$A$5001,"&lt;="&amp;$D$7,Base!$W$3:$W$5001,"&lt;&gt;")=0,"",SUMIFS(Base!$W$3:$W$5001,Base!$B$3:$B$5001,B$95,Base!$A$3:$A$5001,_xlfn.MAXIFS(Base!$A$3:$A$5001,Base!$B$3:$B$5001,B$95,Base!$A$3:$A$5001,"&gt;="&amp;$C$7,Base!$A$3:$A$5001,"&lt;="&amp;$D$7,Base!$W$3:$W$5001,"&lt;&gt;")))</f>
        <v/>
      </c>
      <c r="C116" t="str">
        <f>IF(COUNTIFS(Base!$B$3:$B$5001,C$95,Base!$A$3:$A$5001,"&gt;="&amp;$C$7,Base!$A$3:$A$5001,"&lt;="&amp;$D$7,Base!$W$3:$W$5001,"&lt;&gt;")=0,"",SUMIFS(Base!$W$3:$W$5001,Base!$B$3:$B$5001,C$95,Base!$A$3:$A$5001,_xlfn.MAXIFS(Base!$A$3:$A$5001,Base!$B$3:$B$5001,C$95,Base!$A$3:$A$5001,"&gt;="&amp;$C$7,Base!$A$3:$A$5001,"&lt;="&amp;$D$7,Base!$W$3:$W$5001,"&lt;&gt;")))</f>
        <v/>
      </c>
      <c r="D116" t="str">
        <f>IF(COUNTIFS(Base!$B$3:$B$5001,D$95,Base!$A$3:$A$5001,"&gt;="&amp;$C$7,Base!$A$3:$A$5001,"&lt;="&amp;$D$7,Base!$W$3:$W$5001,"&lt;&gt;")=0,"",SUMIFS(Base!$W$3:$W$5001,Base!$B$3:$B$5001,D$95,Base!$A$3:$A$5001,_xlfn.MAXIFS(Base!$A$3:$A$5001,Base!$B$3:$B$5001,D$95,Base!$A$3:$A$5001,"&gt;="&amp;$C$7,Base!$A$3:$A$5001,"&lt;="&amp;$D$7,Base!$W$3:$W$5001,"&lt;&gt;")))</f>
        <v/>
      </c>
      <c r="E116" t="str">
        <f>IF(COUNTIFS(Base!$B$3:$B$5001,E$95,Base!$A$3:$A$5001,"&gt;="&amp;$C$7,Base!$A$3:$A$5001,"&lt;="&amp;$D$7,Base!$W$3:$W$5001,"&lt;&gt;")=0,"",SUMIFS(Base!$W$3:$W$5001,Base!$B$3:$B$5001,E$95,Base!$A$3:$A$5001,_xlfn.MAXIFS(Base!$A$3:$A$5001,Base!$B$3:$B$5001,E$95,Base!$A$3:$A$5001,"&gt;="&amp;$C$7,Base!$A$3:$A$5001,"&lt;="&amp;$D$7,Base!$W$3:$W$5001,"&lt;&gt;")))</f>
        <v/>
      </c>
      <c r="F116" t="str">
        <f>IF(COUNTIFS(Base!$B$3:$B$5001,F$95,Base!$A$3:$A$5001,"&gt;="&amp;$C$7,Base!$A$3:$A$5001,"&lt;="&amp;$D$7,Base!$W$3:$W$5001,"&lt;&gt;")=0,"",SUMIFS(Base!$W$3:$W$5001,Base!$B$3:$B$5001,F$95,Base!$A$3:$A$5001,_xlfn.MAXIFS(Base!$A$3:$A$5001,Base!$B$3:$B$5001,F$95,Base!$A$3:$A$5001,"&gt;="&amp;$C$7,Base!$A$3:$A$5001,"&lt;="&amp;$D$7,Base!$W$3:$W$5001,"&lt;&gt;")))</f>
        <v/>
      </c>
      <c r="G116" t="str">
        <f>IF(COUNTIFS(Base!$B$3:$B$5001,G$95,Base!$A$3:$A$5001,"&gt;="&amp;$C$7,Base!$A$3:$A$5001,"&lt;="&amp;$D$7,Base!$W$3:$W$5001,"&lt;&gt;")=0,"",SUMIFS(Base!$W$3:$W$5001,Base!$B$3:$B$5001,G$95,Base!$A$3:$A$5001,_xlfn.MAXIFS(Base!$A$3:$A$5001,Base!$B$3:$B$5001,G$95,Base!$A$3:$A$5001,"&gt;="&amp;$C$7,Base!$A$3:$A$5001,"&lt;="&amp;$D$7,Base!$W$3:$W$5001,"&lt;&gt;")))</f>
        <v/>
      </c>
      <c r="H116" t="str">
        <f>IF(COUNTIFS(Base!$B$3:$B$5001,H$95,Base!$A$3:$A$5001,"&gt;="&amp;$C$7,Base!$A$3:$A$5001,"&lt;="&amp;$D$7,Base!$W$3:$W$5001,"&lt;&gt;")=0,"",SUMIFS(Base!$W$3:$W$5001,Base!$B$3:$B$5001,H$95,Base!$A$3:$A$5001,_xlfn.MAXIFS(Base!$A$3:$A$5001,Base!$B$3:$B$5001,H$95,Base!$A$3:$A$5001,"&gt;="&amp;$C$7,Base!$A$3:$A$5001,"&lt;="&amp;$D$7,Base!$W$3:$W$5001,"&lt;&gt;")))</f>
        <v/>
      </c>
      <c r="I116" t="str">
        <f>IF(COUNTIFS(Base!$B$3:$B$5001,I$95,Base!$A$3:$A$5001,"&gt;="&amp;$C$7,Base!$A$3:$A$5001,"&lt;="&amp;$D$7,Base!$W$3:$W$5001,"&lt;&gt;")=0,"",SUMIFS(Base!$W$3:$W$5001,Base!$B$3:$B$5001,I$95,Base!$A$3:$A$5001,_xlfn.MAXIFS(Base!$A$3:$A$5001,Base!$B$3:$B$5001,I$95,Base!$A$3:$A$5001,"&gt;="&amp;$C$7,Base!$A$3:$A$5001,"&lt;="&amp;$D$7,Base!$W$3:$W$5001,"&lt;&gt;")))</f>
        <v/>
      </c>
      <c r="J116" t="str">
        <f>IF(COUNTIFS(Base!$B$3:$B$5001,J$95,Base!$A$3:$A$5001,"&gt;="&amp;$C$7,Base!$A$3:$A$5001,"&lt;="&amp;$D$7,Base!$W$3:$W$5001,"&lt;&gt;")=0,"",SUMIFS(Base!$W$3:$W$5001,Base!$B$3:$B$5001,J$95,Base!$A$3:$A$5001,_xlfn.MAXIFS(Base!$A$3:$A$5001,Base!$B$3:$B$5001,J$95,Base!$A$3:$A$5001,"&gt;="&amp;$C$7,Base!$A$3:$A$5001,"&lt;="&amp;$D$7,Base!$W$3:$W$5001,"&lt;&gt;")))</f>
        <v/>
      </c>
      <c r="K116" t="str">
        <f>IF(COUNT(B116:J116)=0,"",SUM(B116:J116))</f>
        <v/>
      </c>
    </row>
    <row r="117">
      <c r="A117" t="inlineStr">
        <is>
          <t xml:space="preserve">Posições Disponíveis</t>
        </is>
      </c>
      <c r="B117" t="str">
        <f>IF(COUNTIFS(Base!$B$3:$B$5001,B$95,Base!$A$3:$A$5001,"&gt;="&amp;$C$7,Base!$A$3:$A$5001,"&lt;="&amp;$D$7,Base!$X$3:$X$5001,"&lt;&gt;")=0,"",SUMIFS(Base!$X$3:$X$5001,Base!$B$3:$B$5001,B$95,Base!$A$3:$A$5001,_xlfn.MAXIFS(Base!$A$3:$A$5001,Base!$B$3:$B$5001,B$95,Base!$A$3:$A$5001,"&gt;="&amp;$C$7,Base!$A$3:$A$5001,"&lt;="&amp;$D$7,Base!$X$3:$X$5001,"&lt;&gt;")))</f>
        <v/>
      </c>
      <c r="C117" t="str">
        <f>IF(COUNTIFS(Base!$B$3:$B$5001,C$95,Base!$A$3:$A$5001,"&gt;="&amp;$C$7,Base!$A$3:$A$5001,"&lt;="&amp;$D$7,Base!$X$3:$X$5001,"&lt;&gt;")=0,"",SUMIFS(Base!$X$3:$X$5001,Base!$B$3:$B$5001,C$95,Base!$A$3:$A$5001,_xlfn.MAXIFS(Base!$A$3:$A$5001,Base!$B$3:$B$5001,C$95,Base!$A$3:$A$5001,"&gt;="&amp;$C$7,Base!$A$3:$A$5001,"&lt;="&amp;$D$7,Base!$X$3:$X$5001,"&lt;&gt;")))</f>
        <v/>
      </c>
      <c r="D117" t="str">
        <f>IF(COUNTIFS(Base!$B$3:$B$5001,D$95,Base!$A$3:$A$5001,"&gt;="&amp;$C$7,Base!$A$3:$A$5001,"&lt;="&amp;$D$7,Base!$X$3:$X$5001,"&lt;&gt;")=0,"",SUMIFS(Base!$X$3:$X$5001,Base!$B$3:$B$5001,D$95,Base!$A$3:$A$5001,_xlfn.MAXIFS(Base!$A$3:$A$5001,Base!$B$3:$B$5001,D$95,Base!$A$3:$A$5001,"&gt;="&amp;$C$7,Base!$A$3:$A$5001,"&lt;="&amp;$D$7,Base!$X$3:$X$5001,"&lt;&gt;")))</f>
        <v/>
      </c>
      <c r="E117" t="str">
        <f>IF(COUNTIFS(Base!$B$3:$B$5001,E$95,Base!$A$3:$A$5001,"&gt;="&amp;$C$7,Base!$A$3:$A$5001,"&lt;="&amp;$D$7,Base!$X$3:$X$5001,"&lt;&gt;")=0,"",SUMIFS(Base!$X$3:$X$5001,Base!$B$3:$B$5001,E$95,Base!$A$3:$A$5001,_xlfn.MAXIFS(Base!$A$3:$A$5001,Base!$B$3:$B$5001,E$95,Base!$A$3:$A$5001,"&gt;="&amp;$C$7,Base!$A$3:$A$5001,"&lt;="&amp;$D$7,Base!$X$3:$X$5001,"&lt;&gt;")))</f>
        <v/>
      </c>
      <c r="F117" t="str">
        <f>IF(COUNTIFS(Base!$B$3:$B$5001,F$95,Base!$A$3:$A$5001,"&gt;="&amp;$C$7,Base!$A$3:$A$5001,"&lt;="&amp;$D$7,Base!$X$3:$X$5001,"&lt;&gt;")=0,"",SUMIFS(Base!$X$3:$X$5001,Base!$B$3:$B$5001,F$95,Base!$A$3:$A$5001,_xlfn.MAXIFS(Base!$A$3:$A$5001,Base!$B$3:$B$5001,F$95,Base!$A$3:$A$5001,"&gt;="&amp;$C$7,Base!$A$3:$A$5001,"&lt;="&amp;$D$7,Base!$X$3:$X$5001,"&lt;&gt;")))</f>
        <v/>
      </c>
      <c r="G117" t="str">
        <f>IF(COUNTIFS(Base!$B$3:$B$5001,G$95,Base!$A$3:$A$5001,"&gt;="&amp;$C$7,Base!$A$3:$A$5001,"&lt;="&amp;$D$7,Base!$X$3:$X$5001,"&lt;&gt;")=0,"",SUMIFS(Base!$X$3:$X$5001,Base!$B$3:$B$5001,G$95,Base!$A$3:$A$5001,_xlfn.MAXIFS(Base!$A$3:$A$5001,Base!$B$3:$B$5001,G$95,Base!$A$3:$A$5001,"&gt;="&amp;$C$7,Base!$A$3:$A$5001,"&lt;="&amp;$D$7,Base!$X$3:$X$5001,"&lt;&gt;")))</f>
        <v/>
      </c>
      <c r="H117" t="str">
        <f>IF(COUNTIFS(Base!$B$3:$B$5001,H$95,Base!$A$3:$A$5001,"&gt;="&amp;$C$7,Base!$A$3:$A$5001,"&lt;="&amp;$D$7,Base!$X$3:$X$5001,"&lt;&gt;")=0,"",SUMIFS(Base!$X$3:$X$5001,Base!$B$3:$B$5001,H$95,Base!$A$3:$A$5001,_xlfn.MAXIFS(Base!$A$3:$A$5001,Base!$B$3:$B$5001,H$95,Base!$A$3:$A$5001,"&gt;="&amp;$C$7,Base!$A$3:$A$5001,"&lt;="&amp;$D$7,Base!$X$3:$X$5001,"&lt;&gt;")))</f>
        <v/>
      </c>
      <c r="I117" t="str">
        <f>IF(COUNTIFS(Base!$B$3:$B$5001,I$95,Base!$A$3:$A$5001,"&gt;="&amp;$C$7,Base!$A$3:$A$5001,"&lt;="&amp;$D$7,Base!$X$3:$X$5001,"&lt;&gt;")=0,"",SUMIFS(Base!$X$3:$X$5001,Base!$B$3:$B$5001,I$95,Base!$A$3:$A$5001,_xlfn.MAXIFS(Base!$A$3:$A$5001,Base!$B$3:$B$5001,I$95,Base!$A$3:$A$5001,"&gt;="&amp;$C$7,Base!$A$3:$A$5001,"&lt;="&amp;$D$7,Base!$X$3:$X$5001,"&lt;&gt;")))</f>
        <v/>
      </c>
      <c r="J117" t="str">
        <f>IF(COUNTIFS(Base!$B$3:$B$5001,J$95,Base!$A$3:$A$5001,"&gt;="&amp;$C$7,Base!$A$3:$A$5001,"&lt;="&amp;$D$7,Base!$X$3:$X$5001,"&lt;&gt;")=0,"",SUMIFS(Base!$X$3:$X$5001,Base!$B$3:$B$5001,J$95,Base!$A$3:$A$5001,_xlfn.MAXIFS(Base!$A$3:$A$5001,Base!$B$3:$B$5001,J$95,Base!$A$3:$A$5001,"&gt;="&amp;$C$7,Base!$A$3:$A$5001,"&lt;="&amp;$D$7,Base!$X$3:$X$5001,"&lt;&gt;")))</f>
        <v/>
      </c>
      <c r="K117" t="str">
        <f>IF(ISNUMBER($B$4),$B$4,IF(COUNT(B117:J117)=0,"",SUM(B117:J117)))</f>
        <v/>
      </c>
    </row>
    <row r="118">
      <c r="A118" t="inlineStr">
        <is>
          <t xml:space="preserve">Posições Ocupadas</t>
        </is>
      </c>
      <c r="B118" t="str">
        <f>IF(COUNTIFS(Base!$B$3:$B$5001,B$95,Base!$A$3:$A$5001,"&gt;="&amp;$C$7,Base!$A$3:$A$5001,"&lt;="&amp;$D$7,Base!$Y$3:$Y$5001,"&lt;&gt;")=0,"",SUMIFS(Base!$Y$3:$Y$5001,Base!$B$3:$B$5001,B$95,Base!$A$3:$A$5001,_xlfn.MAXIFS(Base!$A$3:$A$5001,Base!$B$3:$B$5001,B$95,Base!$A$3:$A$5001,"&gt;="&amp;$C$7,Base!$A$3:$A$5001,"&lt;="&amp;$D$7,Base!$Y$3:$Y$5001,"&lt;&gt;")))</f>
        <v/>
      </c>
      <c r="C118" t="str">
        <f>IF(COUNTIFS(Base!$B$3:$B$5001,C$95,Base!$A$3:$A$5001,"&gt;="&amp;$C$7,Base!$A$3:$A$5001,"&lt;="&amp;$D$7,Base!$Y$3:$Y$5001,"&lt;&gt;")=0,"",SUMIFS(Base!$Y$3:$Y$5001,Base!$B$3:$B$5001,C$95,Base!$A$3:$A$5001,_xlfn.MAXIFS(Base!$A$3:$A$5001,Base!$B$3:$B$5001,C$95,Base!$A$3:$A$5001,"&gt;="&amp;$C$7,Base!$A$3:$A$5001,"&lt;="&amp;$D$7,Base!$Y$3:$Y$5001,"&lt;&gt;")))</f>
        <v/>
      </c>
      <c r="D118" t="str">
        <f>IF(COUNTIFS(Base!$B$3:$B$5001,D$95,Base!$A$3:$A$5001,"&gt;="&amp;$C$7,Base!$A$3:$A$5001,"&lt;="&amp;$D$7,Base!$Y$3:$Y$5001,"&lt;&gt;")=0,"",SUMIFS(Base!$Y$3:$Y$5001,Base!$B$3:$B$5001,D$95,Base!$A$3:$A$5001,_xlfn.MAXIFS(Base!$A$3:$A$5001,Base!$B$3:$B$5001,D$95,Base!$A$3:$A$5001,"&gt;="&amp;$C$7,Base!$A$3:$A$5001,"&lt;="&amp;$D$7,Base!$Y$3:$Y$5001,"&lt;&gt;")))</f>
        <v/>
      </c>
      <c r="E118" t="str">
        <f>IF(COUNTIFS(Base!$B$3:$B$5001,E$95,Base!$A$3:$A$5001,"&gt;="&amp;$C$7,Base!$A$3:$A$5001,"&lt;="&amp;$D$7,Base!$Y$3:$Y$5001,"&lt;&gt;")=0,"",SUMIFS(Base!$Y$3:$Y$5001,Base!$B$3:$B$5001,E$95,Base!$A$3:$A$5001,_xlfn.MAXIFS(Base!$A$3:$A$5001,Base!$B$3:$B$5001,E$95,Base!$A$3:$A$5001,"&gt;="&amp;$C$7,Base!$A$3:$A$5001,"&lt;="&amp;$D$7,Base!$Y$3:$Y$5001,"&lt;&gt;")))</f>
        <v/>
      </c>
      <c r="F118" t="str">
        <f>IF(COUNTIFS(Base!$B$3:$B$5001,F$95,Base!$A$3:$A$5001,"&gt;="&amp;$C$7,Base!$A$3:$A$5001,"&lt;="&amp;$D$7,Base!$Y$3:$Y$5001,"&lt;&gt;")=0,"",SUMIFS(Base!$Y$3:$Y$5001,Base!$B$3:$B$5001,F$95,Base!$A$3:$A$5001,_xlfn.MAXIFS(Base!$A$3:$A$5001,Base!$B$3:$B$5001,F$95,Base!$A$3:$A$5001,"&gt;="&amp;$C$7,Base!$A$3:$A$5001,"&lt;="&amp;$D$7,Base!$Y$3:$Y$5001,"&lt;&gt;")))</f>
        <v/>
      </c>
      <c r="G118" t="str">
        <f>IF(COUNTIFS(Base!$B$3:$B$5001,G$95,Base!$A$3:$A$5001,"&gt;="&amp;$C$7,Base!$A$3:$A$5001,"&lt;="&amp;$D$7,Base!$Y$3:$Y$5001,"&lt;&gt;")=0,"",SUMIFS(Base!$Y$3:$Y$5001,Base!$B$3:$B$5001,G$95,Base!$A$3:$A$5001,_xlfn.MAXIFS(Base!$A$3:$A$5001,Base!$B$3:$B$5001,G$95,Base!$A$3:$A$5001,"&gt;="&amp;$C$7,Base!$A$3:$A$5001,"&lt;="&amp;$D$7,Base!$Y$3:$Y$5001,"&lt;&gt;")))</f>
        <v/>
      </c>
      <c r="H118" t="str">
        <f>IF(COUNTIFS(Base!$B$3:$B$5001,H$95,Base!$A$3:$A$5001,"&gt;="&amp;$C$7,Base!$A$3:$A$5001,"&lt;="&amp;$D$7,Base!$Y$3:$Y$5001,"&lt;&gt;")=0,"",SUMIFS(Base!$Y$3:$Y$5001,Base!$B$3:$B$5001,H$95,Base!$A$3:$A$5001,_xlfn.MAXIFS(Base!$A$3:$A$5001,Base!$B$3:$B$5001,H$95,Base!$A$3:$A$5001,"&gt;="&amp;$C$7,Base!$A$3:$A$5001,"&lt;="&amp;$D$7,Base!$Y$3:$Y$5001,"&lt;&gt;")))</f>
        <v/>
      </c>
      <c r="I118" t="str">
        <f>IF(COUNTIFS(Base!$B$3:$B$5001,I$95,Base!$A$3:$A$5001,"&gt;="&amp;$C$7,Base!$A$3:$A$5001,"&lt;="&amp;$D$7,Base!$Y$3:$Y$5001,"&lt;&gt;")=0,"",SUMIFS(Base!$Y$3:$Y$5001,Base!$B$3:$B$5001,I$95,Base!$A$3:$A$5001,_xlfn.MAXIFS(Base!$A$3:$A$5001,Base!$B$3:$B$5001,I$95,Base!$A$3:$A$5001,"&gt;="&amp;$C$7,Base!$A$3:$A$5001,"&lt;="&amp;$D$7,Base!$Y$3:$Y$5001,"&lt;&gt;")))</f>
        <v/>
      </c>
      <c r="J118" t="str">
        <f>IF(COUNTIFS(Base!$B$3:$B$5001,J$95,Base!$A$3:$A$5001,"&gt;="&amp;$C$7,Base!$A$3:$A$5001,"&lt;="&amp;$D$7,Base!$Y$3:$Y$5001,"&lt;&gt;")=0,"",SUMIFS(Base!$Y$3:$Y$5001,Base!$B$3:$B$5001,J$95,Base!$A$3:$A$5001,_xlfn.MAXIFS(Base!$A$3:$A$5001,Base!$B$3:$B$5001,J$95,Base!$A$3:$A$5001,"&gt;="&amp;$C$7,Base!$A$3:$A$5001,"&lt;="&amp;$D$7,Base!$Y$3:$Y$5001,"&lt;&gt;")))</f>
        <v/>
      </c>
      <c r="K118" t="str">
        <f>IF(COUNT(B118:J118)=0,"",SUM(B118:J118))</f>
        <v/>
      </c>
    </row>
    <row r="119">
      <c r="A119" t="inlineStr">
        <is>
          <t xml:space="preserve">Taxa de Ocupação</t>
        </is>
      </c>
      <c r="B119" t="str">
        <f>IF(AND(ISNUMBER(B118),ISNUMBER(B117)),IF(B117&gt;0,B118/B117,""),"")</f>
        <v/>
      </c>
      <c r="C119" t="str">
        <f>IF(AND(ISNUMBER(C118),ISNUMBER(C117)),IF(C117&gt;0,C118/C117,""),"")</f>
        <v/>
      </c>
      <c r="D119" t="str">
        <f>IF(AND(ISNUMBER(D118),ISNUMBER(D117)),IF(D117&gt;0,D118/D117,""),"")</f>
        <v/>
      </c>
      <c r="E119" t="str">
        <f>IF(AND(ISNUMBER(E118),ISNUMBER(E117)),IF(E117&gt;0,E118/E117,""),"")</f>
        <v/>
      </c>
      <c r="F119" t="str">
        <f>IF(AND(ISNUMBER(F118),ISNUMBER(F117)),IF(F117&gt;0,F118/F117,""),"")</f>
        <v/>
      </c>
      <c r="G119" t="str">
        <f>IF(AND(ISNUMBER(G118),ISNUMBER(G117)),IF(G117&gt;0,G118/G117,""),"")</f>
        <v/>
      </c>
      <c r="H119" t="str">
        <f>IF(AND(ISNUMBER(H118),ISNUMBER(H117)),IF(H117&gt;0,H118/H117,""),"")</f>
        <v/>
      </c>
      <c r="I119" t="str">
        <f>IF(AND(ISNUMBER(I118),ISNUMBER(I117)),IF(I117&gt;0,I118/I117,""),"")</f>
        <v/>
      </c>
      <c r="J119" t="str">
        <f>IF(AND(ISNUMBER(J118),ISNUMBER(J117)),IF(J117&gt;0,J118/J117,""),"")</f>
        <v/>
      </c>
      <c r="K119" t="str">
        <f>IFERROR(K118/K117,"")</f>
        <v/>
      </c>
    </row>
    <row r="120">
      <c r="A120" t="inlineStr">
        <is>
          <t xml:space="preserve">Efetivo</t>
        </is>
      </c>
      <c r="B120" t="str">
        <f>IF(COUNTIFS(Base!$B$3:$B$5001,B$95,Base!$A$3:$A$5001,"&gt;="&amp;$C$7,Base!$A$3:$A$5001,"&lt;="&amp;$D$7,Base!$Z$3:$Z$5001,"&lt;&gt;")=0,"",SUMIFS(Base!$Z$3:$Z$5001,Base!$B$3:$B$5001,B$95,Base!$A$3:$A$5001,_xlfn.MAXIFS(Base!$A$3:$A$5001,Base!$B$3:$B$5001,B$95,Base!$A$3:$A$5001,"&gt;="&amp;$C$7,Base!$A$3:$A$5001,"&lt;="&amp;$D$7,Base!$Z$3:$Z$5001,"&lt;&gt;")))</f>
        <v/>
      </c>
      <c r="C120" t="str">
        <f>IF(COUNTIFS(Base!$B$3:$B$5001,C$95,Base!$A$3:$A$5001,"&gt;="&amp;$C$7,Base!$A$3:$A$5001,"&lt;="&amp;$D$7,Base!$Z$3:$Z$5001,"&lt;&gt;")=0,"",SUMIFS(Base!$Z$3:$Z$5001,Base!$B$3:$B$5001,C$95,Base!$A$3:$A$5001,_xlfn.MAXIFS(Base!$A$3:$A$5001,Base!$B$3:$B$5001,C$95,Base!$A$3:$A$5001,"&gt;="&amp;$C$7,Base!$A$3:$A$5001,"&lt;="&amp;$D$7,Base!$Z$3:$Z$5001,"&lt;&gt;")))</f>
        <v/>
      </c>
      <c r="D120" t="str">
        <f>IF(COUNTIFS(Base!$B$3:$B$5001,D$95,Base!$A$3:$A$5001,"&gt;="&amp;$C$7,Base!$A$3:$A$5001,"&lt;="&amp;$D$7,Base!$Z$3:$Z$5001,"&lt;&gt;")=0,"",SUMIFS(Base!$Z$3:$Z$5001,Base!$B$3:$B$5001,D$95,Base!$A$3:$A$5001,_xlfn.MAXIFS(Base!$A$3:$A$5001,Base!$B$3:$B$5001,D$95,Base!$A$3:$A$5001,"&gt;="&amp;$C$7,Base!$A$3:$A$5001,"&lt;="&amp;$D$7,Base!$Z$3:$Z$5001,"&lt;&gt;")))</f>
        <v/>
      </c>
      <c r="E120" t="str">
        <f>IF(COUNTIFS(Base!$B$3:$B$5001,E$95,Base!$A$3:$A$5001,"&gt;="&amp;$C$7,Base!$A$3:$A$5001,"&lt;="&amp;$D$7,Base!$Z$3:$Z$5001,"&lt;&gt;")=0,"",SUMIFS(Base!$Z$3:$Z$5001,Base!$B$3:$B$5001,E$95,Base!$A$3:$A$5001,_xlfn.MAXIFS(Base!$A$3:$A$5001,Base!$B$3:$B$5001,E$95,Base!$A$3:$A$5001,"&gt;="&amp;$C$7,Base!$A$3:$A$5001,"&lt;="&amp;$D$7,Base!$Z$3:$Z$5001,"&lt;&gt;")))</f>
        <v/>
      </c>
      <c r="F120" t="str">
        <f>IF(COUNTIFS(Base!$B$3:$B$5001,F$95,Base!$A$3:$A$5001,"&gt;="&amp;$C$7,Base!$A$3:$A$5001,"&lt;="&amp;$D$7,Base!$Z$3:$Z$5001,"&lt;&gt;")=0,"",SUMIFS(Base!$Z$3:$Z$5001,Base!$B$3:$B$5001,F$95,Base!$A$3:$A$5001,_xlfn.MAXIFS(Base!$A$3:$A$5001,Base!$B$3:$B$5001,F$95,Base!$A$3:$A$5001,"&gt;="&amp;$C$7,Base!$A$3:$A$5001,"&lt;="&amp;$D$7,Base!$Z$3:$Z$5001,"&lt;&gt;")))</f>
        <v/>
      </c>
      <c r="G120" t="str">
        <f>IF(COUNTIFS(Base!$B$3:$B$5001,G$95,Base!$A$3:$A$5001,"&gt;="&amp;$C$7,Base!$A$3:$A$5001,"&lt;="&amp;$D$7,Base!$Z$3:$Z$5001,"&lt;&gt;")=0,"",SUMIFS(Base!$Z$3:$Z$5001,Base!$B$3:$B$5001,G$95,Base!$A$3:$A$5001,_xlfn.MAXIFS(Base!$A$3:$A$5001,Base!$B$3:$B$5001,G$95,Base!$A$3:$A$5001,"&gt;="&amp;$C$7,Base!$A$3:$A$5001,"&lt;="&amp;$D$7,Base!$Z$3:$Z$5001,"&lt;&gt;")))</f>
        <v/>
      </c>
      <c r="H120" t="str">
        <f>IF(COUNTIFS(Base!$B$3:$B$5001,H$95,Base!$A$3:$A$5001,"&gt;="&amp;$C$7,Base!$A$3:$A$5001,"&lt;="&amp;$D$7,Base!$Z$3:$Z$5001,"&lt;&gt;")=0,"",SUMIFS(Base!$Z$3:$Z$5001,Base!$B$3:$B$5001,H$95,Base!$A$3:$A$5001,_xlfn.MAXIFS(Base!$A$3:$A$5001,Base!$B$3:$B$5001,H$95,Base!$A$3:$A$5001,"&gt;="&amp;$C$7,Base!$A$3:$A$5001,"&lt;="&amp;$D$7,Base!$Z$3:$Z$5001,"&lt;&gt;")))</f>
        <v/>
      </c>
      <c r="I120" t="str">
        <f>IF(COUNTIFS(Base!$B$3:$B$5001,I$95,Base!$A$3:$A$5001,"&gt;="&amp;$C$7,Base!$A$3:$A$5001,"&lt;="&amp;$D$7,Base!$Z$3:$Z$5001,"&lt;&gt;")=0,"",SUMIFS(Base!$Z$3:$Z$5001,Base!$B$3:$B$5001,I$95,Base!$A$3:$A$5001,_xlfn.MAXIFS(Base!$A$3:$A$5001,Base!$B$3:$B$5001,I$95,Base!$A$3:$A$5001,"&gt;="&amp;$C$7,Base!$A$3:$A$5001,"&lt;="&amp;$D$7,Base!$Z$3:$Z$5001,"&lt;&gt;")))</f>
        <v/>
      </c>
      <c r="J120" t="str">
        <f>IF(COUNTIFS(Base!$B$3:$B$5001,J$95,Base!$A$3:$A$5001,"&gt;="&amp;$C$7,Base!$A$3:$A$5001,"&lt;="&amp;$D$7,Base!$Z$3:$Z$5001,"&lt;&gt;")=0,"",SUMIFS(Base!$Z$3:$Z$5001,Base!$B$3:$B$5001,J$95,Base!$A$3:$A$5001,_xlfn.MAXIFS(Base!$A$3:$A$5001,Base!$B$3:$B$5001,J$95,Base!$A$3:$A$5001,"&gt;="&amp;$C$7,Base!$A$3:$A$5001,"&lt;="&amp;$D$7,Base!$Z$3:$Z$5001,"&lt;&gt;")))</f>
        <v/>
      </c>
      <c r="K120" t="str">
        <f>IF(COUNT(B120:J120)=0,"",SUM(B120:J120))</f>
        <v/>
      </c>
    </row>
    <row r="121">
      <c r="A121" t="inlineStr">
        <is>
          <t xml:space="preserve">Falta</t>
        </is>
      </c>
      <c r="B121">
        <f>SUMIFS(Base!$AA$3:$AA$5001,Base!$B$3:$B$5001,B$95,Base!$A$3:$A$5001,"&gt;="&amp;$C$7,Base!$A$3:$A$5001,"&lt;="&amp;$D$7)</f>
        <v>0</v>
      </c>
      <c r="C121">
        <f>SUMIFS(Base!$AA$3:$AA$5001,Base!$B$3:$B$5001,C$95,Base!$A$3:$A$5001,"&gt;="&amp;$C$7,Base!$A$3:$A$5001,"&lt;="&amp;$D$7)</f>
        <v>0</v>
      </c>
      <c r="D121">
        <f>SUMIFS(Base!$AA$3:$AA$5001,Base!$B$3:$B$5001,D$95,Base!$A$3:$A$5001,"&gt;="&amp;$C$7,Base!$A$3:$A$5001,"&lt;="&amp;$D$7)</f>
        <v>0</v>
      </c>
      <c r="E121">
        <f>SUMIFS(Base!$AA$3:$AA$5001,Base!$B$3:$B$5001,E$95,Base!$A$3:$A$5001,"&gt;="&amp;$C$7,Base!$A$3:$A$5001,"&lt;="&amp;$D$7)</f>
        <v>0</v>
      </c>
      <c r="F121">
        <f>SUMIFS(Base!$AA$3:$AA$5001,Base!$B$3:$B$5001,F$95,Base!$A$3:$A$5001,"&gt;="&amp;$C$7,Base!$A$3:$A$5001,"&lt;="&amp;$D$7)</f>
        <v>0</v>
      </c>
      <c r="G121">
        <f>SUMIFS(Base!$AA$3:$AA$5001,Base!$B$3:$B$5001,G$95,Base!$A$3:$A$5001,"&gt;="&amp;$C$7,Base!$A$3:$A$5001,"&lt;="&amp;$D$7)</f>
        <v>0</v>
      </c>
      <c r="H121">
        <f>SUMIFS(Base!$AA$3:$AA$5001,Base!$B$3:$B$5001,H$95,Base!$A$3:$A$5001,"&gt;="&amp;$C$7,Base!$A$3:$A$5001,"&lt;="&amp;$D$7)</f>
        <v>0</v>
      </c>
      <c r="I121">
        <f>SUMIFS(Base!$AA$3:$AA$5001,Base!$B$3:$B$5001,I$95,Base!$A$3:$A$5001,"&gt;="&amp;$C$7,Base!$A$3:$A$5001,"&lt;="&amp;$D$7)</f>
        <v>0</v>
      </c>
      <c r="J121">
        <f>SUMIFS(Base!$AA$3:$AA$5001,Base!$B$3:$B$5001,J$95,Base!$A$3:$A$5001,"&gt;="&amp;$C$7,Base!$A$3:$A$5001,"&lt;="&amp;$D$7)</f>
        <v>0</v>
      </c>
      <c r="K121">
        <f>SUM(B121:J121)</f>
        <v>0</v>
      </c>
    </row>
    <row r="122">
      <c r="A122" t="inlineStr">
        <is>
          <t xml:space="preserve">Folga</t>
        </is>
      </c>
      <c r="B122">
        <f>SUMIFS(Base!$AB$3:$AB$5001,Base!$B$3:$B$5001,B$95,Base!$A$3:$A$5001,"&gt;="&amp;$C$7,Base!$A$3:$A$5001,"&lt;="&amp;$D$7)</f>
        <v>0</v>
      </c>
      <c r="C122">
        <f>SUMIFS(Base!$AB$3:$AB$5001,Base!$B$3:$B$5001,C$95,Base!$A$3:$A$5001,"&gt;="&amp;$C$7,Base!$A$3:$A$5001,"&lt;="&amp;$D$7)</f>
        <v>0</v>
      </c>
      <c r="D122">
        <f>SUMIFS(Base!$AB$3:$AB$5001,Base!$B$3:$B$5001,D$95,Base!$A$3:$A$5001,"&gt;="&amp;$C$7,Base!$A$3:$A$5001,"&lt;="&amp;$D$7)</f>
        <v>0</v>
      </c>
      <c r="E122">
        <f>SUMIFS(Base!$AB$3:$AB$5001,Base!$B$3:$B$5001,E$95,Base!$A$3:$A$5001,"&gt;="&amp;$C$7,Base!$A$3:$A$5001,"&lt;="&amp;$D$7)</f>
        <v>0</v>
      </c>
      <c r="F122">
        <f>SUMIFS(Base!$AB$3:$AB$5001,Base!$B$3:$B$5001,F$95,Base!$A$3:$A$5001,"&gt;="&amp;$C$7,Base!$A$3:$A$5001,"&lt;="&amp;$D$7)</f>
        <v>0</v>
      </c>
      <c r="G122">
        <f>SUMIFS(Base!$AB$3:$AB$5001,Base!$B$3:$B$5001,G$95,Base!$A$3:$A$5001,"&gt;="&amp;$C$7,Base!$A$3:$A$5001,"&lt;="&amp;$D$7)</f>
        <v>0</v>
      </c>
      <c r="H122">
        <f>SUMIFS(Base!$AB$3:$AB$5001,Base!$B$3:$B$5001,H$95,Base!$A$3:$A$5001,"&gt;="&amp;$C$7,Base!$A$3:$A$5001,"&lt;="&amp;$D$7)</f>
        <v>0</v>
      </c>
      <c r="I122">
        <f>SUMIFS(Base!$AB$3:$AB$5001,Base!$B$3:$B$5001,I$95,Base!$A$3:$A$5001,"&gt;="&amp;$C$7,Base!$A$3:$A$5001,"&lt;="&amp;$D$7)</f>
        <v>0</v>
      </c>
      <c r="J122">
        <f>SUMIFS(Base!$AB$3:$AB$5001,Base!$B$3:$B$5001,J$95,Base!$A$3:$A$5001,"&gt;="&amp;$C$7,Base!$A$3:$A$5001,"&lt;="&amp;$D$7)</f>
        <v>0</v>
      </c>
      <c r="K122">
        <f>SUM(B122:J122)</f>
        <v>0</v>
      </c>
    </row>
    <row r="123">
      <c r="A123" t="inlineStr">
        <is>
          <t xml:space="preserve">Férias</t>
        </is>
      </c>
      <c r="B123">
        <f>SUMIFS(Base!$AC$3:$AC$5001,Base!$B$3:$B$5001,B$95,Base!$A$3:$A$5001,"&gt;="&amp;$C$7,Base!$A$3:$A$5001,"&lt;="&amp;$D$7)</f>
        <v>0</v>
      </c>
      <c r="C123">
        <f>SUMIFS(Base!$AC$3:$AC$5001,Base!$B$3:$B$5001,C$95,Base!$A$3:$A$5001,"&gt;="&amp;$C$7,Base!$A$3:$A$5001,"&lt;="&amp;$D$7)</f>
        <v>0</v>
      </c>
      <c r="D123">
        <f>SUMIFS(Base!$AC$3:$AC$5001,Base!$B$3:$B$5001,D$95,Base!$A$3:$A$5001,"&gt;="&amp;$C$7,Base!$A$3:$A$5001,"&lt;="&amp;$D$7)</f>
        <v>0</v>
      </c>
      <c r="E123">
        <f>SUMIFS(Base!$AC$3:$AC$5001,Base!$B$3:$B$5001,E$95,Base!$A$3:$A$5001,"&gt;="&amp;$C$7,Base!$A$3:$A$5001,"&lt;="&amp;$D$7)</f>
        <v>0</v>
      </c>
      <c r="F123">
        <f>SUMIFS(Base!$AC$3:$AC$5001,Base!$B$3:$B$5001,F$95,Base!$A$3:$A$5001,"&gt;="&amp;$C$7,Base!$A$3:$A$5001,"&lt;="&amp;$D$7)</f>
        <v>0</v>
      </c>
      <c r="G123">
        <f>SUMIFS(Base!$AC$3:$AC$5001,Base!$B$3:$B$5001,G$95,Base!$A$3:$A$5001,"&gt;="&amp;$C$7,Base!$A$3:$A$5001,"&lt;="&amp;$D$7)</f>
        <v>0</v>
      </c>
      <c r="H123">
        <f>SUMIFS(Base!$AC$3:$AC$5001,Base!$B$3:$B$5001,H$95,Base!$A$3:$A$5001,"&gt;="&amp;$C$7,Base!$A$3:$A$5001,"&lt;="&amp;$D$7)</f>
        <v>0</v>
      </c>
      <c r="I123">
        <f>SUMIFS(Base!$AC$3:$AC$5001,Base!$B$3:$B$5001,I$95,Base!$A$3:$A$5001,"&gt;="&amp;$C$7,Base!$A$3:$A$5001,"&lt;="&amp;$D$7)</f>
        <v>0</v>
      </c>
      <c r="J123">
        <f>SUMIFS(Base!$AC$3:$AC$5001,Base!$B$3:$B$5001,J$95,Base!$A$3:$A$5001,"&gt;="&amp;$C$7,Base!$A$3:$A$5001,"&lt;="&amp;$D$7)</f>
        <v>0</v>
      </c>
      <c r="K123">
        <f>SUM(B123:J123)</f>
        <v>0</v>
      </c>
    </row>
    <row r="124">
      <c r="A124" t="inlineStr">
        <is>
          <t xml:space="preserve">Desligamentos</t>
        </is>
      </c>
      <c r="B124">
        <f>SUMIFS(Base!$AD$3:$AD$5001,Base!$B$3:$B$5001,B$95,Base!$A$3:$A$5001,"&gt;="&amp;$C$7,Base!$A$3:$A$5001,"&lt;="&amp;$D$7)</f>
        <v>0</v>
      </c>
      <c r="C124">
        <f>SUMIFS(Base!$AD$3:$AD$5001,Base!$B$3:$B$5001,C$95,Base!$A$3:$A$5001,"&gt;="&amp;$C$7,Base!$A$3:$A$5001,"&lt;="&amp;$D$7)</f>
        <v>0</v>
      </c>
      <c r="D124">
        <f>SUMIFS(Base!$AD$3:$AD$5001,Base!$B$3:$B$5001,D$95,Base!$A$3:$A$5001,"&gt;="&amp;$C$7,Base!$A$3:$A$5001,"&lt;="&amp;$D$7)</f>
        <v>0</v>
      </c>
      <c r="E124">
        <f>SUMIFS(Base!$AD$3:$AD$5001,Base!$B$3:$B$5001,E$95,Base!$A$3:$A$5001,"&gt;="&amp;$C$7,Base!$A$3:$A$5001,"&lt;="&amp;$D$7)</f>
        <v>0</v>
      </c>
      <c r="F124">
        <f>SUMIFS(Base!$AD$3:$AD$5001,Base!$B$3:$B$5001,F$95,Base!$A$3:$A$5001,"&gt;="&amp;$C$7,Base!$A$3:$A$5001,"&lt;="&amp;$D$7)</f>
        <v>0</v>
      </c>
      <c r="G124">
        <f>SUMIFS(Base!$AD$3:$AD$5001,Base!$B$3:$B$5001,G$95,Base!$A$3:$A$5001,"&gt;="&amp;$C$7,Base!$A$3:$A$5001,"&lt;="&amp;$D$7)</f>
        <v>0</v>
      </c>
      <c r="H124">
        <f>SUMIFS(Base!$AD$3:$AD$5001,Base!$B$3:$B$5001,H$95,Base!$A$3:$A$5001,"&gt;="&amp;$C$7,Base!$A$3:$A$5001,"&lt;="&amp;$D$7)</f>
        <v>0</v>
      </c>
      <c r="I124">
        <f>SUMIFS(Base!$AD$3:$AD$5001,Base!$B$3:$B$5001,I$95,Base!$A$3:$A$5001,"&gt;="&amp;$C$7,Base!$A$3:$A$5001,"&lt;="&amp;$D$7)</f>
        <v>0</v>
      </c>
      <c r="J124">
        <f>SUMIFS(Base!$AD$3:$AD$5001,Base!$B$3:$B$5001,J$95,Base!$A$3:$A$5001,"&gt;="&amp;$C$7,Base!$A$3:$A$5001,"&lt;="&amp;$D$7)</f>
        <v>0</v>
      </c>
      <c r="K124">
        <f>SUM(B124:J124)</f>
        <v>0</v>
      </c>
    </row>
    <row r="126">
      <c r="A126" t="inlineStr">
        <is>
          <t xml:space="preserve">ESTOQUES POR CLIENTE — último valor informado até cada dia (base de Backlog, Posições e Efetivo)</t>
        </is>
      </c>
    </row>
    <row r="127">
      <c r="A127" s="145" t="inlineStr">
        <is>
          <t xml:space="preserve">Backlog</t>
        </is>
      </c>
      <c r="B127" s="145" t="inlineStr">
        <is>
          <t xml:space="preserve">Data</t>
        </is>
      </c>
      <c r="C127" s="145" t="inlineStr">
        <is>
          <t xml:space="preserve">BASF</t>
        </is>
      </c>
      <c r="D127" s="145" t="inlineStr">
        <is>
          <t xml:space="preserve">BEAUTYBIZ</t>
        </is>
      </c>
      <c r="E127" s="145" t="inlineStr">
        <is>
          <t xml:space="preserve">BOTICÁRIO</t>
        </is>
      </c>
      <c r="F127" s="145" t="inlineStr">
        <is>
          <t xml:space="preserve">SUPPLY</t>
        </is>
      </c>
      <c r="G127" s="145" t="inlineStr">
        <is>
          <t xml:space="preserve">GE VERNOVA</t>
        </is>
      </c>
      <c r="H127" s="145" t="inlineStr">
        <is>
          <t xml:space="preserve">VESTAS</t>
        </is>
      </c>
      <c r="I127" s="145" t="inlineStr">
        <is>
          <t xml:space="preserve">VEDACIT</t>
        </is>
      </c>
      <c r="J127" s="145" t="inlineStr">
        <is>
          <t xml:space="preserve">OMNLIFE</t>
        </is>
      </c>
      <c r="K127" s="145" t="inlineStr">
        <is>
          <t xml:space="preserve">ALPARGATAS</t>
        </is>
      </c>
    </row>
    <row r="128">
      <c r="A128">
        <v>1</v>
      </c>
      <c r="B128" s="152">
        <f>$B$12</f>
        <v>46266</v>
      </c>
      <c r="C128" t="str">
        <f>IF($A128&gt;$B$9,"",IF(COUNTIFS(Base!$B$3:$B$5001,C$127,Base!$A$3:$A$5001,"&gt;="&amp;$C$7,Base!$A$3:$A$5001,"&lt;="&amp;$B128,Base!$W$3:$W$5001,"&lt;&gt;")=0,"",SUMIFS(Base!$W$3:$W$5001,Base!$B$3:$B$5001,C$127,Base!$A$3:$A$5001,_xlfn.MAXIFS(Base!$A$3:$A$5001,Base!$B$3:$B$5001,C$127,Base!$A$3:$A$5001,"&gt;="&amp;$C$7,Base!$A$3:$A$5001,"&lt;="&amp;$B128,Base!$W$3:$W$5001,"&lt;&gt;"))))</f>
        <v/>
      </c>
      <c r="D128" t="str">
        <f>IF($A128&gt;$B$9,"",IF(COUNTIFS(Base!$B$3:$B$5001,D$127,Base!$A$3:$A$5001,"&gt;="&amp;$C$7,Base!$A$3:$A$5001,"&lt;="&amp;$B128,Base!$W$3:$W$5001,"&lt;&gt;")=0,"",SUMIFS(Base!$W$3:$W$5001,Base!$B$3:$B$5001,D$127,Base!$A$3:$A$5001,_xlfn.MAXIFS(Base!$A$3:$A$5001,Base!$B$3:$B$5001,D$127,Base!$A$3:$A$5001,"&gt;="&amp;$C$7,Base!$A$3:$A$5001,"&lt;="&amp;$B128,Base!$W$3:$W$5001,"&lt;&gt;"))))</f>
        <v/>
      </c>
      <c r="E128" t="str">
        <f>IF($A128&gt;$B$9,"",IF(COUNTIFS(Base!$B$3:$B$5001,E$127,Base!$A$3:$A$5001,"&gt;="&amp;$C$7,Base!$A$3:$A$5001,"&lt;="&amp;$B128,Base!$W$3:$W$5001,"&lt;&gt;")=0,"",SUMIFS(Base!$W$3:$W$5001,Base!$B$3:$B$5001,E$127,Base!$A$3:$A$5001,_xlfn.MAXIFS(Base!$A$3:$A$5001,Base!$B$3:$B$5001,E$127,Base!$A$3:$A$5001,"&gt;="&amp;$C$7,Base!$A$3:$A$5001,"&lt;="&amp;$B128,Base!$W$3:$W$5001,"&lt;&gt;"))))</f>
        <v/>
      </c>
      <c r="F128" t="str">
        <f>IF($A128&gt;$B$9,"",IF(COUNTIFS(Base!$B$3:$B$5001,F$127,Base!$A$3:$A$5001,"&gt;="&amp;$C$7,Base!$A$3:$A$5001,"&lt;="&amp;$B128,Base!$W$3:$W$5001,"&lt;&gt;")=0,"",SUMIFS(Base!$W$3:$W$5001,Base!$B$3:$B$5001,F$127,Base!$A$3:$A$5001,_xlfn.MAXIFS(Base!$A$3:$A$5001,Base!$B$3:$B$5001,F$127,Base!$A$3:$A$5001,"&gt;="&amp;$C$7,Base!$A$3:$A$5001,"&lt;="&amp;$B128,Base!$W$3:$W$5001,"&lt;&gt;"))))</f>
        <v/>
      </c>
      <c r="G128" t="str">
        <f>IF($A128&gt;$B$9,"",IF(COUNTIFS(Base!$B$3:$B$5001,G$127,Base!$A$3:$A$5001,"&gt;="&amp;$C$7,Base!$A$3:$A$5001,"&lt;="&amp;$B128,Base!$W$3:$W$5001,"&lt;&gt;")=0,"",SUMIFS(Base!$W$3:$W$5001,Base!$B$3:$B$5001,G$127,Base!$A$3:$A$5001,_xlfn.MAXIFS(Base!$A$3:$A$5001,Base!$B$3:$B$5001,G$127,Base!$A$3:$A$5001,"&gt;="&amp;$C$7,Base!$A$3:$A$5001,"&lt;="&amp;$B128,Base!$W$3:$W$5001,"&lt;&gt;"))))</f>
        <v/>
      </c>
      <c r="H128" t="str">
        <f>IF($A128&gt;$B$9,"",IF(COUNTIFS(Base!$B$3:$B$5001,H$127,Base!$A$3:$A$5001,"&gt;="&amp;$C$7,Base!$A$3:$A$5001,"&lt;="&amp;$B128,Base!$W$3:$W$5001,"&lt;&gt;")=0,"",SUMIFS(Base!$W$3:$W$5001,Base!$B$3:$B$5001,H$127,Base!$A$3:$A$5001,_xlfn.MAXIFS(Base!$A$3:$A$5001,Base!$B$3:$B$5001,H$127,Base!$A$3:$A$5001,"&gt;="&amp;$C$7,Base!$A$3:$A$5001,"&lt;="&amp;$B128,Base!$W$3:$W$5001,"&lt;&gt;"))))</f>
        <v/>
      </c>
      <c r="I128" t="str">
        <f>IF($A128&gt;$B$9,"",IF(COUNTIFS(Base!$B$3:$B$5001,I$127,Base!$A$3:$A$5001,"&gt;="&amp;$C$7,Base!$A$3:$A$5001,"&lt;="&amp;$B128,Base!$W$3:$W$5001,"&lt;&gt;")=0,"",SUMIFS(Base!$W$3:$W$5001,Base!$B$3:$B$5001,I$127,Base!$A$3:$A$5001,_xlfn.MAXIFS(Base!$A$3:$A$5001,Base!$B$3:$B$5001,I$127,Base!$A$3:$A$5001,"&gt;="&amp;$C$7,Base!$A$3:$A$5001,"&lt;="&amp;$B128,Base!$W$3:$W$5001,"&lt;&gt;"))))</f>
        <v/>
      </c>
      <c r="J128" t="str">
        <f>IF($A128&gt;$B$9,"",IF(COUNTIFS(Base!$B$3:$B$5001,J$127,Base!$A$3:$A$5001,"&gt;="&amp;$C$7,Base!$A$3:$A$5001,"&lt;="&amp;$B128,Base!$W$3:$W$5001,"&lt;&gt;")=0,"",SUMIFS(Base!$W$3:$W$5001,Base!$B$3:$B$5001,J$127,Base!$A$3:$A$5001,_xlfn.MAXIFS(Base!$A$3:$A$5001,Base!$B$3:$B$5001,J$127,Base!$A$3:$A$5001,"&gt;="&amp;$C$7,Base!$A$3:$A$5001,"&lt;="&amp;$B128,Base!$W$3:$W$5001,"&lt;&gt;"))))</f>
        <v/>
      </c>
      <c r="K128" t="str">
        <f>IF($A128&gt;$B$9,"",IF(COUNTIFS(Base!$B$3:$B$5001,K$127,Base!$A$3:$A$5001,"&gt;="&amp;$C$7,Base!$A$3:$A$5001,"&lt;="&amp;$B128,Base!$W$3:$W$5001,"&lt;&gt;")=0,"",SUMIFS(Base!$W$3:$W$5001,Base!$B$3:$B$5001,K$127,Base!$A$3:$A$5001,_xlfn.MAXIFS(Base!$A$3:$A$5001,Base!$B$3:$B$5001,K$127,Base!$A$3:$A$5001,"&gt;="&amp;$C$7,Base!$A$3:$A$5001,"&lt;="&amp;$B128,Base!$W$3:$W$5001,"&lt;&gt;"))))</f>
        <v/>
      </c>
    </row>
    <row r="129">
      <c r="A129">
        <v>2</v>
      </c>
      <c r="B129" s="152">
        <f>$B$13</f>
        <v>46267</v>
      </c>
      <c r="C129" t="str">
        <f>IF($A129&gt;$B$9,"",IF(COUNTIFS(Base!$B$3:$B$5001,C$127,Base!$A$3:$A$5001,"&gt;="&amp;$C$7,Base!$A$3:$A$5001,"&lt;="&amp;$B129,Base!$W$3:$W$5001,"&lt;&gt;")=0,"",SUMIFS(Base!$W$3:$W$5001,Base!$B$3:$B$5001,C$127,Base!$A$3:$A$5001,_xlfn.MAXIFS(Base!$A$3:$A$5001,Base!$B$3:$B$5001,C$127,Base!$A$3:$A$5001,"&gt;="&amp;$C$7,Base!$A$3:$A$5001,"&lt;="&amp;$B129,Base!$W$3:$W$5001,"&lt;&gt;"))))</f>
        <v/>
      </c>
      <c r="D129" t="str">
        <f>IF($A129&gt;$B$9,"",IF(COUNTIFS(Base!$B$3:$B$5001,D$127,Base!$A$3:$A$5001,"&gt;="&amp;$C$7,Base!$A$3:$A$5001,"&lt;="&amp;$B129,Base!$W$3:$W$5001,"&lt;&gt;")=0,"",SUMIFS(Base!$W$3:$W$5001,Base!$B$3:$B$5001,D$127,Base!$A$3:$A$5001,_xlfn.MAXIFS(Base!$A$3:$A$5001,Base!$B$3:$B$5001,D$127,Base!$A$3:$A$5001,"&gt;="&amp;$C$7,Base!$A$3:$A$5001,"&lt;="&amp;$B129,Base!$W$3:$W$5001,"&lt;&gt;"))))</f>
        <v/>
      </c>
      <c r="E129" t="str">
        <f>IF($A129&gt;$B$9,"",IF(COUNTIFS(Base!$B$3:$B$5001,E$127,Base!$A$3:$A$5001,"&gt;="&amp;$C$7,Base!$A$3:$A$5001,"&lt;="&amp;$B129,Base!$W$3:$W$5001,"&lt;&gt;")=0,"",SUMIFS(Base!$W$3:$W$5001,Base!$B$3:$B$5001,E$127,Base!$A$3:$A$5001,_xlfn.MAXIFS(Base!$A$3:$A$5001,Base!$B$3:$B$5001,E$127,Base!$A$3:$A$5001,"&gt;="&amp;$C$7,Base!$A$3:$A$5001,"&lt;="&amp;$B129,Base!$W$3:$W$5001,"&lt;&gt;"))))</f>
        <v/>
      </c>
      <c r="F129" t="str">
        <f>IF($A129&gt;$B$9,"",IF(COUNTIFS(Base!$B$3:$B$5001,F$127,Base!$A$3:$A$5001,"&gt;="&amp;$C$7,Base!$A$3:$A$5001,"&lt;="&amp;$B129,Base!$W$3:$W$5001,"&lt;&gt;")=0,"",SUMIFS(Base!$W$3:$W$5001,Base!$B$3:$B$5001,F$127,Base!$A$3:$A$5001,_xlfn.MAXIFS(Base!$A$3:$A$5001,Base!$B$3:$B$5001,F$127,Base!$A$3:$A$5001,"&gt;="&amp;$C$7,Base!$A$3:$A$5001,"&lt;="&amp;$B129,Base!$W$3:$W$5001,"&lt;&gt;"))))</f>
        <v/>
      </c>
      <c r="G129" t="str">
        <f>IF($A129&gt;$B$9,"",IF(COUNTIFS(Base!$B$3:$B$5001,G$127,Base!$A$3:$A$5001,"&gt;="&amp;$C$7,Base!$A$3:$A$5001,"&lt;="&amp;$B129,Base!$W$3:$W$5001,"&lt;&gt;")=0,"",SUMIFS(Base!$W$3:$W$5001,Base!$B$3:$B$5001,G$127,Base!$A$3:$A$5001,_xlfn.MAXIFS(Base!$A$3:$A$5001,Base!$B$3:$B$5001,G$127,Base!$A$3:$A$5001,"&gt;="&amp;$C$7,Base!$A$3:$A$5001,"&lt;="&amp;$B129,Base!$W$3:$W$5001,"&lt;&gt;"))))</f>
        <v/>
      </c>
      <c r="H129" t="str">
        <f>IF($A129&gt;$B$9,"",IF(COUNTIFS(Base!$B$3:$B$5001,H$127,Base!$A$3:$A$5001,"&gt;="&amp;$C$7,Base!$A$3:$A$5001,"&lt;="&amp;$B129,Base!$W$3:$W$5001,"&lt;&gt;")=0,"",SUMIFS(Base!$W$3:$W$5001,Base!$B$3:$B$5001,H$127,Base!$A$3:$A$5001,_xlfn.MAXIFS(Base!$A$3:$A$5001,Base!$B$3:$B$5001,H$127,Base!$A$3:$A$5001,"&gt;="&amp;$C$7,Base!$A$3:$A$5001,"&lt;="&amp;$B129,Base!$W$3:$W$5001,"&lt;&gt;"))))</f>
        <v/>
      </c>
      <c r="I129" t="str">
        <f>IF($A129&gt;$B$9,"",IF(COUNTIFS(Base!$B$3:$B$5001,I$127,Base!$A$3:$A$5001,"&gt;="&amp;$C$7,Base!$A$3:$A$5001,"&lt;="&amp;$B129,Base!$W$3:$W$5001,"&lt;&gt;")=0,"",SUMIFS(Base!$W$3:$W$5001,Base!$B$3:$B$5001,I$127,Base!$A$3:$A$5001,_xlfn.MAXIFS(Base!$A$3:$A$5001,Base!$B$3:$B$5001,I$127,Base!$A$3:$A$5001,"&gt;="&amp;$C$7,Base!$A$3:$A$5001,"&lt;="&amp;$B129,Base!$W$3:$W$5001,"&lt;&gt;"))))</f>
        <v/>
      </c>
      <c r="J129" t="str">
        <f>IF($A129&gt;$B$9,"",IF(COUNTIFS(Base!$B$3:$B$5001,J$127,Base!$A$3:$A$5001,"&gt;="&amp;$C$7,Base!$A$3:$A$5001,"&lt;="&amp;$B129,Base!$W$3:$W$5001,"&lt;&gt;")=0,"",SUMIFS(Base!$W$3:$W$5001,Base!$B$3:$B$5001,J$127,Base!$A$3:$A$5001,_xlfn.MAXIFS(Base!$A$3:$A$5001,Base!$B$3:$B$5001,J$127,Base!$A$3:$A$5001,"&gt;="&amp;$C$7,Base!$A$3:$A$5001,"&lt;="&amp;$B129,Base!$W$3:$W$5001,"&lt;&gt;"))))</f>
        <v/>
      </c>
      <c r="K129" t="str">
        <f>IF($A129&gt;$B$9,"",IF(COUNTIFS(Base!$B$3:$B$5001,K$127,Base!$A$3:$A$5001,"&gt;="&amp;$C$7,Base!$A$3:$A$5001,"&lt;="&amp;$B129,Base!$W$3:$W$5001,"&lt;&gt;")=0,"",SUMIFS(Base!$W$3:$W$5001,Base!$B$3:$B$5001,K$127,Base!$A$3:$A$5001,_xlfn.MAXIFS(Base!$A$3:$A$5001,Base!$B$3:$B$5001,K$127,Base!$A$3:$A$5001,"&gt;="&amp;$C$7,Base!$A$3:$A$5001,"&lt;="&amp;$B129,Base!$W$3:$W$5001,"&lt;&gt;"))))</f>
        <v/>
      </c>
    </row>
    <row r="130">
      <c r="A130">
        <v>3</v>
      </c>
      <c r="B130" s="152">
        <f>$B$14</f>
        <v>46268</v>
      </c>
      <c r="C130" t="str">
        <f>IF($A130&gt;$B$9,"",IF(COUNTIFS(Base!$B$3:$B$5001,C$127,Base!$A$3:$A$5001,"&gt;="&amp;$C$7,Base!$A$3:$A$5001,"&lt;="&amp;$B130,Base!$W$3:$W$5001,"&lt;&gt;")=0,"",SUMIFS(Base!$W$3:$W$5001,Base!$B$3:$B$5001,C$127,Base!$A$3:$A$5001,_xlfn.MAXIFS(Base!$A$3:$A$5001,Base!$B$3:$B$5001,C$127,Base!$A$3:$A$5001,"&gt;="&amp;$C$7,Base!$A$3:$A$5001,"&lt;="&amp;$B130,Base!$W$3:$W$5001,"&lt;&gt;"))))</f>
        <v/>
      </c>
      <c r="D130" t="str">
        <f>IF($A130&gt;$B$9,"",IF(COUNTIFS(Base!$B$3:$B$5001,D$127,Base!$A$3:$A$5001,"&gt;="&amp;$C$7,Base!$A$3:$A$5001,"&lt;="&amp;$B130,Base!$W$3:$W$5001,"&lt;&gt;")=0,"",SUMIFS(Base!$W$3:$W$5001,Base!$B$3:$B$5001,D$127,Base!$A$3:$A$5001,_xlfn.MAXIFS(Base!$A$3:$A$5001,Base!$B$3:$B$5001,D$127,Base!$A$3:$A$5001,"&gt;="&amp;$C$7,Base!$A$3:$A$5001,"&lt;="&amp;$B130,Base!$W$3:$W$5001,"&lt;&gt;"))))</f>
        <v/>
      </c>
      <c r="E130" t="str">
        <f>IF($A130&gt;$B$9,"",IF(COUNTIFS(Base!$B$3:$B$5001,E$127,Base!$A$3:$A$5001,"&gt;="&amp;$C$7,Base!$A$3:$A$5001,"&lt;="&amp;$B130,Base!$W$3:$W$5001,"&lt;&gt;")=0,"",SUMIFS(Base!$W$3:$W$5001,Base!$B$3:$B$5001,E$127,Base!$A$3:$A$5001,_xlfn.MAXIFS(Base!$A$3:$A$5001,Base!$B$3:$B$5001,E$127,Base!$A$3:$A$5001,"&gt;="&amp;$C$7,Base!$A$3:$A$5001,"&lt;="&amp;$B130,Base!$W$3:$W$5001,"&lt;&gt;"))))</f>
        <v/>
      </c>
      <c r="F130" t="str">
        <f>IF($A130&gt;$B$9,"",IF(COUNTIFS(Base!$B$3:$B$5001,F$127,Base!$A$3:$A$5001,"&gt;="&amp;$C$7,Base!$A$3:$A$5001,"&lt;="&amp;$B130,Base!$W$3:$W$5001,"&lt;&gt;")=0,"",SUMIFS(Base!$W$3:$W$5001,Base!$B$3:$B$5001,F$127,Base!$A$3:$A$5001,_xlfn.MAXIFS(Base!$A$3:$A$5001,Base!$B$3:$B$5001,F$127,Base!$A$3:$A$5001,"&gt;="&amp;$C$7,Base!$A$3:$A$5001,"&lt;="&amp;$B130,Base!$W$3:$W$5001,"&lt;&gt;"))))</f>
        <v/>
      </c>
      <c r="G130" t="str">
        <f>IF($A130&gt;$B$9,"",IF(COUNTIFS(Base!$B$3:$B$5001,G$127,Base!$A$3:$A$5001,"&gt;="&amp;$C$7,Base!$A$3:$A$5001,"&lt;="&amp;$B130,Base!$W$3:$W$5001,"&lt;&gt;")=0,"",SUMIFS(Base!$W$3:$W$5001,Base!$B$3:$B$5001,G$127,Base!$A$3:$A$5001,_xlfn.MAXIFS(Base!$A$3:$A$5001,Base!$B$3:$B$5001,G$127,Base!$A$3:$A$5001,"&gt;="&amp;$C$7,Base!$A$3:$A$5001,"&lt;="&amp;$B130,Base!$W$3:$W$5001,"&lt;&gt;"))))</f>
        <v/>
      </c>
      <c r="H130" t="str">
        <f>IF($A130&gt;$B$9,"",IF(COUNTIFS(Base!$B$3:$B$5001,H$127,Base!$A$3:$A$5001,"&gt;="&amp;$C$7,Base!$A$3:$A$5001,"&lt;="&amp;$B130,Base!$W$3:$W$5001,"&lt;&gt;")=0,"",SUMIFS(Base!$W$3:$W$5001,Base!$B$3:$B$5001,H$127,Base!$A$3:$A$5001,_xlfn.MAXIFS(Base!$A$3:$A$5001,Base!$B$3:$B$5001,H$127,Base!$A$3:$A$5001,"&gt;="&amp;$C$7,Base!$A$3:$A$5001,"&lt;="&amp;$B130,Base!$W$3:$W$5001,"&lt;&gt;"))))</f>
        <v/>
      </c>
      <c r="I130" t="str">
        <f>IF($A130&gt;$B$9,"",IF(COUNTIFS(Base!$B$3:$B$5001,I$127,Base!$A$3:$A$5001,"&gt;="&amp;$C$7,Base!$A$3:$A$5001,"&lt;="&amp;$B130,Base!$W$3:$W$5001,"&lt;&gt;")=0,"",SUMIFS(Base!$W$3:$W$5001,Base!$B$3:$B$5001,I$127,Base!$A$3:$A$5001,_xlfn.MAXIFS(Base!$A$3:$A$5001,Base!$B$3:$B$5001,I$127,Base!$A$3:$A$5001,"&gt;="&amp;$C$7,Base!$A$3:$A$5001,"&lt;="&amp;$B130,Base!$W$3:$W$5001,"&lt;&gt;"))))</f>
        <v/>
      </c>
      <c r="J130" t="str">
        <f>IF($A130&gt;$B$9,"",IF(COUNTIFS(Base!$B$3:$B$5001,J$127,Base!$A$3:$A$5001,"&gt;="&amp;$C$7,Base!$A$3:$A$5001,"&lt;="&amp;$B130,Base!$W$3:$W$5001,"&lt;&gt;")=0,"",SUMIFS(Base!$W$3:$W$5001,Base!$B$3:$B$5001,J$127,Base!$A$3:$A$5001,_xlfn.MAXIFS(Base!$A$3:$A$5001,Base!$B$3:$B$5001,J$127,Base!$A$3:$A$5001,"&gt;="&amp;$C$7,Base!$A$3:$A$5001,"&lt;="&amp;$B130,Base!$W$3:$W$5001,"&lt;&gt;"))))</f>
        <v/>
      </c>
      <c r="K130" t="str">
        <f>IF($A130&gt;$B$9,"",IF(COUNTIFS(Base!$B$3:$B$5001,K$127,Base!$A$3:$A$5001,"&gt;="&amp;$C$7,Base!$A$3:$A$5001,"&lt;="&amp;$B130,Base!$W$3:$W$5001,"&lt;&gt;")=0,"",SUMIFS(Base!$W$3:$W$5001,Base!$B$3:$B$5001,K$127,Base!$A$3:$A$5001,_xlfn.MAXIFS(Base!$A$3:$A$5001,Base!$B$3:$B$5001,K$127,Base!$A$3:$A$5001,"&gt;="&amp;$C$7,Base!$A$3:$A$5001,"&lt;="&amp;$B130,Base!$W$3:$W$5001,"&lt;&gt;"))))</f>
        <v/>
      </c>
    </row>
    <row r="131">
      <c r="A131">
        <v>4</v>
      </c>
      <c r="B131" s="152">
        <f>$B$15</f>
        <v>46269</v>
      </c>
      <c r="C131" t="str">
        <f>IF($A131&gt;$B$9,"",IF(COUNTIFS(Base!$B$3:$B$5001,C$127,Base!$A$3:$A$5001,"&gt;="&amp;$C$7,Base!$A$3:$A$5001,"&lt;="&amp;$B131,Base!$W$3:$W$5001,"&lt;&gt;")=0,"",SUMIFS(Base!$W$3:$W$5001,Base!$B$3:$B$5001,C$127,Base!$A$3:$A$5001,_xlfn.MAXIFS(Base!$A$3:$A$5001,Base!$B$3:$B$5001,C$127,Base!$A$3:$A$5001,"&gt;="&amp;$C$7,Base!$A$3:$A$5001,"&lt;="&amp;$B131,Base!$W$3:$W$5001,"&lt;&gt;"))))</f>
        <v/>
      </c>
      <c r="D131" t="str">
        <f>IF($A131&gt;$B$9,"",IF(COUNTIFS(Base!$B$3:$B$5001,D$127,Base!$A$3:$A$5001,"&gt;="&amp;$C$7,Base!$A$3:$A$5001,"&lt;="&amp;$B131,Base!$W$3:$W$5001,"&lt;&gt;")=0,"",SUMIFS(Base!$W$3:$W$5001,Base!$B$3:$B$5001,D$127,Base!$A$3:$A$5001,_xlfn.MAXIFS(Base!$A$3:$A$5001,Base!$B$3:$B$5001,D$127,Base!$A$3:$A$5001,"&gt;="&amp;$C$7,Base!$A$3:$A$5001,"&lt;="&amp;$B131,Base!$W$3:$W$5001,"&lt;&gt;"))))</f>
        <v/>
      </c>
      <c r="E131" t="str">
        <f>IF($A131&gt;$B$9,"",IF(COUNTIFS(Base!$B$3:$B$5001,E$127,Base!$A$3:$A$5001,"&gt;="&amp;$C$7,Base!$A$3:$A$5001,"&lt;="&amp;$B131,Base!$W$3:$W$5001,"&lt;&gt;")=0,"",SUMIFS(Base!$W$3:$W$5001,Base!$B$3:$B$5001,E$127,Base!$A$3:$A$5001,_xlfn.MAXIFS(Base!$A$3:$A$5001,Base!$B$3:$B$5001,E$127,Base!$A$3:$A$5001,"&gt;="&amp;$C$7,Base!$A$3:$A$5001,"&lt;="&amp;$B131,Base!$W$3:$W$5001,"&lt;&gt;"))))</f>
        <v/>
      </c>
      <c r="F131" t="str">
        <f>IF($A131&gt;$B$9,"",IF(COUNTIFS(Base!$B$3:$B$5001,F$127,Base!$A$3:$A$5001,"&gt;="&amp;$C$7,Base!$A$3:$A$5001,"&lt;="&amp;$B131,Base!$W$3:$W$5001,"&lt;&gt;")=0,"",SUMIFS(Base!$W$3:$W$5001,Base!$B$3:$B$5001,F$127,Base!$A$3:$A$5001,_xlfn.MAXIFS(Base!$A$3:$A$5001,Base!$B$3:$B$5001,F$127,Base!$A$3:$A$5001,"&gt;="&amp;$C$7,Base!$A$3:$A$5001,"&lt;="&amp;$B131,Base!$W$3:$W$5001,"&lt;&gt;"))))</f>
        <v/>
      </c>
      <c r="G131" t="str">
        <f>IF($A131&gt;$B$9,"",IF(COUNTIFS(Base!$B$3:$B$5001,G$127,Base!$A$3:$A$5001,"&gt;="&amp;$C$7,Base!$A$3:$A$5001,"&lt;="&amp;$B131,Base!$W$3:$W$5001,"&lt;&gt;")=0,"",SUMIFS(Base!$W$3:$W$5001,Base!$B$3:$B$5001,G$127,Base!$A$3:$A$5001,_xlfn.MAXIFS(Base!$A$3:$A$5001,Base!$B$3:$B$5001,G$127,Base!$A$3:$A$5001,"&gt;="&amp;$C$7,Base!$A$3:$A$5001,"&lt;="&amp;$B131,Base!$W$3:$W$5001,"&lt;&gt;"))))</f>
        <v/>
      </c>
      <c r="H131" t="str">
        <f>IF($A131&gt;$B$9,"",IF(COUNTIFS(Base!$B$3:$B$5001,H$127,Base!$A$3:$A$5001,"&gt;="&amp;$C$7,Base!$A$3:$A$5001,"&lt;="&amp;$B131,Base!$W$3:$W$5001,"&lt;&gt;")=0,"",SUMIFS(Base!$W$3:$W$5001,Base!$B$3:$B$5001,H$127,Base!$A$3:$A$5001,_xlfn.MAXIFS(Base!$A$3:$A$5001,Base!$B$3:$B$5001,H$127,Base!$A$3:$A$5001,"&gt;="&amp;$C$7,Base!$A$3:$A$5001,"&lt;="&amp;$B131,Base!$W$3:$W$5001,"&lt;&gt;"))))</f>
        <v/>
      </c>
      <c r="I131" t="str">
        <f>IF($A131&gt;$B$9,"",IF(COUNTIFS(Base!$B$3:$B$5001,I$127,Base!$A$3:$A$5001,"&gt;="&amp;$C$7,Base!$A$3:$A$5001,"&lt;="&amp;$B131,Base!$W$3:$W$5001,"&lt;&gt;")=0,"",SUMIFS(Base!$W$3:$W$5001,Base!$B$3:$B$5001,I$127,Base!$A$3:$A$5001,_xlfn.MAXIFS(Base!$A$3:$A$5001,Base!$B$3:$B$5001,I$127,Base!$A$3:$A$5001,"&gt;="&amp;$C$7,Base!$A$3:$A$5001,"&lt;="&amp;$B131,Base!$W$3:$W$5001,"&lt;&gt;"))))</f>
        <v/>
      </c>
      <c r="J131" t="str">
        <f>IF($A131&gt;$B$9,"",IF(COUNTIFS(Base!$B$3:$B$5001,J$127,Base!$A$3:$A$5001,"&gt;="&amp;$C$7,Base!$A$3:$A$5001,"&lt;="&amp;$B131,Base!$W$3:$W$5001,"&lt;&gt;")=0,"",SUMIFS(Base!$W$3:$W$5001,Base!$B$3:$B$5001,J$127,Base!$A$3:$A$5001,_xlfn.MAXIFS(Base!$A$3:$A$5001,Base!$B$3:$B$5001,J$127,Base!$A$3:$A$5001,"&gt;="&amp;$C$7,Base!$A$3:$A$5001,"&lt;="&amp;$B131,Base!$W$3:$W$5001,"&lt;&gt;"))))</f>
        <v/>
      </c>
      <c r="K131" t="str">
        <f>IF($A131&gt;$B$9,"",IF(COUNTIFS(Base!$B$3:$B$5001,K$127,Base!$A$3:$A$5001,"&gt;="&amp;$C$7,Base!$A$3:$A$5001,"&lt;="&amp;$B131,Base!$W$3:$W$5001,"&lt;&gt;")=0,"",SUMIFS(Base!$W$3:$W$5001,Base!$B$3:$B$5001,K$127,Base!$A$3:$A$5001,_xlfn.MAXIFS(Base!$A$3:$A$5001,Base!$B$3:$B$5001,K$127,Base!$A$3:$A$5001,"&gt;="&amp;$C$7,Base!$A$3:$A$5001,"&lt;="&amp;$B131,Base!$W$3:$W$5001,"&lt;&gt;"))))</f>
        <v/>
      </c>
    </row>
    <row r="132">
      <c r="A132">
        <v>5</v>
      </c>
      <c r="B132" s="152">
        <f>$B$16</f>
        <v>46270</v>
      </c>
      <c r="C132" t="str">
        <f>IF($A132&gt;$B$9,"",IF(COUNTIFS(Base!$B$3:$B$5001,C$127,Base!$A$3:$A$5001,"&gt;="&amp;$C$7,Base!$A$3:$A$5001,"&lt;="&amp;$B132,Base!$W$3:$W$5001,"&lt;&gt;")=0,"",SUMIFS(Base!$W$3:$W$5001,Base!$B$3:$B$5001,C$127,Base!$A$3:$A$5001,_xlfn.MAXIFS(Base!$A$3:$A$5001,Base!$B$3:$B$5001,C$127,Base!$A$3:$A$5001,"&gt;="&amp;$C$7,Base!$A$3:$A$5001,"&lt;="&amp;$B132,Base!$W$3:$W$5001,"&lt;&gt;"))))</f>
        <v/>
      </c>
      <c r="D132" t="str">
        <f>IF($A132&gt;$B$9,"",IF(COUNTIFS(Base!$B$3:$B$5001,D$127,Base!$A$3:$A$5001,"&gt;="&amp;$C$7,Base!$A$3:$A$5001,"&lt;="&amp;$B132,Base!$W$3:$W$5001,"&lt;&gt;")=0,"",SUMIFS(Base!$W$3:$W$5001,Base!$B$3:$B$5001,D$127,Base!$A$3:$A$5001,_xlfn.MAXIFS(Base!$A$3:$A$5001,Base!$B$3:$B$5001,D$127,Base!$A$3:$A$5001,"&gt;="&amp;$C$7,Base!$A$3:$A$5001,"&lt;="&amp;$B132,Base!$W$3:$W$5001,"&lt;&gt;"))))</f>
        <v/>
      </c>
      <c r="E132" t="str">
        <f>IF($A132&gt;$B$9,"",IF(COUNTIFS(Base!$B$3:$B$5001,E$127,Base!$A$3:$A$5001,"&gt;="&amp;$C$7,Base!$A$3:$A$5001,"&lt;="&amp;$B132,Base!$W$3:$W$5001,"&lt;&gt;")=0,"",SUMIFS(Base!$W$3:$W$5001,Base!$B$3:$B$5001,E$127,Base!$A$3:$A$5001,_xlfn.MAXIFS(Base!$A$3:$A$5001,Base!$B$3:$B$5001,E$127,Base!$A$3:$A$5001,"&gt;="&amp;$C$7,Base!$A$3:$A$5001,"&lt;="&amp;$B132,Base!$W$3:$W$5001,"&lt;&gt;"))))</f>
        <v/>
      </c>
      <c r="F132" t="str">
        <f>IF($A132&gt;$B$9,"",IF(COUNTIFS(Base!$B$3:$B$5001,F$127,Base!$A$3:$A$5001,"&gt;="&amp;$C$7,Base!$A$3:$A$5001,"&lt;="&amp;$B132,Base!$W$3:$W$5001,"&lt;&gt;")=0,"",SUMIFS(Base!$W$3:$W$5001,Base!$B$3:$B$5001,F$127,Base!$A$3:$A$5001,_xlfn.MAXIFS(Base!$A$3:$A$5001,Base!$B$3:$B$5001,F$127,Base!$A$3:$A$5001,"&gt;="&amp;$C$7,Base!$A$3:$A$5001,"&lt;="&amp;$B132,Base!$W$3:$W$5001,"&lt;&gt;"))))</f>
        <v/>
      </c>
      <c r="G132" t="str">
        <f>IF($A132&gt;$B$9,"",IF(COUNTIFS(Base!$B$3:$B$5001,G$127,Base!$A$3:$A$5001,"&gt;="&amp;$C$7,Base!$A$3:$A$5001,"&lt;="&amp;$B132,Base!$W$3:$W$5001,"&lt;&gt;")=0,"",SUMIFS(Base!$W$3:$W$5001,Base!$B$3:$B$5001,G$127,Base!$A$3:$A$5001,_xlfn.MAXIFS(Base!$A$3:$A$5001,Base!$B$3:$B$5001,G$127,Base!$A$3:$A$5001,"&gt;="&amp;$C$7,Base!$A$3:$A$5001,"&lt;="&amp;$B132,Base!$W$3:$W$5001,"&lt;&gt;"))))</f>
        <v/>
      </c>
      <c r="H132" t="str">
        <f>IF($A132&gt;$B$9,"",IF(COUNTIFS(Base!$B$3:$B$5001,H$127,Base!$A$3:$A$5001,"&gt;="&amp;$C$7,Base!$A$3:$A$5001,"&lt;="&amp;$B132,Base!$W$3:$W$5001,"&lt;&gt;")=0,"",SUMIFS(Base!$W$3:$W$5001,Base!$B$3:$B$5001,H$127,Base!$A$3:$A$5001,_xlfn.MAXIFS(Base!$A$3:$A$5001,Base!$B$3:$B$5001,H$127,Base!$A$3:$A$5001,"&gt;="&amp;$C$7,Base!$A$3:$A$5001,"&lt;="&amp;$B132,Base!$W$3:$W$5001,"&lt;&gt;"))))</f>
        <v/>
      </c>
      <c r="I132" t="str">
        <f>IF($A132&gt;$B$9,"",IF(COUNTIFS(Base!$B$3:$B$5001,I$127,Base!$A$3:$A$5001,"&gt;="&amp;$C$7,Base!$A$3:$A$5001,"&lt;="&amp;$B132,Base!$W$3:$W$5001,"&lt;&gt;")=0,"",SUMIFS(Base!$W$3:$W$5001,Base!$B$3:$B$5001,I$127,Base!$A$3:$A$5001,_xlfn.MAXIFS(Base!$A$3:$A$5001,Base!$B$3:$B$5001,I$127,Base!$A$3:$A$5001,"&gt;="&amp;$C$7,Base!$A$3:$A$5001,"&lt;="&amp;$B132,Base!$W$3:$W$5001,"&lt;&gt;"))))</f>
        <v/>
      </c>
      <c r="J132" t="str">
        <f>IF($A132&gt;$B$9,"",IF(COUNTIFS(Base!$B$3:$B$5001,J$127,Base!$A$3:$A$5001,"&gt;="&amp;$C$7,Base!$A$3:$A$5001,"&lt;="&amp;$B132,Base!$W$3:$W$5001,"&lt;&gt;")=0,"",SUMIFS(Base!$W$3:$W$5001,Base!$B$3:$B$5001,J$127,Base!$A$3:$A$5001,_xlfn.MAXIFS(Base!$A$3:$A$5001,Base!$B$3:$B$5001,J$127,Base!$A$3:$A$5001,"&gt;="&amp;$C$7,Base!$A$3:$A$5001,"&lt;="&amp;$B132,Base!$W$3:$W$5001,"&lt;&gt;"))))</f>
        <v/>
      </c>
      <c r="K132" t="str">
        <f>IF($A132&gt;$B$9,"",IF(COUNTIFS(Base!$B$3:$B$5001,K$127,Base!$A$3:$A$5001,"&gt;="&amp;$C$7,Base!$A$3:$A$5001,"&lt;="&amp;$B132,Base!$W$3:$W$5001,"&lt;&gt;")=0,"",SUMIFS(Base!$W$3:$W$5001,Base!$B$3:$B$5001,K$127,Base!$A$3:$A$5001,_xlfn.MAXIFS(Base!$A$3:$A$5001,Base!$B$3:$B$5001,K$127,Base!$A$3:$A$5001,"&gt;="&amp;$C$7,Base!$A$3:$A$5001,"&lt;="&amp;$B132,Base!$W$3:$W$5001,"&lt;&gt;"))))</f>
        <v/>
      </c>
    </row>
    <row r="133">
      <c r="A133">
        <v>6</v>
      </c>
      <c r="B133" s="152">
        <f>$B$17</f>
        <v>46271</v>
      </c>
      <c r="C133" t="str">
        <f>IF($A133&gt;$B$9,"",IF(COUNTIFS(Base!$B$3:$B$5001,C$127,Base!$A$3:$A$5001,"&gt;="&amp;$C$7,Base!$A$3:$A$5001,"&lt;="&amp;$B133,Base!$W$3:$W$5001,"&lt;&gt;")=0,"",SUMIFS(Base!$W$3:$W$5001,Base!$B$3:$B$5001,C$127,Base!$A$3:$A$5001,_xlfn.MAXIFS(Base!$A$3:$A$5001,Base!$B$3:$B$5001,C$127,Base!$A$3:$A$5001,"&gt;="&amp;$C$7,Base!$A$3:$A$5001,"&lt;="&amp;$B133,Base!$W$3:$W$5001,"&lt;&gt;"))))</f>
        <v/>
      </c>
      <c r="D133" t="str">
        <f>IF($A133&gt;$B$9,"",IF(COUNTIFS(Base!$B$3:$B$5001,D$127,Base!$A$3:$A$5001,"&gt;="&amp;$C$7,Base!$A$3:$A$5001,"&lt;="&amp;$B133,Base!$W$3:$W$5001,"&lt;&gt;")=0,"",SUMIFS(Base!$W$3:$W$5001,Base!$B$3:$B$5001,D$127,Base!$A$3:$A$5001,_xlfn.MAXIFS(Base!$A$3:$A$5001,Base!$B$3:$B$5001,D$127,Base!$A$3:$A$5001,"&gt;="&amp;$C$7,Base!$A$3:$A$5001,"&lt;="&amp;$B133,Base!$W$3:$W$5001,"&lt;&gt;"))))</f>
        <v/>
      </c>
      <c r="E133" t="str">
        <f>IF($A133&gt;$B$9,"",IF(COUNTIFS(Base!$B$3:$B$5001,E$127,Base!$A$3:$A$5001,"&gt;="&amp;$C$7,Base!$A$3:$A$5001,"&lt;="&amp;$B133,Base!$W$3:$W$5001,"&lt;&gt;")=0,"",SUMIFS(Base!$W$3:$W$5001,Base!$B$3:$B$5001,E$127,Base!$A$3:$A$5001,_xlfn.MAXIFS(Base!$A$3:$A$5001,Base!$B$3:$B$5001,E$127,Base!$A$3:$A$5001,"&gt;="&amp;$C$7,Base!$A$3:$A$5001,"&lt;="&amp;$B133,Base!$W$3:$W$5001,"&lt;&gt;"))))</f>
        <v/>
      </c>
      <c r="F133" t="str">
        <f>IF($A133&gt;$B$9,"",IF(COUNTIFS(Base!$B$3:$B$5001,F$127,Base!$A$3:$A$5001,"&gt;="&amp;$C$7,Base!$A$3:$A$5001,"&lt;="&amp;$B133,Base!$W$3:$W$5001,"&lt;&gt;")=0,"",SUMIFS(Base!$W$3:$W$5001,Base!$B$3:$B$5001,F$127,Base!$A$3:$A$5001,_xlfn.MAXIFS(Base!$A$3:$A$5001,Base!$B$3:$B$5001,F$127,Base!$A$3:$A$5001,"&gt;="&amp;$C$7,Base!$A$3:$A$5001,"&lt;="&amp;$B133,Base!$W$3:$W$5001,"&lt;&gt;"))))</f>
        <v/>
      </c>
      <c r="G133" t="str">
        <f>IF($A133&gt;$B$9,"",IF(COUNTIFS(Base!$B$3:$B$5001,G$127,Base!$A$3:$A$5001,"&gt;="&amp;$C$7,Base!$A$3:$A$5001,"&lt;="&amp;$B133,Base!$W$3:$W$5001,"&lt;&gt;")=0,"",SUMIFS(Base!$W$3:$W$5001,Base!$B$3:$B$5001,G$127,Base!$A$3:$A$5001,_xlfn.MAXIFS(Base!$A$3:$A$5001,Base!$B$3:$B$5001,G$127,Base!$A$3:$A$5001,"&gt;="&amp;$C$7,Base!$A$3:$A$5001,"&lt;="&amp;$B133,Base!$W$3:$W$5001,"&lt;&gt;"))))</f>
        <v/>
      </c>
      <c r="H133" t="str">
        <f>IF($A133&gt;$B$9,"",IF(COUNTIFS(Base!$B$3:$B$5001,H$127,Base!$A$3:$A$5001,"&gt;="&amp;$C$7,Base!$A$3:$A$5001,"&lt;="&amp;$B133,Base!$W$3:$W$5001,"&lt;&gt;")=0,"",SUMIFS(Base!$W$3:$W$5001,Base!$B$3:$B$5001,H$127,Base!$A$3:$A$5001,_xlfn.MAXIFS(Base!$A$3:$A$5001,Base!$B$3:$B$5001,H$127,Base!$A$3:$A$5001,"&gt;="&amp;$C$7,Base!$A$3:$A$5001,"&lt;="&amp;$B133,Base!$W$3:$W$5001,"&lt;&gt;"))))</f>
        <v/>
      </c>
      <c r="I133" t="str">
        <f>IF($A133&gt;$B$9,"",IF(COUNTIFS(Base!$B$3:$B$5001,I$127,Base!$A$3:$A$5001,"&gt;="&amp;$C$7,Base!$A$3:$A$5001,"&lt;="&amp;$B133,Base!$W$3:$W$5001,"&lt;&gt;")=0,"",SUMIFS(Base!$W$3:$W$5001,Base!$B$3:$B$5001,I$127,Base!$A$3:$A$5001,_xlfn.MAXIFS(Base!$A$3:$A$5001,Base!$B$3:$B$5001,I$127,Base!$A$3:$A$5001,"&gt;="&amp;$C$7,Base!$A$3:$A$5001,"&lt;="&amp;$B133,Base!$W$3:$W$5001,"&lt;&gt;"))))</f>
        <v/>
      </c>
      <c r="J133" t="str">
        <f>IF($A133&gt;$B$9,"",IF(COUNTIFS(Base!$B$3:$B$5001,J$127,Base!$A$3:$A$5001,"&gt;="&amp;$C$7,Base!$A$3:$A$5001,"&lt;="&amp;$B133,Base!$W$3:$W$5001,"&lt;&gt;")=0,"",SUMIFS(Base!$W$3:$W$5001,Base!$B$3:$B$5001,J$127,Base!$A$3:$A$5001,_xlfn.MAXIFS(Base!$A$3:$A$5001,Base!$B$3:$B$5001,J$127,Base!$A$3:$A$5001,"&gt;="&amp;$C$7,Base!$A$3:$A$5001,"&lt;="&amp;$B133,Base!$W$3:$W$5001,"&lt;&gt;"))))</f>
        <v/>
      </c>
      <c r="K133" t="str">
        <f>IF($A133&gt;$B$9,"",IF(COUNTIFS(Base!$B$3:$B$5001,K$127,Base!$A$3:$A$5001,"&gt;="&amp;$C$7,Base!$A$3:$A$5001,"&lt;="&amp;$B133,Base!$W$3:$W$5001,"&lt;&gt;")=0,"",SUMIFS(Base!$W$3:$W$5001,Base!$B$3:$B$5001,K$127,Base!$A$3:$A$5001,_xlfn.MAXIFS(Base!$A$3:$A$5001,Base!$B$3:$B$5001,K$127,Base!$A$3:$A$5001,"&gt;="&amp;$C$7,Base!$A$3:$A$5001,"&lt;="&amp;$B133,Base!$W$3:$W$5001,"&lt;&gt;"))))</f>
        <v/>
      </c>
    </row>
    <row r="134">
      <c r="A134">
        <v>7</v>
      </c>
      <c r="B134" s="152">
        <f>$B$18</f>
        <v>46272</v>
      </c>
      <c r="C134" t="str">
        <f>IF($A134&gt;$B$9,"",IF(COUNTIFS(Base!$B$3:$B$5001,C$127,Base!$A$3:$A$5001,"&gt;="&amp;$C$7,Base!$A$3:$A$5001,"&lt;="&amp;$B134,Base!$W$3:$W$5001,"&lt;&gt;")=0,"",SUMIFS(Base!$W$3:$W$5001,Base!$B$3:$B$5001,C$127,Base!$A$3:$A$5001,_xlfn.MAXIFS(Base!$A$3:$A$5001,Base!$B$3:$B$5001,C$127,Base!$A$3:$A$5001,"&gt;="&amp;$C$7,Base!$A$3:$A$5001,"&lt;="&amp;$B134,Base!$W$3:$W$5001,"&lt;&gt;"))))</f>
        <v/>
      </c>
      <c r="D134" t="str">
        <f>IF($A134&gt;$B$9,"",IF(COUNTIFS(Base!$B$3:$B$5001,D$127,Base!$A$3:$A$5001,"&gt;="&amp;$C$7,Base!$A$3:$A$5001,"&lt;="&amp;$B134,Base!$W$3:$W$5001,"&lt;&gt;")=0,"",SUMIFS(Base!$W$3:$W$5001,Base!$B$3:$B$5001,D$127,Base!$A$3:$A$5001,_xlfn.MAXIFS(Base!$A$3:$A$5001,Base!$B$3:$B$5001,D$127,Base!$A$3:$A$5001,"&gt;="&amp;$C$7,Base!$A$3:$A$5001,"&lt;="&amp;$B134,Base!$W$3:$W$5001,"&lt;&gt;"))))</f>
        <v/>
      </c>
      <c r="E134" t="str">
        <f>IF($A134&gt;$B$9,"",IF(COUNTIFS(Base!$B$3:$B$5001,E$127,Base!$A$3:$A$5001,"&gt;="&amp;$C$7,Base!$A$3:$A$5001,"&lt;="&amp;$B134,Base!$W$3:$W$5001,"&lt;&gt;")=0,"",SUMIFS(Base!$W$3:$W$5001,Base!$B$3:$B$5001,E$127,Base!$A$3:$A$5001,_xlfn.MAXIFS(Base!$A$3:$A$5001,Base!$B$3:$B$5001,E$127,Base!$A$3:$A$5001,"&gt;="&amp;$C$7,Base!$A$3:$A$5001,"&lt;="&amp;$B134,Base!$W$3:$W$5001,"&lt;&gt;"))))</f>
        <v/>
      </c>
      <c r="F134" t="str">
        <f>IF($A134&gt;$B$9,"",IF(COUNTIFS(Base!$B$3:$B$5001,F$127,Base!$A$3:$A$5001,"&gt;="&amp;$C$7,Base!$A$3:$A$5001,"&lt;="&amp;$B134,Base!$W$3:$W$5001,"&lt;&gt;")=0,"",SUMIFS(Base!$W$3:$W$5001,Base!$B$3:$B$5001,F$127,Base!$A$3:$A$5001,_xlfn.MAXIFS(Base!$A$3:$A$5001,Base!$B$3:$B$5001,F$127,Base!$A$3:$A$5001,"&gt;="&amp;$C$7,Base!$A$3:$A$5001,"&lt;="&amp;$B134,Base!$W$3:$W$5001,"&lt;&gt;"))))</f>
        <v/>
      </c>
      <c r="G134" t="str">
        <f>IF($A134&gt;$B$9,"",IF(COUNTIFS(Base!$B$3:$B$5001,G$127,Base!$A$3:$A$5001,"&gt;="&amp;$C$7,Base!$A$3:$A$5001,"&lt;="&amp;$B134,Base!$W$3:$W$5001,"&lt;&gt;")=0,"",SUMIFS(Base!$W$3:$W$5001,Base!$B$3:$B$5001,G$127,Base!$A$3:$A$5001,_xlfn.MAXIFS(Base!$A$3:$A$5001,Base!$B$3:$B$5001,G$127,Base!$A$3:$A$5001,"&gt;="&amp;$C$7,Base!$A$3:$A$5001,"&lt;="&amp;$B134,Base!$W$3:$W$5001,"&lt;&gt;"))))</f>
        <v/>
      </c>
      <c r="H134" t="str">
        <f>IF($A134&gt;$B$9,"",IF(COUNTIFS(Base!$B$3:$B$5001,H$127,Base!$A$3:$A$5001,"&gt;="&amp;$C$7,Base!$A$3:$A$5001,"&lt;="&amp;$B134,Base!$W$3:$W$5001,"&lt;&gt;")=0,"",SUMIFS(Base!$W$3:$W$5001,Base!$B$3:$B$5001,H$127,Base!$A$3:$A$5001,_xlfn.MAXIFS(Base!$A$3:$A$5001,Base!$B$3:$B$5001,H$127,Base!$A$3:$A$5001,"&gt;="&amp;$C$7,Base!$A$3:$A$5001,"&lt;="&amp;$B134,Base!$W$3:$W$5001,"&lt;&gt;"))))</f>
        <v/>
      </c>
      <c r="I134" t="str">
        <f>IF($A134&gt;$B$9,"",IF(COUNTIFS(Base!$B$3:$B$5001,I$127,Base!$A$3:$A$5001,"&gt;="&amp;$C$7,Base!$A$3:$A$5001,"&lt;="&amp;$B134,Base!$W$3:$W$5001,"&lt;&gt;")=0,"",SUMIFS(Base!$W$3:$W$5001,Base!$B$3:$B$5001,I$127,Base!$A$3:$A$5001,_xlfn.MAXIFS(Base!$A$3:$A$5001,Base!$B$3:$B$5001,I$127,Base!$A$3:$A$5001,"&gt;="&amp;$C$7,Base!$A$3:$A$5001,"&lt;="&amp;$B134,Base!$W$3:$W$5001,"&lt;&gt;"))))</f>
        <v/>
      </c>
      <c r="J134" t="str">
        <f>IF($A134&gt;$B$9,"",IF(COUNTIFS(Base!$B$3:$B$5001,J$127,Base!$A$3:$A$5001,"&gt;="&amp;$C$7,Base!$A$3:$A$5001,"&lt;="&amp;$B134,Base!$W$3:$W$5001,"&lt;&gt;")=0,"",SUMIFS(Base!$W$3:$W$5001,Base!$B$3:$B$5001,J$127,Base!$A$3:$A$5001,_xlfn.MAXIFS(Base!$A$3:$A$5001,Base!$B$3:$B$5001,J$127,Base!$A$3:$A$5001,"&gt;="&amp;$C$7,Base!$A$3:$A$5001,"&lt;="&amp;$B134,Base!$W$3:$W$5001,"&lt;&gt;"))))</f>
        <v/>
      </c>
      <c r="K134" t="str">
        <f>IF($A134&gt;$B$9,"",IF(COUNTIFS(Base!$B$3:$B$5001,K$127,Base!$A$3:$A$5001,"&gt;="&amp;$C$7,Base!$A$3:$A$5001,"&lt;="&amp;$B134,Base!$W$3:$W$5001,"&lt;&gt;")=0,"",SUMIFS(Base!$W$3:$W$5001,Base!$B$3:$B$5001,K$127,Base!$A$3:$A$5001,_xlfn.MAXIFS(Base!$A$3:$A$5001,Base!$B$3:$B$5001,K$127,Base!$A$3:$A$5001,"&gt;="&amp;$C$7,Base!$A$3:$A$5001,"&lt;="&amp;$B134,Base!$W$3:$W$5001,"&lt;&gt;"))))</f>
        <v/>
      </c>
    </row>
    <row r="135">
      <c r="A135">
        <v>8</v>
      </c>
      <c r="B135" s="152">
        <f>$B$19</f>
        <v>46273</v>
      </c>
      <c r="C135" t="str">
        <f>IF($A135&gt;$B$9,"",IF(COUNTIFS(Base!$B$3:$B$5001,C$127,Base!$A$3:$A$5001,"&gt;="&amp;$C$7,Base!$A$3:$A$5001,"&lt;="&amp;$B135,Base!$W$3:$W$5001,"&lt;&gt;")=0,"",SUMIFS(Base!$W$3:$W$5001,Base!$B$3:$B$5001,C$127,Base!$A$3:$A$5001,_xlfn.MAXIFS(Base!$A$3:$A$5001,Base!$B$3:$B$5001,C$127,Base!$A$3:$A$5001,"&gt;="&amp;$C$7,Base!$A$3:$A$5001,"&lt;="&amp;$B135,Base!$W$3:$W$5001,"&lt;&gt;"))))</f>
        <v/>
      </c>
      <c r="D135" t="str">
        <f>IF($A135&gt;$B$9,"",IF(COUNTIFS(Base!$B$3:$B$5001,D$127,Base!$A$3:$A$5001,"&gt;="&amp;$C$7,Base!$A$3:$A$5001,"&lt;="&amp;$B135,Base!$W$3:$W$5001,"&lt;&gt;")=0,"",SUMIFS(Base!$W$3:$W$5001,Base!$B$3:$B$5001,D$127,Base!$A$3:$A$5001,_xlfn.MAXIFS(Base!$A$3:$A$5001,Base!$B$3:$B$5001,D$127,Base!$A$3:$A$5001,"&gt;="&amp;$C$7,Base!$A$3:$A$5001,"&lt;="&amp;$B135,Base!$W$3:$W$5001,"&lt;&gt;"))))</f>
        <v/>
      </c>
      <c r="E135" t="str">
        <f>IF($A135&gt;$B$9,"",IF(COUNTIFS(Base!$B$3:$B$5001,E$127,Base!$A$3:$A$5001,"&gt;="&amp;$C$7,Base!$A$3:$A$5001,"&lt;="&amp;$B135,Base!$W$3:$W$5001,"&lt;&gt;")=0,"",SUMIFS(Base!$W$3:$W$5001,Base!$B$3:$B$5001,E$127,Base!$A$3:$A$5001,_xlfn.MAXIFS(Base!$A$3:$A$5001,Base!$B$3:$B$5001,E$127,Base!$A$3:$A$5001,"&gt;="&amp;$C$7,Base!$A$3:$A$5001,"&lt;="&amp;$B135,Base!$W$3:$W$5001,"&lt;&gt;"))))</f>
        <v/>
      </c>
      <c r="F135" t="str">
        <f>IF($A135&gt;$B$9,"",IF(COUNTIFS(Base!$B$3:$B$5001,F$127,Base!$A$3:$A$5001,"&gt;="&amp;$C$7,Base!$A$3:$A$5001,"&lt;="&amp;$B135,Base!$W$3:$W$5001,"&lt;&gt;")=0,"",SUMIFS(Base!$W$3:$W$5001,Base!$B$3:$B$5001,F$127,Base!$A$3:$A$5001,_xlfn.MAXIFS(Base!$A$3:$A$5001,Base!$B$3:$B$5001,F$127,Base!$A$3:$A$5001,"&gt;="&amp;$C$7,Base!$A$3:$A$5001,"&lt;="&amp;$B135,Base!$W$3:$W$5001,"&lt;&gt;"))))</f>
        <v/>
      </c>
      <c r="G135" t="str">
        <f>IF($A135&gt;$B$9,"",IF(COUNTIFS(Base!$B$3:$B$5001,G$127,Base!$A$3:$A$5001,"&gt;="&amp;$C$7,Base!$A$3:$A$5001,"&lt;="&amp;$B135,Base!$W$3:$W$5001,"&lt;&gt;")=0,"",SUMIFS(Base!$W$3:$W$5001,Base!$B$3:$B$5001,G$127,Base!$A$3:$A$5001,_xlfn.MAXIFS(Base!$A$3:$A$5001,Base!$B$3:$B$5001,G$127,Base!$A$3:$A$5001,"&gt;="&amp;$C$7,Base!$A$3:$A$5001,"&lt;="&amp;$B135,Base!$W$3:$W$5001,"&lt;&gt;"))))</f>
        <v/>
      </c>
      <c r="H135" t="str">
        <f>IF($A135&gt;$B$9,"",IF(COUNTIFS(Base!$B$3:$B$5001,H$127,Base!$A$3:$A$5001,"&gt;="&amp;$C$7,Base!$A$3:$A$5001,"&lt;="&amp;$B135,Base!$W$3:$W$5001,"&lt;&gt;")=0,"",SUMIFS(Base!$W$3:$W$5001,Base!$B$3:$B$5001,H$127,Base!$A$3:$A$5001,_xlfn.MAXIFS(Base!$A$3:$A$5001,Base!$B$3:$B$5001,H$127,Base!$A$3:$A$5001,"&gt;="&amp;$C$7,Base!$A$3:$A$5001,"&lt;="&amp;$B135,Base!$W$3:$W$5001,"&lt;&gt;"))))</f>
        <v/>
      </c>
      <c r="I135" t="str">
        <f>IF($A135&gt;$B$9,"",IF(COUNTIFS(Base!$B$3:$B$5001,I$127,Base!$A$3:$A$5001,"&gt;="&amp;$C$7,Base!$A$3:$A$5001,"&lt;="&amp;$B135,Base!$W$3:$W$5001,"&lt;&gt;")=0,"",SUMIFS(Base!$W$3:$W$5001,Base!$B$3:$B$5001,I$127,Base!$A$3:$A$5001,_xlfn.MAXIFS(Base!$A$3:$A$5001,Base!$B$3:$B$5001,I$127,Base!$A$3:$A$5001,"&gt;="&amp;$C$7,Base!$A$3:$A$5001,"&lt;="&amp;$B135,Base!$W$3:$W$5001,"&lt;&gt;"))))</f>
        <v/>
      </c>
      <c r="J135" t="str">
        <f>IF($A135&gt;$B$9,"",IF(COUNTIFS(Base!$B$3:$B$5001,J$127,Base!$A$3:$A$5001,"&gt;="&amp;$C$7,Base!$A$3:$A$5001,"&lt;="&amp;$B135,Base!$W$3:$W$5001,"&lt;&gt;")=0,"",SUMIFS(Base!$W$3:$W$5001,Base!$B$3:$B$5001,J$127,Base!$A$3:$A$5001,_xlfn.MAXIFS(Base!$A$3:$A$5001,Base!$B$3:$B$5001,J$127,Base!$A$3:$A$5001,"&gt;="&amp;$C$7,Base!$A$3:$A$5001,"&lt;="&amp;$B135,Base!$W$3:$W$5001,"&lt;&gt;"))))</f>
        <v/>
      </c>
      <c r="K135" t="str">
        <f>IF($A135&gt;$B$9,"",IF(COUNTIFS(Base!$B$3:$B$5001,K$127,Base!$A$3:$A$5001,"&gt;="&amp;$C$7,Base!$A$3:$A$5001,"&lt;="&amp;$B135,Base!$W$3:$W$5001,"&lt;&gt;")=0,"",SUMIFS(Base!$W$3:$W$5001,Base!$B$3:$B$5001,K$127,Base!$A$3:$A$5001,_xlfn.MAXIFS(Base!$A$3:$A$5001,Base!$B$3:$B$5001,K$127,Base!$A$3:$A$5001,"&gt;="&amp;$C$7,Base!$A$3:$A$5001,"&lt;="&amp;$B135,Base!$W$3:$W$5001,"&lt;&gt;"))))</f>
        <v/>
      </c>
    </row>
    <row r="136">
      <c r="A136">
        <v>9</v>
      </c>
      <c r="B136" s="152">
        <f>$B$20</f>
        <v>46274</v>
      </c>
      <c r="C136" t="str">
        <f>IF($A136&gt;$B$9,"",IF(COUNTIFS(Base!$B$3:$B$5001,C$127,Base!$A$3:$A$5001,"&gt;="&amp;$C$7,Base!$A$3:$A$5001,"&lt;="&amp;$B136,Base!$W$3:$W$5001,"&lt;&gt;")=0,"",SUMIFS(Base!$W$3:$W$5001,Base!$B$3:$B$5001,C$127,Base!$A$3:$A$5001,_xlfn.MAXIFS(Base!$A$3:$A$5001,Base!$B$3:$B$5001,C$127,Base!$A$3:$A$5001,"&gt;="&amp;$C$7,Base!$A$3:$A$5001,"&lt;="&amp;$B136,Base!$W$3:$W$5001,"&lt;&gt;"))))</f>
        <v/>
      </c>
      <c r="D136" t="str">
        <f>IF($A136&gt;$B$9,"",IF(COUNTIFS(Base!$B$3:$B$5001,D$127,Base!$A$3:$A$5001,"&gt;="&amp;$C$7,Base!$A$3:$A$5001,"&lt;="&amp;$B136,Base!$W$3:$W$5001,"&lt;&gt;")=0,"",SUMIFS(Base!$W$3:$W$5001,Base!$B$3:$B$5001,D$127,Base!$A$3:$A$5001,_xlfn.MAXIFS(Base!$A$3:$A$5001,Base!$B$3:$B$5001,D$127,Base!$A$3:$A$5001,"&gt;="&amp;$C$7,Base!$A$3:$A$5001,"&lt;="&amp;$B136,Base!$W$3:$W$5001,"&lt;&gt;"))))</f>
        <v/>
      </c>
      <c r="E136" t="str">
        <f>IF($A136&gt;$B$9,"",IF(COUNTIFS(Base!$B$3:$B$5001,E$127,Base!$A$3:$A$5001,"&gt;="&amp;$C$7,Base!$A$3:$A$5001,"&lt;="&amp;$B136,Base!$W$3:$W$5001,"&lt;&gt;")=0,"",SUMIFS(Base!$W$3:$W$5001,Base!$B$3:$B$5001,E$127,Base!$A$3:$A$5001,_xlfn.MAXIFS(Base!$A$3:$A$5001,Base!$B$3:$B$5001,E$127,Base!$A$3:$A$5001,"&gt;="&amp;$C$7,Base!$A$3:$A$5001,"&lt;="&amp;$B136,Base!$W$3:$W$5001,"&lt;&gt;"))))</f>
        <v/>
      </c>
      <c r="F136" t="str">
        <f>IF($A136&gt;$B$9,"",IF(COUNTIFS(Base!$B$3:$B$5001,F$127,Base!$A$3:$A$5001,"&gt;="&amp;$C$7,Base!$A$3:$A$5001,"&lt;="&amp;$B136,Base!$W$3:$W$5001,"&lt;&gt;")=0,"",SUMIFS(Base!$W$3:$W$5001,Base!$B$3:$B$5001,F$127,Base!$A$3:$A$5001,_xlfn.MAXIFS(Base!$A$3:$A$5001,Base!$B$3:$B$5001,F$127,Base!$A$3:$A$5001,"&gt;="&amp;$C$7,Base!$A$3:$A$5001,"&lt;="&amp;$B136,Base!$W$3:$W$5001,"&lt;&gt;"))))</f>
        <v/>
      </c>
      <c r="G136" t="str">
        <f>IF($A136&gt;$B$9,"",IF(COUNTIFS(Base!$B$3:$B$5001,G$127,Base!$A$3:$A$5001,"&gt;="&amp;$C$7,Base!$A$3:$A$5001,"&lt;="&amp;$B136,Base!$W$3:$W$5001,"&lt;&gt;")=0,"",SUMIFS(Base!$W$3:$W$5001,Base!$B$3:$B$5001,G$127,Base!$A$3:$A$5001,_xlfn.MAXIFS(Base!$A$3:$A$5001,Base!$B$3:$B$5001,G$127,Base!$A$3:$A$5001,"&gt;="&amp;$C$7,Base!$A$3:$A$5001,"&lt;="&amp;$B136,Base!$W$3:$W$5001,"&lt;&gt;"))))</f>
        <v/>
      </c>
      <c r="H136" t="str">
        <f>IF($A136&gt;$B$9,"",IF(COUNTIFS(Base!$B$3:$B$5001,H$127,Base!$A$3:$A$5001,"&gt;="&amp;$C$7,Base!$A$3:$A$5001,"&lt;="&amp;$B136,Base!$W$3:$W$5001,"&lt;&gt;")=0,"",SUMIFS(Base!$W$3:$W$5001,Base!$B$3:$B$5001,H$127,Base!$A$3:$A$5001,_xlfn.MAXIFS(Base!$A$3:$A$5001,Base!$B$3:$B$5001,H$127,Base!$A$3:$A$5001,"&gt;="&amp;$C$7,Base!$A$3:$A$5001,"&lt;="&amp;$B136,Base!$W$3:$W$5001,"&lt;&gt;"))))</f>
        <v/>
      </c>
      <c r="I136" t="str">
        <f>IF($A136&gt;$B$9,"",IF(COUNTIFS(Base!$B$3:$B$5001,I$127,Base!$A$3:$A$5001,"&gt;="&amp;$C$7,Base!$A$3:$A$5001,"&lt;="&amp;$B136,Base!$W$3:$W$5001,"&lt;&gt;")=0,"",SUMIFS(Base!$W$3:$W$5001,Base!$B$3:$B$5001,I$127,Base!$A$3:$A$5001,_xlfn.MAXIFS(Base!$A$3:$A$5001,Base!$B$3:$B$5001,I$127,Base!$A$3:$A$5001,"&gt;="&amp;$C$7,Base!$A$3:$A$5001,"&lt;="&amp;$B136,Base!$W$3:$W$5001,"&lt;&gt;"))))</f>
        <v/>
      </c>
      <c r="J136" t="str">
        <f>IF($A136&gt;$B$9,"",IF(COUNTIFS(Base!$B$3:$B$5001,J$127,Base!$A$3:$A$5001,"&gt;="&amp;$C$7,Base!$A$3:$A$5001,"&lt;="&amp;$B136,Base!$W$3:$W$5001,"&lt;&gt;")=0,"",SUMIFS(Base!$W$3:$W$5001,Base!$B$3:$B$5001,J$127,Base!$A$3:$A$5001,_xlfn.MAXIFS(Base!$A$3:$A$5001,Base!$B$3:$B$5001,J$127,Base!$A$3:$A$5001,"&gt;="&amp;$C$7,Base!$A$3:$A$5001,"&lt;="&amp;$B136,Base!$W$3:$W$5001,"&lt;&gt;"))))</f>
        <v/>
      </c>
      <c r="K136" t="str">
        <f>IF($A136&gt;$B$9,"",IF(COUNTIFS(Base!$B$3:$B$5001,K$127,Base!$A$3:$A$5001,"&gt;="&amp;$C$7,Base!$A$3:$A$5001,"&lt;="&amp;$B136,Base!$W$3:$W$5001,"&lt;&gt;")=0,"",SUMIFS(Base!$W$3:$W$5001,Base!$B$3:$B$5001,K$127,Base!$A$3:$A$5001,_xlfn.MAXIFS(Base!$A$3:$A$5001,Base!$B$3:$B$5001,K$127,Base!$A$3:$A$5001,"&gt;="&amp;$C$7,Base!$A$3:$A$5001,"&lt;="&amp;$B136,Base!$W$3:$W$5001,"&lt;&gt;"))))</f>
        <v/>
      </c>
    </row>
    <row r="137">
      <c r="A137">
        <v>10</v>
      </c>
      <c r="B137" s="152">
        <f>$B$21</f>
        <v>46275</v>
      </c>
      <c r="C137" t="str">
        <f>IF($A137&gt;$B$9,"",IF(COUNTIFS(Base!$B$3:$B$5001,C$127,Base!$A$3:$A$5001,"&gt;="&amp;$C$7,Base!$A$3:$A$5001,"&lt;="&amp;$B137,Base!$W$3:$W$5001,"&lt;&gt;")=0,"",SUMIFS(Base!$W$3:$W$5001,Base!$B$3:$B$5001,C$127,Base!$A$3:$A$5001,_xlfn.MAXIFS(Base!$A$3:$A$5001,Base!$B$3:$B$5001,C$127,Base!$A$3:$A$5001,"&gt;="&amp;$C$7,Base!$A$3:$A$5001,"&lt;="&amp;$B137,Base!$W$3:$W$5001,"&lt;&gt;"))))</f>
        <v/>
      </c>
      <c r="D137" t="str">
        <f>IF($A137&gt;$B$9,"",IF(COUNTIFS(Base!$B$3:$B$5001,D$127,Base!$A$3:$A$5001,"&gt;="&amp;$C$7,Base!$A$3:$A$5001,"&lt;="&amp;$B137,Base!$W$3:$W$5001,"&lt;&gt;")=0,"",SUMIFS(Base!$W$3:$W$5001,Base!$B$3:$B$5001,D$127,Base!$A$3:$A$5001,_xlfn.MAXIFS(Base!$A$3:$A$5001,Base!$B$3:$B$5001,D$127,Base!$A$3:$A$5001,"&gt;="&amp;$C$7,Base!$A$3:$A$5001,"&lt;="&amp;$B137,Base!$W$3:$W$5001,"&lt;&gt;"))))</f>
        <v/>
      </c>
      <c r="E137" t="str">
        <f>IF($A137&gt;$B$9,"",IF(COUNTIFS(Base!$B$3:$B$5001,E$127,Base!$A$3:$A$5001,"&gt;="&amp;$C$7,Base!$A$3:$A$5001,"&lt;="&amp;$B137,Base!$W$3:$W$5001,"&lt;&gt;")=0,"",SUMIFS(Base!$W$3:$W$5001,Base!$B$3:$B$5001,E$127,Base!$A$3:$A$5001,_xlfn.MAXIFS(Base!$A$3:$A$5001,Base!$B$3:$B$5001,E$127,Base!$A$3:$A$5001,"&gt;="&amp;$C$7,Base!$A$3:$A$5001,"&lt;="&amp;$B137,Base!$W$3:$W$5001,"&lt;&gt;"))))</f>
        <v/>
      </c>
      <c r="F137" t="str">
        <f>IF($A137&gt;$B$9,"",IF(COUNTIFS(Base!$B$3:$B$5001,F$127,Base!$A$3:$A$5001,"&gt;="&amp;$C$7,Base!$A$3:$A$5001,"&lt;="&amp;$B137,Base!$W$3:$W$5001,"&lt;&gt;")=0,"",SUMIFS(Base!$W$3:$W$5001,Base!$B$3:$B$5001,F$127,Base!$A$3:$A$5001,_xlfn.MAXIFS(Base!$A$3:$A$5001,Base!$B$3:$B$5001,F$127,Base!$A$3:$A$5001,"&gt;="&amp;$C$7,Base!$A$3:$A$5001,"&lt;="&amp;$B137,Base!$W$3:$W$5001,"&lt;&gt;"))))</f>
        <v/>
      </c>
      <c r="G137" t="str">
        <f>IF($A137&gt;$B$9,"",IF(COUNTIFS(Base!$B$3:$B$5001,G$127,Base!$A$3:$A$5001,"&gt;="&amp;$C$7,Base!$A$3:$A$5001,"&lt;="&amp;$B137,Base!$W$3:$W$5001,"&lt;&gt;")=0,"",SUMIFS(Base!$W$3:$W$5001,Base!$B$3:$B$5001,G$127,Base!$A$3:$A$5001,_xlfn.MAXIFS(Base!$A$3:$A$5001,Base!$B$3:$B$5001,G$127,Base!$A$3:$A$5001,"&gt;="&amp;$C$7,Base!$A$3:$A$5001,"&lt;="&amp;$B137,Base!$W$3:$W$5001,"&lt;&gt;"))))</f>
        <v/>
      </c>
      <c r="H137" t="str">
        <f>IF($A137&gt;$B$9,"",IF(COUNTIFS(Base!$B$3:$B$5001,H$127,Base!$A$3:$A$5001,"&gt;="&amp;$C$7,Base!$A$3:$A$5001,"&lt;="&amp;$B137,Base!$W$3:$W$5001,"&lt;&gt;")=0,"",SUMIFS(Base!$W$3:$W$5001,Base!$B$3:$B$5001,H$127,Base!$A$3:$A$5001,_xlfn.MAXIFS(Base!$A$3:$A$5001,Base!$B$3:$B$5001,H$127,Base!$A$3:$A$5001,"&gt;="&amp;$C$7,Base!$A$3:$A$5001,"&lt;="&amp;$B137,Base!$W$3:$W$5001,"&lt;&gt;"))))</f>
        <v/>
      </c>
      <c r="I137" t="str">
        <f>IF($A137&gt;$B$9,"",IF(COUNTIFS(Base!$B$3:$B$5001,I$127,Base!$A$3:$A$5001,"&gt;="&amp;$C$7,Base!$A$3:$A$5001,"&lt;="&amp;$B137,Base!$W$3:$W$5001,"&lt;&gt;")=0,"",SUMIFS(Base!$W$3:$W$5001,Base!$B$3:$B$5001,I$127,Base!$A$3:$A$5001,_xlfn.MAXIFS(Base!$A$3:$A$5001,Base!$B$3:$B$5001,I$127,Base!$A$3:$A$5001,"&gt;="&amp;$C$7,Base!$A$3:$A$5001,"&lt;="&amp;$B137,Base!$W$3:$W$5001,"&lt;&gt;"))))</f>
        <v/>
      </c>
      <c r="J137" t="str">
        <f>IF($A137&gt;$B$9,"",IF(COUNTIFS(Base!$B$3:$B$5001,J$127,Base!$A$3:$A$5001,"&gt;="&amp;$C$7,Base!$A$3:$A$5001,"&lt;="&amp;$B137,Base!$W$3:$W$5001,"&lt;&gt;")=0,"",SUMIFS(Base!$W$3:$W$5001,Base!$B$3:$B$5001,J$127,Base!$A$3:$A$5001,_xlfn.MAXIFS(Base!$A$3:$A$5001,Base!$B$3:$B$5001,J$127,Base!$A$3:$A$5001,"&gt;="&amp;$C$7,Base!$A$3:$A$5001,"&lt;="&amp;$B137,Base!$W$3:$W$5001,"&lt;&gt;"))))</f>
        <v/>
      </c>
      <c r="K137" t="str">
        <f>IF($A137&gt;$B$9,"",IF(COUNTIFS(Base!$B$3:$B$5001,K$127,Base!$A$3:$A$5001,"&gt;="&amp;$C$7,Base!$A$3:$A$5001,"&lt;="&amp;$B137,Base!$W$3:$W$5001,"&lt;&gt;")=0,"",SUMIFS(Base!$W$3:$W$5001,Base!$B$3:$B$5001,K$127,Base!$A$3:$A$5001,_xlfn.MAXIFS(Base!$A$3:$A$5001,Base!$B$3:$B$5001,K$127,Base!$A$3:$A$5001,"&gt;="&amp;$C$7,Base!$A$3:$A$5001,"&lt;="&amp;$B137,Base!$W$3:$W$5001,"&lt;&gt;"))))</f>
        <v/>
      </c>
    </row>
    <row r="138">
      <c r="A138">
        <v>11</v>
      </c>
      <c r="B138" s="152">
        <f>$B$22</f>
        <v>46276</v>
      </c>
      <c r="C138" t="str">
        <f>IF($A138&gt;$B$9,"",IF(COUNTIFS(Base!$B$3:$B$5001,C$127,Base!$A$3:$A$5001,"&gt;="&amp;$C$7,Base!$A$3:$A$5001,"&lt;="&amp;$B138,Base!$W$3:$W$5001,"&lt;&gt;")=0,"",SUMIFS(Base!$W$3:$W$5001,Base!$B$3:$B$5001,C$127,Base!$A$3:$A$5001,_xlfn.MAXIFS(Base!$A$3:$A$5001,Base!$B$3:$B$5001,C$127,Base!$A$3:$A$5001,"&gt;="&amp;$C$7,Base!$A$3:$A$5001,"&lt;="&amp;$B138,Base!$W$3:$W$5001,"&lt;&gt;"))))</f>
        <v/>
      </c>
      <c r="D138" t="str">
        <f>IF($A138&gt;$B$9,"",IF(COUNTIFS(Base!$B$3:$B$5001,D$127,Base!$A$3:$A$5001,"&gt;="&amp;$C$7,Base!$A$3:$A$5001,"&lt;="&amp;$B138,Base!$W$3:$W$5001,"&lt;&gt;")=0,"",SUMIFS(Base!$W$3:$W$5001,Base!$B$3:$B$5001,D$127,Base!$A$3:$A$5001,_xlfn.MAXIFS(Base!$A$3:$A$5001,Base!$B$3:$B$5001,D$127,Base!$A$3:$A$5001,"&gt;="&amp;$C$7,Base!$A$3:$A$5001,"&lt;="&amp;$B138,Base!$W$3:$W$5001,"&lt;&gt;"))))</f>
        <v/>
      </c>
      <c r="E138" t="str">
        <f>IF($A138&gt;$B$9,"",IF(COUNTIFS(Base!$B$3:$B$5001,E$127,Base!$A$3:$A$5001,"&gt;="&amp;$C$7,Base!$A$3:$A$5001,"&lt;="&amp;$B138,Base!$W$3:$W$5001,"&lt;&gt;")=0,"",SUMIFS(Base!$W$3:$W$5001,Base!$B$3:$B$5001,E$127,Base!$A$3:$A$5001,_xlfn.MAXIFS(Base!$A$3:$A$5001,Base!$B$3:$B$5001,E$127,Base!$A$3:$A$5001,"&gt;="&amp;$C$7,Base!$A$3:$A$5001,"&lt;="&amp;$B138,Base!$W$3:$W$5001,"&lt;&gt;"))))</f>
        <v/>
      </c>
      <c r="F138" t="str">
        <f>IF($A138&gt;$B$9,"",IF(COUNTIFS(Base!$B$3:$B$5001,F$127,Base!$A$3:$A$5001,"&gt;="&amp;$C$7,Base!$A$3:$A$5001,"&lt;="&amp;$B138,Base!$W$3:$W$5001,"&lt;&gt;")=0,"",SUMIFS(Base!$W$3:$W$5001,Base!$B$3:$B$5001,F$127,Base!$A$3:$A$5001,_xlfn.MAXIFS(Base!$A$3:$A$5001,Base!$B$3:$B$5001,F$127,Base!$A$3:$A$5001,"&gt;="&amp;$C$7,Base!$A$3:$A$5001,"&lt;="&amp;$B138,Base!$W$3:$W$5001,"&lt;&gt;"))))</f>
        <v/>
      </c>
      <c r="G138" t="str">
        <f>IF($A138&gt;$B$9,"",IF(COUNTIFS(Base!$B$3:$B$5001,G$127,Base!$A$3:$A$5001,"&gt;="&amp;$C$7,Base!$A$3:$A$5001,"&lt;="&amp;$B138,Base!$W$3:$W$5001,"&lt;&gt;")=0,"",SUMIFS(Base!$W$3:$W$5001,Base!$B$3:$B$5001,G$127,Base!$A$3:$A$5001,_xlfn.MAXIFS(Base!$A$3:$A$5001,Base!$B$3:$B$5001,G$127,Base!$A$3:$A$5001,"&gt;="&amp;$C$7,Base!$A$3:$A$5001,"&lt;="&amp;$B138,Base!$W$3:$W$5001,"&lt;&gt;"))))</f>
        <v/>
      </c>
      <c r="H138" t="str">
        <f>IF($A138&gt;$B$9,"",IF(COUNTIFS(Base!$B$3:$B$5001,H$127,Base!$A$3:$A$5001,"&gt;="&amp;$C$7,Base!$A$3:$A$5001,"&lt;="&amp;$B138,Base!$W$3:$W$5001,"&lt;&gt;")=0,"",SUMIFS(Base!$W$3:$W$5001,Base!$B$3:$B$5001,H$127,Base!$A$3:$A$5001,_xlfn.MAXIFS(Base!$A$3:$A$5001,Base!$B$3:$B$5001,H$127,Base!$A$3:$A$5001,"&gt;="&amp;$C$7,Base!$A$3:$A$5001,"&lt;="&amp;$B138,Base!$W$3:$W$5001,"&lt;&gt;"))))</f>
        <v/>
      </c>
      <c r="I138" t="str">
        <f>IF($A138&gt;$B$9,"",IF(COUNTIFS(Base!$B$3:$B$5001,I$127,Base!$A$3:$A$5001,"&gt;="&amp;$C$7,Base!$A$3:$A$5001,"&lt;="&amp;$B138,Base!$W$3:$W$5001,"&lt;&gt;")=0,"",SUMIFS(Base!$W$3:$W$5001,Base!$B$3:$B$5001,I$127,Base!$A$3:$A$5001,_xlfn.MAXIFS(Base!$A$3:$A$5001,Base!$B$3:$B$5001,I$127,Base!$A$3:$A$5001,"&gt;="&amp;$C$7,Base!$A$3:$A$5001,"&lt;="&amp;$B138,Base!$W$3:$W$5001,"&lt;&gt;"))))</f>
        <v/>
      </c>
      <c r="J138" t="str">
        <f>IF($A138&gt;$B$9,"",IF(COUNTIFS(Base!$B$3:$B$5001,J$127,Base!$A$3:$A$5001,"&gt;="&amp;$C$7,Base!$A$3:$A$5001,"&lt;="&amp;$B138,Base!$W$3:$W$5001,"&lt;&gt;")=0,"",SUMIFS(Base!$W$3:$W$5001,Base!$B$3:$B$5001,J$127,Base!$A$3:$A$5001,_xlfn.MAXIFS(Base!$A$3:$A$5001,Base!$B$3:$B$5001,J$127,Base!$A$3:$A$5001,"&gt;="&amp;$C$7,Base!$A$3:$A$5001,"&lt;="&amp;$B138,Base!$W$3:$W$5001,"&lt;&gt;"))))</f>
        <v/>
      </c>
      <c r="K138" t="str">
        <f>IF($A138&gt;$B$9,"",IF(COUNTIFS(Base!$B$3:$B$5001,K$127,Base!$A$3:$A$5001,"&gt;="&amp;$C$7,Base!$A$3:$A$5001,"&lt;="&amp;$B138,Base!$W$3:$W$5001,"&lt;&gt;")=0,"",SUMIFS(Base!$W$3:$W$5001,Base!$B$3:$B$5001,K$127,Base!$A$3:$A$5001,_xlfn.MAXIFS(Base!$A$3:$A$5001,Base!$B$3:$B$5001,K$127,Base!$A$3:$A$5001,"&gt;="&amp;$C$7,Base!$A$3:$A$5001,"&lt;="&amp;$B138,Base!$W$3:$W$5001,"&lt;&gt;"))))</f>
        <v/>
      </c>
    </row>
    <row r="139">
      <c r="A139">
        <v>12</v>
      </c>
      <c r="B139" s="152">
        <f>$B$23</f>
        <v>46277</v>
      </c>
      <c r="C139" t="str">
        <f>IF($A139&gt;$B$9,"",IF(COUNTIFS(Base!$B$3:$B$5001,C$127,Base!$A$3:$A$5001,"&gt;="&amp;$C$7,Base!$A$3:$A$5001,"&lt;="&amp;$B139,Base!$W$3:$W$5001,"&lt;&gt;")=0,"",SUMIFS(Base!$W$3:$W$5001,Base!$B$3:$B$5001,C$127,Base!$A$3:$A$5001,_xlfn.MAXIFS(Base!$A$3:$A$5001,Base!$B$3:$B$5001,C$127,Base!$A$3:$A$5001,"&gt;="&amp;$C$7,Base!$A$3:$A$5001,"&lt;="&amp;$B139,Base!$W$3:$W$5001,"&lt;&gt;"))))</f>
        <v/>
      </c>
      <c r="D139" t="str">
        <f>IF($A139&gt;$B$9,"",IF(COUNTIFS(Base!$B$3:$B$5001,D$127,Base!$A$3:$A$5001,"&gt;="&amp;$C$7,Base!$A$3:$A$5001,"&lt;="&amp;$B139,Base!$W$3:$W$5001,"&lt;&gt;")=0,"",SUMIFS(Base!$W$3:$W$5001,Base!$B$3:$B$5001,D$127,Base!$A$3:$A$5001,_xlfn.MAXIFS(Base!$A$3:$A$5001,Base!$B$3:$B$5001,D$127,Base!$A$3:$A$5001,"&gt;="&amp;$C$7,Base!$A$3:$A$5001,"&lt;="&amp;$B139,Base!$W$3:$W$5001,"&lt;&gt;"))))</f>
        <v/>
      </c>
      <c r="E139" t="str">
        <f>IF($A139&gt;$B$9,"",IF(COUNTIFS(Base!$B$3:$B$5001,E$127,Base!$A$3:$A$5001,"&gt;="&amp;$C$7,Base!$A$3:$A$5001,"&lt;="&amp;$B139,Base!$W$3:$W$5001,"&lt;&gt;")=0,"",SUMIFS(Base!$W$3:$W$5001,Base!$B$3:$B$5001,E$127,Base!$A$3:$A$5001,_xlfn.MAXIFS(Base!$A$3:$A$5001,Base!$B$3:$B$5001,E$127,Base!$A$3:$A$5001,"&gt;="&amp;$C$7,Base!$A$3:$A$5001,"&lt;="&amp;$B139,Base!$W$3:$W$5001,"&lt;&gt;"))))</f>
        <v/>
      </c>
      <c r="F139" t="str">
        <f>IF($A139&gt;$B$9,"",IF(COUNTIFS(Base!$B$3:$B$5001,F$127,Base!$A$3:$A$5001,"&gt;="&amp;$C$7,Base!$A$3:$A$5001,"&lt;="&amp;$B139,Base!$W$3:$W$5001,"&lt;&gt;")=0,"",SUMIFS(Base!$W$3:$W$5001,Base!$B$3:$B$5001,F$127,Base!$A$3:$A$5001,_xlfn.MAXIFS(Base!$A$3:$A$5001,Base!$B$3:$B$5001,F$127,Base!$A$3:$A$5001,"&gt;="&amp;$C$7,Base!$A$3:$A$5001,"&lt;="&amp;$B139,Base!$W$3:$W$5001,"&lt;&gt;"))))</f>
        <v/>
      </c>
      <c r="G139" t="str">
        <f>IF($A139&gt;$B$9,"",IF(COUNTIFS(Base!$B$3:$B$5001,G$127,Base!$A$3:$A$5001,"&gt;="&amp;$C$7,Base!$A$3:$A$5001,"&lt;="&amp;$B139,Base!$W$3:$W$5001,"&lt;&gt;")=0,"",SUMIFS(Base!$W$3:$W$5001,Base!$B$3:$B$5001,G$127,Base!$A$3:$A$5001,_xlfn.MAXIFS(Base!$A$3:$A$5001,Base!$B$3:$B$5001,G$127,Base!$A$3:$A$5001,"&gt;="&amp;$C$7,Base!$A$3:$A$5001,"&lt;="&amp;$B139,Base!$W$3:$W$5001,"&lt;&gt;"))))</f>
        <v/>
      </c>
      <c r="H139" t="str">
        <f>IF($A139&gt;$B$9,"",IF(COUNTIFS(Base!$B$3:$B$5001,H$127,Base!$A$3:$A$5001,"&gt;="&amp;$C$7,Base!$A$3:$A$5001,"&lt;="&amp;$B139,Base!$W$3:$W$5001,"&lt;&gt;")=0,"",SUMIFS(Base!$W$3:$W$5001,Base!$B$3:$B$5001,H$127,Base!$A$3:$A$5001,_xlfn.MAXIFS(Base!$A$3:$A$5001,Base!$B$3:$B$5001,H$127,Base!$A$3:$A$5001,"&gt;="&amp;$C$7,Base!$A$3:$A$5001,"&lt;="&amp;$B139,Base!$W$3:$W$5001,"&lt;&gt;"))))</f>
        <v/>
      </c>
      <c r="I139" t="str">
        <f>IF($A139&gt;$B$9,"",IF(COUNTIFS(Base!$B$3:$B$5001,I$127,Base!$A$3:$A$5001,"&gt;="&amp;$C$7,Base!$A$3:$A$5001,"&lt;="&amp;$B139,Base!$W$3:$W$5001,"&lt;&gt;")=0,"",SUMIFS(Base!$W$3:$W$5001,Base!$B$3:$B$5001,I$127,Base!$A$3:$A$5001,_xlfn.MAXIFS(Base!$A$3:$A$5001,Base!$B$3:$B$5001,I$127,Base!$A$3:$A$5001,"&gt;="&amp;$C$7,Base!$A$3:$A$5001,"&lt;="&amp;$B139,Base!$W$3:$W$5001,"&lt;&gt;"))))</f>
        <v/>
      </c>
      <c r="J139" t="str">
        <f>IF($A139&gt;$B$9,"",IF(COUNTIFS(Base!$B$3:$B$5001,J$127,Base!$A$3:$A$5001,"&gt;="&amp;$C$7,Base!$A$3:$A$5001,"&lt;="&amp;$B139,Base!$W$3:$W$5001,"&lt;&gt;")=0,"",SUMIFS(Base!$W$3:$W$5001,Base!$B$3:$B$5001,J$127,Base!$A$3:$A$5001,_xlfn.MAXIFS(Base!$A$3:$A$5001,Base!$B$3:$B$5001,J$127,Base!$A$3:$A$5001,"&gt;="&amp;$C$7,Base!$A$3:$A$5001,"&lt;="&amp;$B139,Base!$W$3:$W$5001,"&lt;&gt;"))))</f>
        <v/>
      </c>
      <c r="K139" t="str">
        <f>IF($A139&gt;$B$9,"",IF(COUNTIFS(Base!$B$3:$B$5001,K$127,Base!$A$3:$A$5001,"&gt;="&amp;$C$7,Base!$A$3:$A$5001,"&lt;="&amp;$B139,Base!$W$3:$W$5001,"&lt;&gt;")=0,"",SUMIFS(Base!$W$3:$W$5001,Base!$B$3:$B$5001,K$127,Base!$A$3:$A$5001,_xlfn.MAXIFS(Base!$A$3:$A$5001,Base!$B$3:$B$5001,K$127,Base!$A$3:$A$5001,"&gt;="&amp;$C$7,Base!$A$3:$A$5001,"&lt;="&amp;$B139,Base!$W$3:$W$5001,"&lt;&gt;"))))</f>
        <v/>
      </c>
    </row>
    <row r="140">
      <c r="A140">
        <v>13</v>
      </c>
      <c r="B140" s="152">
        <f>$B$24</f>
        <v>46278</v>
      </c>
      <c r="C140" t="str">
        <f>IF($A140&gt;$B$9,"",IF(COUNTIFS(Base!$B$3:$B$5001,C$127,Base!$A$3:$A$5001,"&gt;="&amp;$C$7,Base!$A$3:$A$5001,"&lt;="&amp;$B140,Base!$W$3:$W$5001,"&lt;&gt;")=0,"",SUMIFS(Base!$W$3:$W$5001,Base!$B$3:$B$5001,C$127,Base!$A$3:$A$5001,_xlfn.MAXIFS(Base!$A$3:$A$5001,Base!$B$3:$B$5001,C$127,Base!$A$3:$A$5001,"&gt;="&amp;$C$7,Base!$A$3:$A$5001,"&lt;="&amp;$B140,Base!$W$3:$W$5001,"&lt;&gt;"))))</f>
        <v/>
      </c>
      <c r="D140" t="str">
        <f>IF($A140&gt;$B$9,"",IF(COUNTIFS(Base!$B$3:$B$5001,D$127,Base!$A$3:$A$5001,"&gt;="&amp;$C$7,Base!$A$3:$A$5001,"&lt;="&amp;$B140,Base!$W$3:$W$5001,"&lt;&gt;")=0,"",SUMIFS(Base!$W$3:$W$5001,Base!$B$3:$B$5001,D$127,Base!$A$3:$A$5001,_xlfn.MAXIFS(Base!$A$3:$A$5001,Base!$B$3:$B$5001,D$127,Base!$A$3:$A$5001,"&gt;="&amp;$C$7,Base!$A$3:$A$5001,"&lt;="&amp;$B140,Base!$W$3:$W$5001,"&lt;&gt;"))))</f>
        <v/>
      </c>
      <c r="E140" t="str">
        <f>IF($A140&gt;$B$9,"",IF(COUNTIFS(Base!$B$3:$B$5001,E$127,Base!$A$3:$A$5001,"&gt;="&amp;$C$7,Base!$A$3:$A$5001,"&lt;="&amp;$B140,Base!$W$3:$W$5001,"&lt;&gt;")=0,"",SUMIFS(Base!$W$3:$W$5001,Base!$B$3:$B$5001,E$127,Base!$A$3:$A$5001,_xlfn.MAXIFS(Base!$A$3:$A$5001,Base!$B$3:$B$5001,E$127,Base!$A$3:$A$5001,"&gt;="&amp;$C$7,Base!$A$3:$A$5001,"&lt;="&amp;$B140,Base!$W$3:$W$5001,"&lt;&gt;"))))</f>
        <v/>
      </c>
      <c r="F140" t="str">
        <f>IF($A140&gt;$B$9,"",IF(COUNTIFS(Base!$B$3:$B$5001,F$127,Base!$A$3:$A$5001,"&gt;="&amp;$C$7,Base!$A$3:$A$5001,"&lt;="&amp;$B140,Base!$W$3:$W$5001,"&lt;&gt;")=0,"",SUMIFS(Base!$W$3:$W$5001,Base!$B$3:$B$5001,F$127,Base!$A$3:$A$5001,_xlfn.MAXIFS(Base!$A$3:$A$5001,Base!$B$3:$B$5001,F$127,Base!$A$3:$A$5001,"&gt;="&amp;$C$7,Base!$A$3:$A$5001,"&lt;="&amp;$B140,Base!$W$3:$W$5001,"&lt;&gt;"))))</f>
        <v/>
      </c>
      <c r="G140" t="str">
        <f>IF($A140&gt;$B$9,"",IF(COUNTIFS(Base!$B$3:$B$5001,G$127,Base!$A$3:$A$5001,"&gt;="&amp;$C$7,Base!$A$3:$A$5001,"&lt;="&amp;$B140,Base!$W$3:$W$5001,"&lt;&gt;")=0,"",SUMIFS(Base!$W$3:$W$5001,Base!$B$3:$B$5001,G$127,Base!$A$3:$A$5001,_xlfn.MAXIFS(Base!$A$3:$A$5001,Base!$B$3:$B$5001,G$127,Base!$A$3:$A$5001,"&gt;="&amp;$C$7,Base!$A$3:$A$5001,"&lt;="&amp;$B140,Base!$W$3:$W$5001,"&lt;&gt;"))))</f>
        <v/>
      </c>
      <c r="H140" t="str">
        <f>IF($A140&gt;$B$9,"",IF(COUNTIFS(Base!$B$3:$B$5001,H$127,Base!$A$3:$A$5001,"&gt;="&amp;$C$7,Base!$A$3:$A$5001,"&lt;="&amp;$B140,Base!$W$3:$W$5001,"&lt;&gt;")=0,"",SUMIFS(Base!$W$3:$W$5001,Base!$B$3:$B$5001,H$127,Base!$A$3:$A$5001,_xlfn.MAXIFS(Base!$A$3:$A$5001,Base!$B$3:$B$5001,H$127,Base!$A$3:$A$5001,"&gt;="&amp;$C$7,Base!$A$3:$A$5001,"&lt;="&amp;$B140,Base!$W$3:$W$5001,"&lt;&gt;"))))</f>
        <v/>
      </c>
      <c r="I140" t="str">
        <f>IF($A140&gt;$B$9,"",IF(COUNTIFS(Base!$B$3:$B$5001,I$127,Base!$A$3:$A$5001,"&gt;="&amp;$C$7,Base!$A$3:$A$5001,"&lt;="&amp;$B140,Base!$W$3:$W$5001,"&lt;&gt;")=0,"",SUMIFS(Base!$W$3:$W$5001,Base!$B$3:$B$5001,I$127,Base!$A$3:$A$5001,_xlfn.MAXIFS(Base!$A$3:$A$5001,Base!$B$3:$B$5001,I$127,Base!$A$3:$A$5001,"&gt;="&amp;$C$7,Base!$A$3:$A$5001,"&lt;="&amp;$B140,Base!$W$3:$W$5001,"&lt;&gt;"))))</f>
        <v/>
      </c>
      <c r="J140" t="str">
        <f>IF($A140&gt;$B$9,"",IF(COUNTIFS(Base!$B$3:$B$5001,J$127,Base!$A$3:$A$5001,"&gt;="&amp;$C$7,Base!$A$3:$A$5001,"&lt;="&amp;$B140,Base!$W$3:$W$5001,"&lt;&gt;")=0,"",SUMIFS(Base!$W$3:$W$5001,Base!$B$3:$B$5001,J$127,Base!$A$3:$A$5001,_xlfn.MAXIFS(Base!$A$3:$A$5001,Base!$B$3:$B$5001,J$127,Base!$A$3:$A$5001,"&gt;="&amp;$C$7,Base!$A$3:$A$5001,"&lt;="&amp;$B140,Base!$W$3:$W$5001,"&lt;&gt;"))))</f>
        <v/>
      </c>
      <c r="K140" t="str">
        <f>IF($A140&gt;$B$9,"",IF(COUNTIFS(Base!$B$3:$B$5001,K$127,Base!$A$3:$A$5001,"&gt;="&amp;$C$7,Base!$A$3:$A$5001,"&lt;="&amp;$B140,Base!$W$3:$W$5001,"&lt;&gt;")=0,"",SUMIFS(Base!$W$3:$W$5001,Base!$B$3:$B$5001,K$127,Base!$A$3:$A$5001,_xlfn.MAXIFS(Base!$A$3:$A$5001,Base!$B$3:$B$5001,K$127,Base!$A$3:$A$5001,"&gt;="&amp;$C$7,Base!$A$3:$A$5001,"&lt;="&amp;$B140,Base!$W$3:$W$5001,"&lt;&gt;"))))</f>
        <v/>
      </c>
    </row>
    <row r="141">
      <c r="A141">
        <v>14</v>
      </c>
      <c r="B141" s="152">
        <f>$B$25</f>
        <v>46279</v>
      </c>
      <c r="C141" t="str">
        <f>IF($A141&gt;$B$9,"",IF(COUNTIFS(Base!$B$3:$B$5001,C$127,Base!$A$3:$A$5001,"&gt;="&amp;$C$7,Base!$A$3:$A$5001,"&lt;="&amp;$B141,Base!$W$3:$W$5001,"&lt;&gt;")=0,"",SUMIFS(Base!$W$3:$W$5001,Base!$B$3:$B$5001,C$127,Base!$A$3:$A$5001,_xlfn.MAXIFS(Base!$A$3:$A$5001,Base!$B$3:$B$5001,C$127,Base!$A$3:$A$5001,"&gt;="&amp;$C$7,Base!$A$3:$A$5001,"&lt;="&amp;$B141,Base!$W$3:$W$5001,"&lt;&gt;"))))</f>
        <v/>
      </c>
      <c r="D141" t="str">
        <f>IF($A141&gt;$B$9,"",IF(COUNTIFS(Base!$B$3:$B$5001,D$127,Base!$A$3:$A$5001,"&gt;="&amp;$C$7,Base!$A$3:$A$5001,"&lt;="&amp;$B141,Base!$W$3:$W$5001,"&lt;&gt;")=0,"",SUMIFS(Base!$W$3:$W$5001,Base!$B$3:$B$5001,D$127,Base!$A$3:$A$5001,_xlfn.MAXIFS(Base!$A$3:$A$5001,Base!$B$3:$B$5001,D$127,Base!$A$3:$A$5001,"&gt;="&amp;$C$7,Base!$A$3:$A$5001,"&lt;="&amp;$B141,Base!$W$3:$W$5001,"&lt;&gt;"))))</f>
        <v/>
      </c>
      <c r="E141" t="str">
        <f>IF($A141&gt;$B$9,"",IF(COUNTIFS(Base!$B$3:$B$5001,E$127,Base!$A$3:$A$5001,"&gt;="&amp;$C$7,Base!$A$3:$A$5001,"&lt;="&amp;$B141,Base!$W$3:$W$5001,"&lt;&gt;")=0,"",SUMIFS(Base!$W$3:$W$5001,Base!$B$3:$B$5001,E$127,Base!$A$3:$A$5001,_xlfn.MAXIFS(Base!$A$3:$A$5001,Base!$B$3:$B$5001,E$127,Base!$A$3:$A$5001,"&gt;="&amp;$C$7,Base!$A$3:$A$5001,"&lt;="&amp;$B141,Base!$W$3:$W$5001,"&lt;&gt;"))))</f>
        <v/>
      </c>
      <c r="F141" t="str">
        <f>IF($A141&gt;$B$9,"",IF(COUNTIFS(Base!$B$3:$B$5001,F$127,Base!$A$3:$A$5001,"&gt;="&amp;$C$7,Base!$A$3:$A$5001,"&lt;="&amp;$B141,Base!$W$3:$W$5001,"&lt;&gt;")=0,"",SUMIFS(Base!$W$3:$W$5001,Base!$B$3:$B$5001,F$127,Base!$A$3:$A$5001,_xlfn.MAXIFS(Base!$A$3:$A$5001,Base!$B$3:$B$5001,F$127,Base!$A$3:$A$5001,"&gt;="&amp;$C$7,Base!$A$3:$A$5001,"&lt;="&amp;$B141,Base!$W$3:$W$5001,"&lt;&gt;"))))</f>
        <v/>
      </c>
      <c r="G141" t="str">
        <f>IF($A141&gt;$B$9,"",IF(COUNTIFS(Base!$B$3:$B$5001,G$127,Base!$A$3:$A$5001,"&gt;="&amp;$C$7,Base!$A$3:$A$5001,"&lt;="&amp;$B141,Base!$W$3:$W$5001,"&lt;&gt;")=0,"",SUMIFS(Base!$W$3:$W$5001,Base!$B$3:$B$5001,G$127,Base!$A$3:$A$5001,_xlfn.MAXIFS(Base!$A$3:$A$5001,Base!$B$3:$B$5001,G$127,Base!$A$3:$A$5001,"&gt;="&amp;$C$7,Base!$A$3:$A$5001,"&lt;="&amp;$B141,Base!$W$3:$W$5001,"&lt;&gt;"))))</f>
        <v/>
      </c>
      <c r="H141" t="str">
        <f>IF($A141&gt;$B$9,"",IF(COUNTIFS(Base!$B$3:$B$5001,H$127,Base!$A$3:$A$5001,"&gt;="&amp;$C$7,Base!$A$3:$A$5001,"&lt;="&amp;$B141,Base!$W$3:$W$5001,"&lt;&gt;")=0,"",SUMIFS(Base!$W$3:$W$5001,Base!$B$3:$B$5001,H$127,Base!$A$3:$A$5001,_xlfn.MAXIFS(Base!$A$3:$A$5001,Base!$B$3:$B$5001,H$127,Base!$A$3:$A$5001,"&gt;="&amp;$C$7,Base!$A$3:$A$5001,"&lt;="&amp;$B141,Base!$W$3:$W$5001,"&lt;&gt;"))))</f>
        <v/>
      </c>
      <c r="I141" t="str">
        <f>IF($A141&gt;$B$9,"",IF(COUNTIFS(Base!$B$3:$B$5001,I$127,Base!$A$3:$A$5001,"&gt;="&amp;$C$7,Base!$A$3:$A$5001,"&lt;="&amp;$B141,Base!$W$3:$W$5001,"&lt;&gt;")=0,"",SUMIFS(Base!$W$3:$W$5001,Base!$B$3:$B$5001,I$127,Base!$A$3:$A$5001,_xlfn.MAXIFS(Base!$A$3:$A$5001,Base!$B$3:$B$5001,I$127,Base!$A$3:$A$5001,"&gt;="&amp;$C$7,Base!$A$3:$A$5001,"&lt;="&amp;$B141,Base!$W$3:$W$5001,"&lt;&gt;"))))</f>
        <v/>
      </c>
      <c r="J141" t="str">
        <f>IF($A141&gt;$B$9,"",IF(COUNTIFS(Base!$B$3:$B$5001,J$127,Base!$A$3:$A$5001,"&gt;="&amp;$C$7,Base!$A$3:$A$5001,"&lt;="&amp;$B141,Base!$W$3:$W$5001,"&lt;&gt;")=0,"",SUMIFS(Base!$W$3:$W$5001,Base!$B$3:$B$5001,J$127,Base!$A$3:$A$5001,_xlfn.MAXIFS(Base!$A$3:$A$5001,Base!$B$3:$B$5001,J$127,Base!$A$3:$A$5001,"&gt;="&amp;$C$7,Base!$A$3:$A$5001,"&lt;="&amp;$B141,Base!$W$3:$W$5001,"&lt;&gt;"))))</f>
        <v/>
      </c>
      <c r="K141" t="str">
        <f>IF($A141&gt;$B$9,"",IF(COUNTIFS(Base!$B$3:$B$5001,K$127,Base!$A$3:$A$5001,"&gt;="&amp;$C$7,Base!$A$3:$A$5001,"&lt;="&amp;$B141,Base!$W$3:$W$5001,"&lt;&gt;")=0,"",SUMIFS(Base!$W$3:$W$5001,Base!$B$3:$B$5001,K$127,Base!$A$3:$A$5001,_xlfn.MAXIFS(Base!$A$3:$A$5001,Base!$B$3:$B$5001,K$127,Base!$A$3:$A$5001,"&gt;="&amp;$C$7,Base!$A$3:$A$5001,"&lt;="&amp;$B141,Base!$W$3:$W$5001,"&lt;&gt;"))))</f>
        <v/>
      </c>
    </row>
    <row r="142">
      <c r="A142">
        <v>15</v>
      </c>
      <c r="B142" s="152">
        <f>$B$26</f>
        <v>46280</v>
      </c>
      <c r="C142" t="str">
        <f>IF($A142&gt;$B$9,"",IF(COUNTIFS(Base!$B$3:$B$5001,C$127,Base!$A$3:$A$5001,"&gt;="&amp;$C$7,Base!$A$3:$A$5001,"&lt;="&amp;$B142,Base!$W$3:$W$5001,"&lt;&gt;")=0,"",SUMIFS(Base!$W$3:$W$5001,Base!$B$3:$B$5001,C$127,Base!$A$3:$A$5001,_xlfn.MAXIFS(Base!$A$3:$A$5001,Base!$B$3:$B$5001,C$127,Base!$A$3:$A$5001,"&gt;="&amp;$C$7,Base!$A$3:$A$5001,"&lt;="&amp;$B142,Base!$W$3:$W$5001,"&lt;&gt;"))))</f>
        <v/>
      </c>
      <c r="D142" t="str">
        <f>IF($A142&gt;$B$9,"",IF(COUNTIFS(Base!$B$3:$B$5001,D$127,Base!$A$3:$A$5001,"&gt;="&amp;$C$7,Base!$A$3:$A$5001,"&lt;="&amp;$B142,Base!$W$3:$W$5001,"&lt;&gt;")=0,"",SUMIFS(Base!$W$3:$W$5001,Base!$B$3:$B$5001,D$127,Base!$A$3:$A$5001,_xlfn.MAXIFS(Base!$A$3:$A$5001,Base!$B$3:$B$5001,D$127,Base!$A$3:$A$5001,"&gt;="&amp;$C$7,Base!$A$3:$A$5001,"&lt;="&amp;$B142,Base!$W$3:$W$5001,"&lt;&gt;"))))</f>
        <v/>
      </c>
      <c r="E142" t="str">
        <f>IF($A142&gt;$B$9,"",IF(COUNTIFS(Base!$B$3:$B$5001,E$127,Base!$A$3:$A$5001,"&gt;="&amp;$C$7,Base!$A$3:$A$5001,"&lt;="&amp;$B142,Base!$W$3:$W$5001,"&lt;&gt;")=0,"",SUMIFS(Base!$W$3:$W$5001,Base!$B$3:$B$5001,E$127,Base!$A$3:$A$5001,_xlfn.MAXIFS(Base!$A$3:$A$5001,Base!$B$3:$B$5001,E$127,Base!$A$3:$A$5001,"&gt;="&amp;$C$7,Base!$A$3:$A$5001,"&lt;="&amp;$B142,Base!$W$3:$W$5001,"&lt;&gt;"))))</f>
        <v/>
      </c>
      <c r="F142" t="str">
        <f>IF($A142&gt;$B$9,"",IF(COUNTIFS(Base!$B$3:$B$5001,F$127,Base!$A$3:$A$5001,"&gt;="&amp;$C$7,Base!$A$3:$A$5001,"&lt;="&amp;$B142,Base!$W$3:$W$5001,"&lt;&gt;")=0,"",SUMIFS(Base!$W$3:$W$5001,Base!$B$3:$B$5001,F$127,Base!$A$3:$A$5001,_xlfn.MAXIFS(Base!$A$3:$A$5001,Base!$B$3:$B$5001,F$127,Base!$A$3:$A$5001,"&gt;="&amp;$C$7,Base!$A$3:$A$5001,"&lt;="&amp;$B142,Base!$W$3:$W$5001,"&lt;&gt;"))))</f>
        <v/>
      </c>
      <c r="G142" t="str">
        <f>IF($A142&gt;$B$9,"",IF(COUNTIFS(Base!$B$3:$B$5001,G$127,Base!$A$3:$A$5001,"&gt;="&amp;$C$7,Base!$A$3:$A$5001,"&lt;="&amp;$B142,Base!$W$3:$W$5001,"&lt;&gt;")=0,"",SUMIFS(Base!$W$3:$W$5001,Base!$B$3:$B$5001,G$127,Base!$A$3:$A$5001,_xlfn.MAXIFS(Base!$A$3:$A$5001,Base!$B$3:$B$5001,G$127,Base!$A$3:$A$5001,"&gt;="&amp;$C$7,Base!$A$3:$A$5001,"&lt;="&amp;$B142,Base!$W$3:$W$5001,"&lt;&gt;"))))</f>
        <v/>
      </c>
      <c r="H142" t="str">
        <f>IF($A142&gt;$B$9,"",IF(COUNTIFS(Base!$B$3:$B$5001,H$127,Base!$A$3:$A$5001,"&gt;="&amp;$C$7,Base!$A$3:$A$5001,"&lt;="&amp;$B142,Base!$W$3:$W$5001,"&lt;&gt;")=0,"",SUMIFS(Base!$W$3:$W$5001,Base!$B$3:$B$5001,H$127,Base!$A$3:$A$5001,_xlfn.MAXIFS(Base!$A$3:$A$5001,Base!$B$3:$B$5001,H$127,Base!$A$3:$A$5001,"&gt;="&amp;$C$7,Base!$A$3:$A$5001,"&lt;="&amp;$B142,Base!$W$3:$W$5001,"&lt;&gt;"))))</f>
        <v/>
      </c>
      <c r="I142" t="str">
        <f>IF($A142&gt;$B$9,"",IF(COUNTIFS(Base!$B$3:$B$5001,I$127,Base!$A$3:$A$5001,"&gt;="&amp;$C$7,Base!$A$3:$A$5001,"&lt;="&amp;$B142,Base!$W$3:$W$5001,"&lt;&gt;")=0,"",SUMIFS(Base!$W$3:$W$5001,Base!$B$3:$B$5001,I$127,Base!$A$3:$A$5001,_xlfn.MAXIFS(Base!$A$3:$A$5001,Base!$B$3:$B$5001,I$127,Base!$A$3:$A$5001,"&gt;="&amp;$C$7,Base!$A$3:$A$5001,"&lt;="&amp;$B142,Base!$W$3:$W$5001,"&lt;&gt;"))))</f>
        <v/>
      </c>
      <c r="J142" t="str">
        <f>IF($A142&gt;$B$9,"",IF(COUNTIFS(Base!$B$3:$B$5001,J$127,Base!$A$3:$A$5001,"&gt;="&amp;$C$7,Base!$A$3:$A$5001,"&lt;="&amp;$B142,Base!$W$3:$W$5001,"&lt;&gt;")=0,"",SUMIFS(Base!$W$3:$W$5001,Base!$B$3:$B$5001,J$127,Base!$A$3:$A$5001,_xlfn.MAXIFS(Base!$A$3:$A$5001,Base!$B$3:$B$5001,J$127,Base!$A$3:$A$5001,"&gt;="&amp;$C$7,Base!$A$3:$A$5001,"&lt;="&amp;$B142,Base!$W$3:$W$5001,"&lt;&gt;"))))</f>
        <v/>
      </c>
      <c r="K142" t="str">
        <f>IF($A142&gt;$B$9,"",IF(COUNTIFS(Base!$B$3:$B$5001,K$127,Base!$A$3:$A$5001,"&gt;="&amp;$C$7,Base!$A$3:$A$5001,"&lt;="&amp;$B142,Base!$W$3:$W$5001,"&lt;&gt;")=0,"",SUMIFS(Base!$W$3:$W$5001,Base!$B$3:$B$5001,K$127,Base!$A$3:$A$5001,_xlfn.MAXIFS(Base!$A$3:$A$5001,Base!$B$3:$B$5001,K$127,Base!$A$3:$A$5001,"&gt;="&amp;$C$7,Base!$A$3:$A$5001,"&lt;="&amp;$B142,Base!$W$3:$W$5001,"&lt;&gt;"))))</f>
        <v/>
      </c>
    </row>
    <row r="143">
      <c r="A143">
        <v>16</v>
      </c>
      <c r="B143" s="152">
        <f>$B$27</f>
        <v>46281</v>
      </c>
      <c r="C143" t="str">
        <f>IF($A143&gt;$B$9,"",IF(COUNTIFS(Base!$B$3:$B$5001,C$127,Base!$A$3:$A$5001,"&gt;="&amp;$C$7,Base!$A$3:$A$5001,"&lt;="&amp;$B143,Base!$W$3:$W$5001,"&lt;&gt;")=0,"",SUMIFS(Base!$W$3:$W$5001,Base!$B$3:$B$5001,C$127,Base!$A$3:$A$5001,_xlfn.MAXIFS(Base!$A$3:$A$5001,Base!$B$3:$B$5001,C$127,Base!$A$3:$A$5001,"&gt;="&amp;$C$7,Base!$A$3:$A$5001,"&lt;="&amp;$B143,Base!$W$3:$W$5001,"&lt;&gt;"))))</f>
        <v/>
      </c>
      <c r="D143" t="str">
        <f>IF($A143&gt;$B$9,"",IF(COUNTIFS(Base!$B$3:$B$5001,D$127,Base!$A$3:$A$5001,"&gt;="&amp;$C$7,Base!$A$3:$A$5001,"&lt;="&amp;$B143,Base!$W$3:$W$5001,"&lt;&gt;")=0,"",SUMIFS(Base!$W$3:$W$5001,Base!$B$3:$B$5001,D$127,Base!$A$3:$A$5001,_xlfn.MAXIFS(Base!$A$3:$A$5001,Base!$B$3:$B$5001,D$127,Base!$A$3:$A$5001,"&gt;="&amp;$C$7,Base!$A$3:$A$5001,"&lt;="&amp;$B143,Base!$W$3:$W$5001,"&lt;&gt;"))))</f>
        <v/>
      </c>
      <c r="E143" t="str">
        <f>IF($A143&gt;$B$9,"",IF(COUNTIFS(Base!$B$3:$B$5001,E$127,Base!$A$3:$A$5001,"&gt;="&amp;$C$7,Base!$A$3:$A$5001,"&lt;="&amp;$B143,Base!$W$3:$W$5001,"&lt;&gt;")=0,"",SUMIFS(Base!$W$3:$W$5001,Base!$B$3:$B$5001,E$127,Base!$A$3:$A$5001,_xlfn.MAXIFS(Base!$A$3:$A$5001,Base!$B$3:$B$5001,E$127,Base!$A$3:$A$5001,"&gt;="&amp;$C$7,Base!$A$3:$A$5001,"&lt;="&amp;$B143,Base!$W$3:$W$5001,"&lt;&gt;"))))</f>
        <v/>
      </c>
      <c r="F143" t="str">
        <f>IF($A143&gt;$B$9,"",IF(COUNTIFS(Base!$B$3:$B$5001,F$127,Base!$A$3:$A$5001,"&gt;="&amp;$C$7,Base!$A$3:$A$5001,"&lt;="&amp;$B143,Base!$W$3:$W$5001,"&lt;&gt;")=0,"",SUMIFS(Base!$W$3:$W$5001,Base!$B$3:$B$5001,F$127,Base!$A$3:$A$5001,_xlfn.MAXIFS(Base!$A$3:$A$5001,Base!$B$3:$B$5001,F$127,Base!$A$3:$A$5001,"&gt;="&amp;$C$7,Base!$A$3:$A$5001,"&lt;="&amp;$B143,Base!$W$3:$W$5001,"&lt;&gt;"))))</f>
        <v/>
      </c>
      <c r="G143" t="str">
        <f>IF($A143&gt;$B$9,"",IF(COUNTIFS(Base!$B$3:$B$5001,G$127,Base!$A$3:$A$5001,"&gt;="&amp;$C$7,Base!$A$3:$A$5001,"&lt;="&amp;$B143,Base!$W$3:$W$5001,"&lt;&gt;")=0,"",SUMIFS(Base!$W$3:$W$5001,Base!$B$3:$B$5001,G$127,Base!$A$3:$A$5001,_xlfn.MAXIFS(Base!$A$3:$A$5001,Base!$B$3:$B$5001,G$127,Base!$A$3:$A$5001,"&gt;="&amp;$C$7,Base!$A$3:$A$5001,"&lt;="&amp;$B143,Base!$W$3:$W$5001,"&lt;&gt;"))))</f>
        <v/>
      </c>
      <c r="H143" t="str">
        <f>IF($A143&gt;$B$9,"",IF(COUNTIFS(Base!$B$3:$B$5001,H$127,Base!$A$3:$A$5001,"&gt;="&amp;$C$7,Base!$A$3:$A$5001,"&lt;="&amp;$B143,Base!$W$3:$W$5001,"&lt;&gt;")=0,"",SUMIFS(Base!$W$3:$W$5001,Base!$B$3:$B$5001,H$127,Base!$A$3:$A$5001,_xlfn.MAXIFS(Base!$A$3:$A$5001,Base!$B$3:$B$5001,H$127,Base!$A$3:$A$5001,"&gt;="&amp;$C$7,Base!$A$3:$A$5001,"&lt;="&amp;$B143,Base!$W$3:$W$5001,"&lt;&gt;"))))</f>
        <v/>
      </c>
      <c r="I143" t="str">
        <f>IF($A143&gt;$B$9,"",IF(COUNTIFS(Base!$B$3:$B$5001,I$127,Base!$A$3:$A$5001,"&gt;="&amp;$C$7,Base!$A$3:$A$5001,"&lt;="&amp;$B143,Base!$W$3:$W$5001,"&lt;&gt;")=0,"",SUMIFS(Base!$W$3:$W$5001,Base!$B$3:$B$5001,I$127,Base!$A$3:$A$5001,_xlfn.MAXIFS(Base!$A$3:$A$5001,Base!$B$3:$B$5001,I$127,Base!$A$3:$A$5001,"&gt;="&amp;$C$7,Base!$A$3:$A$5001,"&lt;="&amp;$B143,Base!$W$3:$W$5001,"&lt;&gt;"))))</f>
        <v/>
      </c>
      <c r="J143" t="str">
        <f>IF($A143&gt;$B$9,"",IF(COUNTIFS(Base!$B$3:$B$5001,J$127,Base!$A$3:$A$5001,"&gt;="&amp;$C$7,Base!$A$3:$A$5001,"&lt;="&amp;$B143,Base!$W$3:$W$5001,"&lt;&gt;")=0,"",SUMIFS(Base!$W$3:$W$5001,Base!$B$3:$B$5001,J$127,Base!$A$3:$A$5001,_xlfn.MAXIFS(Base!$A$3:$A$5001,Base!$B$3:$B$5001,J$127,Base!$A$3:$A$5001,"&gt;="&amp;$C$7,Base!$A$3:$A$5001,"&lt;="&amp;$B143,Base!$W$3:$W$5001,"&lt;&gt;"))))</f>
        <v/>
      </c>
      <c r="K143" t="str">
        <f>IF($A143&gt;$B$9,"",IF(COUNTIFS(Base!$B$3:$B$5001,K$127,Base!$A$3:$A$5001,"&gt;="&amp;$C$7,Base!$A$3:$A$5001,"&lt;="&amp;$B143,Base!$W$3:$W$5001,"&lt;&gt;")=0,"",SUMIFS(Base!$W$3:$W$5001,Base!$B$3:$B$5001,K$127,Base!$A$3:$A$5001,_xlfn.MAXIFS(Base!$A$3:$A$5001,Base!$B$3:$B$5001,K$127,Base!$A$3:$A$5001,"&gt;="&amp;$C$7,Base!$A$3:$A$5001,"&lt;="&amp;$B143,Base!$W$3:$W$5001,"&lt;&gt;"))))</f>
        <v/>
      </c>
    </row>
    <row r="144">
      <c r="A144">
        <v>17</v>
      </c>
      <c r="B144" s="152">
        <f>$B$28</f>
        <v>46282</v>
      </c>
      <c r="C144" t="str">
        <f>IF($A144&gt;$B$9,"",IF(COUNTIFS(Base!$B$3:$B$5001,C$127,Base!$A$3:$A$5001,"&gt;="&amp;$C$7,Base!$A$3:$A$5001,"&lt;="&amp;$B144,Base!$W$3:$W$5001,"&lt;&gt;")=0,"",SUMIFS(Base!$W$3:$W$5001,Base!$B$3:$B$5001,C$127,Base!$A$3:$A$5001,_xlfn.MAXIFS(Base!$A$3:$A$5001,Base!$B$3:$B$5001,C$127,Base!$A$3:$A$5001,"&gt;="&amp;$C$7,Base!$A$3:$A$5001,"&lt;="&amp;$B144,Base!$W$3:$W$5001,"&lt;&gt;"))))</f>
        <v/>
      </c>
      <c r="D144" t="str">
        <f>IF($A144&gt;$B$9,"",IF(COUNTIFS(Base!$B$3:$B$5001,D$127,Base!$A$3:$A$5001,"&gt;="&amp;$C$7,Base!$A$3:$A$5001,"&lt;="&amp;$B144,Base!$W$3:$W$5001,"&lt;&gt;")=0,"",SUMIFS(Base!$W$3:$W$5001,Base!$B$3:$B$5001,D$127,Base!$A$3:$A$5001,_xlfn.MAXIFS(Base!$A$3:$A$5001,Base!$B$3:$B$5001,D$127,Base!$A$3:$A$5001,"&gt;="&amp;$C$7,Base!$A$3:$A$5001,"&lt;="&amp;$B144,Base!$W$3:$W$5001,"&lt;&gt;"))))</f>
        <v/>
      </c>
      <c r="E144" t="str">
        <f>IF($A144&gt;$B$9,"",IF(COUNTIFS(Base!$B$3:$B$5001,E$127,Base!$A$3:$A$5001,"&gt;="&amp;$C$7,Base!$A$3:$A$5001,"&lt;="&amp;$B144,Base!$W$3:$W$5001,"&lt;&gt;")=0,"",SUMIFS(Base!$W$3:$W$5001,Base!$B$3:$B$5001,E$127,Base!$A$3:$A$5001,_xlfn.MAXIFS(Base!$A$3:$A$5001,Base!$B$3:$B$5001,E$127,Base!$A$3:$A$5001,"&gt;="&amp;$C$7,Base!$A$3:$A$5001,"&lt;="&amp;$B144,Base!$W$3:$W$5001,"&lt;&gt;"))))</f>
        <v/>
      </c>
      <c r="F144" t="str">
        <f>IF($A144&gt;$B$9,"",IF(COUNTIFS(Base!$B$3:$B$5001,F$127,Base!$A$3:$A$5001,"&gt;="&amp;$C$7,Base!$A$3:$A$5001,"&lt;="&amp;$B144,Base!$W$3:$W$5001,"&lt;&gt;")=0,"",SUMIFS(Base!$W$3:$W$5001,Base!$B$3:$B$5001,F$127,Base!$A$3:$A$5001,_xlfn.MAXIFS(Base!$A$3:$A$5001,Base!$B$3:$B$5001,F$127,Base!$A$3:$A$5001,"&gt;="&amp;$C$7,Base!$A$3:$A$5001,"&lt;="&amp;$B144,Base!$W$3:$W$5001,"&lt;&gt;"))))</f>
        <v/>
      </c>
      <c r="G144" t="str">
        <f>IF($A144&gt;$B$9,"",IF(COUNTIFS(Base!$B$3:$B$5001,G$127,Base!$A$3:$A$5001,"&gt;="&amp;$C$7,Base!$A$3:$A$5001,"&lt;="&amp;$B144,Base!$W$3:$W$5001,"&lt;&gt;")=0,"",SUMIFS(Base!$W$3:$W$5001,Base!$B$3:$B$5001,G$127,Base!$A$3:$A$5001,_xlfn.MAXIFS(Base!$A$3:$A$5001,Base!$B$3:$B$5001,G$127,Base!$A$3:$A$5001,"&gt;="&amp;$C$7,Base!$A$3:$A$5001,"&lt;="&amp;$B144,Base!$W$3:$W$5001,"&lt;&gt;"))))</f>
        <v/>
      </c>
      <c r="H144" t="str">
        <f>IF($A144&gt;$B$9,"",IF(COUNTIFS(Base!$B$3:$B$5001,H$127,Base!$A$3:$A$5001,"&gt;="&amp;$C$7,Base!$A$3:$A$5001,"&lt;="&amp;$B144,Base!$W$3:$W$5001,"&lt;&gt;")=0,"",SUMIFS(Base!$W$3:$W$5001,Base!$B$3:$B$5001,H$127,Base!$A$3:$A$5001,_xlfn.MAXIFS(Base!$A$3:$A$5001,Base!$B$3:$B$5001,H$127,Base!$A$3:$A$5001,"&gt;="&amp;$C$7,Base!$A$3:$A$5001,"&lt;="&amp;$B144,Base!$W$3:$W$5001,"&lt;&gt;"))))</f>
        <v/>
      </c>
      <c r="I144" t="str">
        <f>IF($A144&gt;$B$9,"",IF(COUNTIFS(Base!$B$3:$B$5001,I$127,Base!$A$3:$A$5001,"&gt;="&amp;$C$7,Base!$A$3:$A$5001,"&lt;="&amp;$B144,Base!$W$3:$W$5001,"&lt;&gt;")=0,"",SUMIFS(Base!$W$3:$W$5001,Base!$B$3:$B$5001,I$127,Base!$A$3:$A$5001,_xlfn.MAXIFS(Base!$A$3:$A$5001,Base!$B$3:$B$5001,I$127,Base!$A$3:$A$5001,"&gt;="&amp;$C$7,Base!$A$3:$A$5001,"&lt;="&amp;$B144,Base!$W$3:$W$5001,"&lt;&gt;"))))</f>
        <v/>
      </c>
      <c r="J144" t="str">
        <f>IF($A144&gt;$B$9,"",IF(COUNTIFS(Base!$B$3:$B$5001,J$127,Base!$A$3:$A$5001,"&gt;="&amp;$C$7,Base!$A$3:$A$5001,"&lt;="&amp;$B144,Base!$W$3:$W$5001,"&lt;&gt;")=0,"",SUMIFS(Base!$W$3:$W$5001,Base!$B$3:$B$5001,J$127,Base!$A$3:$A$5001,_xlfn.MAXIFS(Base!$A$3:$A$5001,Base!$B$3:$B$5001,J$127,Base!$A$3:$A$5001,"&gt;="&amp;$C$7,Base!$A$3:$A$5001,"&lt;="&amp;$B144,Base!$W$3:$W$5001,"&lt;&gt;"))))</f>
        <v/>
      </c>
      <c r="K144" t="str">
        <f>IF($A144&gt;$B$9,"",IF(COUNTIFS(Base!$B$3:$B$5001,K$127,Base!$A$3:$A$5001,"&gt;="&amp;$C$7,Base!$A$3:$A$5001,"&lt;="&amp;$B144,Base!$W$3:$W$5001,"&lt;&gt;")=0,"",SUMIFS(Base!$W$3:$W$5001,Base!$B$3:$B$5001,K$127,Base!$A$3:$A$5001,_xlfn.MAXIFS(Base!$A$3:$A$5001,Base!$B$3:$B$5001,K$127,Base!$A$3:$A$5001,"&gt;="&amp;$C$7,Base!$A$3:$A$5001,"&lt;="&amp;$B144,Base!$W$3:$W$5001,"&lt;&gt;"))))</f>
        <v/>
      </c>
    </row>
    <row r="145">
      <c r="A145">
        <v>18</v>
      </c>
      <c r="B145" s="152">
        <f>$B$29</f>
        <v>46283</v>
      </c>
      <c r="C145" t="str">
        <f>IF($A145&gt;$B$9,"",IF(COUNTIFS(Base!$B$3:$B$5001,C$127,Base!$A$3:$A$5001,"&gt;="&amp;$C$7,Base!$A$3:$A$5001,"&lt;="&amp;$B145,Base!$W$3:$W$5001,"&lt;&gt;")=0,"",SUMIFS(Base!$W$3:$W$5001,Base!$B$3:$B$5001,C$127,Base!$A$3:$A$5001,_xlfn.MAXIFS(Base!$A$3:$A$5001,Base!$B$3:$B$5001,C$127,Base!$A$3:$A$5001,"&gt;="&amp;$C$7,Base!$A$3:$A$5001,"&lt;="&amp;$B145,Base!$W$3:$W$5001,"&lt;&gt;"))))</f>
        <v/>
      </c>
      <c r="D145" t="str">
        <f>IF($A145&gt;$B$9,"",IF(COUNTIFS(Base!$B$3:$B$5001,D$127,Base!$A$3:$A$5001,"&gt;="&amp;$C$7,Base!$A$3:$A$5001,"&lt;="&amp;$B145,Base!$W$3:$W$5001,"&lt;&gt;")=0,"",SUMIFS(Base!$W$3:$W$5001,Base!$B$3:$B$5001,D$127,Base!$A$3:$A$5001,_xlfn.MAXIFS(Base!$A$3:$A$5001,Base!$B$3:$B$5001,D$127,Base!$A$3:$A$5001,"&gt;="&amp;$C$7,Base!$A$3:$A$5001,"&lt;="&amp;$B145,Base!$W$3:$W$5001,"&lt;&gt;"))))</f>
        <v/>
      </c>
      <c r="E145" t="str">
        <f>IF($A145&gt;$B$9,"",IF(COUNTIFS(Base!$B$3:$B$5001,E$127,Base!$A$3:$A$5001,"&gt;="&amp;$C$7,Base!$A$3:$A$5001,"&lt;="&amp;$B145,Base!$W$3:$W$5001,"&lt;&gt;")=0,"",SUMIFS(Base!$W$3:$W$5001,Base!$B$3:$B$5001,E$127,Base!$A$3:$A$5001,_xlfn.MAXIFS(Base!$A$3:$A$5001,Base!$B$3:$B$5001,E$127,Base!$A$3:$A$5001,"&gt;="&amp;$C$7,Base!$A$3:$A$5001,"&lt;="&amp;$B145,Base!$W$3:$W$5001,"&lt;&gt;"))))</f>
        <v/>
      </c>
      <c r="F145" t="str">
        <f>IF($A145&gt;$B$9,"",IF(COUNTIFS(Base!$B$3:$B$5001,F$127,Base!$A$3:$A$5001,"&gt;="&amp;$C$7,Base!$A$3:$A$5001,"&lt;="&amp;$B145,Base!$W$3:$W$5001,"&lt;&gt;")=0,"",SUMIFS(Base!$W$3:$W$5001,Base!$B$3:$B$5001,F$127,Base!$A$3:$A$5001,_xlfn.MAXIFS(Base!$A$3:$A$5001,Base!$B$3:$B$5001,F$127,Base!$A$3:$A$5001,"&gt;="&amp;$C$7,Base!$A$3:$A$5001,"&lt;="&amp;$B145,Base!$W$3:$W$5001,"&lt;&gt;"))))</f>
        <v/>
      </c>
      <c r="G145" t="str">
        <f>IF($A145&gt;$B$9,"",IF(COUNTIFS(Base!$B$3:$B$5001,G$127,Base!$A$3:$A$5001,"&gt;="&amp;$C$7,Base!$A$3:$A$5001,"&lt;="&amp;$B145,Base!$W$3:$W$5001,"&lt;&gt;")=0,"",SUMIFS(Base!$W$3:$W$5001,Base!$B$3:$B$5001,G$127,Base!$A$3:$A$5001,_xlfn.MAXIFS(Base!$A$3:$A$5001,Base!$B$3:$B$5001,G$127,Base!$A$3:$A$5001,"&gt;="&amp;$C$7,Base!$A$3:$A$5001,"&lt;="&amp;$B145,Base!$W$3:$W$5001,"&lt;&gt;"))))</f>
        <v/>
      </c>
      <c r="H145" t="str">
        <f>IF($A145&gt;$B$9,"",IF(COUNTIFS(Base!$B$3:$B$5001,H$127,Base!$A$3:$A$5001,"&gt;="&amp;$C$7,Base!$A$3:$A$5001,"&lt;="&amp;$B145,Base!$W$3:$W$5001,"&lt;&gt;")=0,"",SUMIFS(Base!$W$3:$W$5001,Base!$B$3:$B$5001,H$127,Base!$A$3:$A$5001,_xlfn.MAXIFS(Base!$A$3:$A$5001,Base!$B$3:$B$5001,H$127,Base!$A$3:$A$5001,"&gt;="&amp;$C$7,Base!$A$3:$A$5001,"&lt;="&amp;$B145,Base!$W$3:$W$5001,"&lt;&gt;"))))</f>
        <v/>
      </c>
      <c r="I145" t="str">
        <f>IF($A145&gt;$B$9,"",IF(COUNTIFS(Base!$B$3:$B$5001,I$127,Base!$A$3:$A$5001,"&gt;="&amp;$C$7,Base!$A$3:$A$5001,"&lt;="&amp;$B145,Base!$W$3:$W$5001,"&lt;&gt;")=0,"",SUMIFS(Base!$W$3:$W$5001,Base!$B$3:$B$5001,I$127,Base!$A$3:$A$5001,_xlfn.MAXIFS(Base!$A$3:$A$5001,Base!$B$3:$B$5001,I$127,Base!$A$3:$A$5001,"&gt;="&amp;$C$7,Base!$A$3:$A$5001,"&lt;="&amp;$B145,Base!$W$3:$W$5001,"&lt;&gt;"))))</f>
        <v/>
      </c>
      <c r="J145" t="str">
        <f>IF($A145&gt;$B$9,"",IF(COUNTIFS(Base!$B$3:$B$5001,J$127,Base!$A$3:$A$5001,"&gt;="&amp;$C$7,Base!$A$3:$A$5001,"&lt;="&amp;$B145,Base!$W$3:$W$5001,"&lt;&gt;")=0,"",SUMIFS(Base!$W$3:$W$5001,Base!$B$3:$B$5001,J$127,Base!$A$3:$A$5001,_xlfn.MAXIFS(Base!$A$3:$A$5001,Base!$B$3:$B$5001,J$127,Base!$A$3:$A$5001,"&gt;="&amp;$C$7,Base!$A$3:$A$5001,"&lt;="&amp;$B145,Base!$W$3:$W$5001,"&lt;&gt;"))))</f>
        <v/>
      </c>
      <c r="K145" t="str">
        <f>IF($A145&gt;$B$9,"",IF(COUNTIFS(Base!$B$3:$B$5001,K$127,Base!$A$3:$A$5001,"&gt;="&amp;$C$7,Base!$A$3:$A$5001,"&lt;="&amp;$B145,Base!$W$3:$W$5001,"&lt;&gt;")=0,"",SUMIFS(Base!$W$3:$W$5001,Base!$B$3:$B$5001,K$127,Base!$A$3:$A$5001,_xlfn.MAXIFS(Base!$A$3:$A$5001,Base!$B$3:$B$5001,K$127,Base!$A$3:$A$5001,"&gt;="&amp;$C$7,Base!$A$3:$A$5001,"&lt;="&amp;$B145,Base!$W$3:$W$5001,"&lt;&gt;"))))</f>
        <v/>
      </c>
    </row>
    <row r="146">
      <c r="A146">
        <v>19</v>
      </c>
      <c r="B146" s="152">
        <f>$B$30</f>
        <v>46284</v>
      </c>
      <c r="C146" t="str">
        <f>IF($A146&gt;$B$9,"",IF(COUNTIFS(Base!$B$3:$B$5001,C$127,Base!$A$3:$A$5001,"&gt;="&amp;$C$7,Base!$A$3:$A$5001,"&lt;="&amp;$B146,Base!$W$3:$W$5001,"&lt;&gt;")=0,"",SUMIFS(Base!$W$3:$W$5001,Base!$B$3:$B$5001,C$127,Base!$A$3:$A$5001,_xlfn.MAXIFS(Base!$A$3:$A$5001,Base!$B$3:$B$5001,C$127,Base!$A$3:$A$5001,"&gt;="&amp;$C$7,Base!$A$3:$A$5001,"&lt;="&amp;$B146,Base!$W$3:$W$5001,"&lt;&gt;"))))</f>
        <v/>
      </c>
      <c r="D146" t="str">
        <f>IF($A146&gt;$B$9,"",IF(COUNTIFS(Base!$B$3:$B$5001,D$127,Base!$A$3:$A$5001,"&gt;="&amp;$C$7,Base!$A$3:$A$5001,"&lt;="&amp;$B146,Base!$W$3:$W$5001,"&lt;&gt;")=0,"",SUMIFS(Base!$W$3:$W$5001,Base!$B$3:$B$5001,D$127,Base!$A$3:$A$5001,_xlfn.MAXIFS(Base!$A$3:$A$5001,Base!$B$3:$B$5001,D$127,Base!$A$3:$A$5001,"&gt;="&amp;$C$7,Base!$A$3:$A$5001,"&lt;="&amp;$B146,Base!$W$3:$W$5001,"&lt;&gt;"))))</f>
        <v/>
      </c>
      <c r="E146" t="str">
        <f>IF($A146&gt;$B$9,"",IF(COUNTIFS(Base!$B$3:$B$5001,E$127,Base!$A$3:$A$5001,"&gt;="&amp;$C$7,Base!$A$3:$A$5001,"&lt;="&amp;$B146,Base!$W$3:$W$5001,"&lt;&gt;")=0,"",SUMIFS(Base!$W$3:$W$5001,Base!$B$3:$B$5001,E$127,Base!$A$3:$A$5001,_xlfn.MAXIFS(Base!$A$3:$A$5001,Base!$B$3:$B$5001,E$127,Base!$A$3:$A$5001,"&gt;="&amp;$C$7,Base!$A$3:$A$5001,"&lt;="&amp;$B146,Base!$W$3:$W$5001,"&lt;&gt;"))))</f>
        <v/>
      </c>
      <c r="F146" t="str">
        <f>IF($A146&gt;$B$9,"",IF(COUNTIFS(Base!$B$3:$B$5001,F$127,Base!$A$3:$A$5001,"&gt;="&amp;$C$7,Base!$A$3:$A$5001,"&lt;="&amp;$B146,Base!$W$3:$W$5001,"&lt;&gt;")=0,"",SUMIFS(Base!$W$3:$W$5001,Base!$B$3:$B$5001,F$127,Base!$A$3:$A$5001,_xlfn.MAXIFS(Base!$A$3:$A$5001,Base!$B$3:$B$5001,F$127,Base!$A$3:$A$5001,"&gt;="&amp;$C$7,Base!$A$3:$A$5001,"&lt;="&amp;$B146,Base!$W$3:$W$5001,"&lt;&gt;"))))</f>
        <v/>
      </c>
      <c r="G146" t="str">
        <f>IF($A146&gt;$B$9,"",IF(COUNTIFS(Base!$B$3:$B$5001,G$127,Base!$A$3:$A$5001,"&gt;="&amp;$C$7,Base!$A$3:$A$5001,"&lt;="&amp;$B146,Base!$W$3:$W$5001,"&lt;&gt;")=0,"",SUMIFS(Base!$W$3:$W$5001,Base!$B$3:$B$5001,G$127,Base!$A$3:$A$5001,_xlfn.MAXIFS(Base!$A$3:$A$5001,Base!$B$3:$B$5001,G$127,Base!$A$3:$A$5001,"&gt;="&amp;$C$7,Base!$A$3:$A$5001,"&lt;="&amp;$B146,Base!$W$3:$W$5001,"&lt;&gt;"))))</f>
        <v/>
      </c>
      <c r="H146" t="str">
        <f>IF($A146&gt;$B$9,"",IF(COUNTIFS(Base!$B$3:$B$5001,H$127,Base!$A$3:$A$5001,"&gt;="&amp;$C$7,Base!$A$3:$A$5001,"&lt;="&amp;$B146,Base!$W$3:$W$5001,"&lt;&gt;")=0,"",SUMIFS(Base!$W$3:$W$5001,Base!$B$3:$B$5001,H$127,Base!$A$3:$A$5001,_xlfn.MAXIFS(Base!$A$3:$A$5001,Base!$B$3:$B$5001,H$127,Base!$A$3:$A$5001,"&gt;="&amp;$C$7,Base!$A$3:$A$5001,"&lt;="&amp;$B146,Base!$W$3:$W$5001,"&lt;&gt;"))))</f>
        <v/>
      </c>
      <c r="I146" t="str">
        <f>IF($A146&gt;$B$9,"",IF(COUNTIFS(Base!$B$3:$B$5001,I$127,Base!$A$3:$A$5001,"&gt;="&amp;$C$7,Base!$A$3:$A$5001,"&lt;="&amp;$B146,Base!$W$3:$W$5001,"&lt;&gt;")=0,"",SUMIFS(Base!$W$3:$W$5001,Base!$B$3:$B$5001,I$127,Base!$A$3:$A$5001,_xlfn.MAXIFS(Base!$A$3:$A$5001,Base!$B$3:$B$5001,I$127,Base!$A$3:$A$5001,"&gt;="&amp;$C$7,Base!$A$3:$A$5001,"&lt;="&amp;$B146,Base!$W$3:$W$5001,"&lt;&gt;"))))</f>
        <v/>
      </c>
      <c r="J146" t="str">
        <f>IF($A146&gt;$B$9,"",IF(COUNTIFS(Base!$B$3:$B$5001,J$127,Base!$A$3:$A$5001,"&gt;="&amp;$C$7,Base!$A$3:$A$5001,"&lt;="&amp;$B146,Base!$W$3:$W$5001,"&lt;&gt;")=0,"",SUMIFS(Base!$W$3:$W$5001,Base!$B$3:$B$5001,J$127,Base!$A$3:$A$5001,_xlfn.MAXIFS(Base!$A$3:$A$5001,Base!$B$3:$B$5001,J$127,Base!$A$3:$A$5001,"&gt;="&amp;$C$7,Base!$A$3:$A$5001,"&lt;="&amp;$B146,Base!$W$3:$W$5001,"&lt;&gt;"))))</f>
        <v/>
      </c>
      <c r="K146" t="str">
        <f>IF($A146&gt;$B$9,"",IF(COUNTIFS(Base!$B$3:$B$5001,K$127,Base!$A$3:$A$5001,"&gt;="&amp;$C$7,Base!$A$3:$A$5001,"&lt;="&amp;$B146,Base!$W$3:$W$5001,"&lt;&gt;")=0,"",SUMIFS(Base!$W$3:$W$5001,Base!$B$3:$B$5001,K$127,Base!$A$3:$A$5001,_xlfn.MAXIFS(Base!$A$3:$A$5001,Base!$B$3:$B$5001,K$127,Base!$A$3:$A$5001,"&gt;="&amp;$C$7,Base!$A$3:$A$5001,"&lt;="&amp;$B146,Base!$W$3:$W$5001,"&lt;&gt;"))))</f>
        <v/>
      </c>
    </row>
    <row r="147">
      <c r="A147">
        <v>20</v>
      </c>
      <c r="B147" s="152">
        <f>$B$31</f>
        <v>46285</v>
      </c>
      <c r="C147" t="str">
        <f>IF($A147&gt;$B$9,"",IF(COUNTIFS(Base!$B$3:$B$5001,C$127,Base!$A$3:$A$5001,"&gt;="&amp;$C$7,Base!$A$3:$A$5001,"&lt;="&amp;$B147,Base!$W$3:$W$5001,"&lt;&gt;")=0,"",SUMIFS(Base!$W$3:$W$5001,Base!$B$3:$B$5001,C$127,Base!$A$3:$A$5001,_xlfn.MAXIFS(Base!$A$3:$A$5001,Base!$B$3:$B$5001,C$127,Base!$A$3:$A$5001,"&gt;="&amp;$C$7,Base!$A$3:$A$5001,"&lt;="&amp;$B147,Base!$W$3:$W$5001,"&lt;&gt;"))))</f>
        <v/>
      </c>
      <c r="D147" t="str">
        <f>IF($A147&gt;$B$9,"",IF(COUNTIFS(Base!$B$3:$B$5001,D$127,Base!$A$3:$A$5001,"&gt;="&amp;$C$7,Base!$A$3:$A$5001,"&lt;="&amp;$B147,Base!$W$3:$W$5001,"&lt;&gt;")=0,"",SUMIFS(Base!$W$3:$W$5001,Base!$B$3:$B$5001,D$127,Base!$A$3:$A$5001,_xlfn.MAXIFS(Base!$A$3:$A$5001,Base!$B$3:$B$5001,D$127,Base!$A$3:$A$5001,"&gt;="&amp;$C$7,Base!$A$3:$A$5001,"&lt;="&amp;$B147,Base!$W$3:$W$5001,"&lt;&gt;"))))</f>
        <v/>
      </c>
      <c r="E147" t="str">
        <f>IF($A147&gt;$B$9,"",IF(COUNTIFS(Base!$B$3:$B$5001,E$127,Base!$A$3:$A$5001,"&gt;="&amp;$C$7,Base!$A$3:$A$5001,"&lt;="&amp;$B147,Base!$W$3:$W$5001,"&lt;&gt;")=0,"",SUMIFS(Base!$W$3:$W$5001,Base!$B$3:$B$5001,E$127,Base!$A$3:$A$5001,_xlfn.MAXIFS(Base!$A$3:$A$5001,Base!$B$3:$B$5001,E$127,Base!$A$3:$A$5001,"&gt;="&amp;$C$7,Base!$A$3:$A$5001,"&lt;="&amp;$B147,Base!$W$3:$W$5001,"&lt;&gt;"))))</f>
        <v/>
      </c>
      <c r="F147" t="str">
        <f>IF($A147&gt;$B$9,"",IF(COUNTIFS(Base!$B$3:$B$5001,F$127,Base!$A$3:$A$5001,"&gt;="&amp;$C$7,Base!$A$3:$A$5001,"&lt;="&amp;$B147,Base!$W$3:$W$5001,"&lt;&gt;")=0,"",SUMIFS(Base!$W$3:$W$5001,Base!$B$3:$B$5001,F$127,Base!$A$3:$A$5001,_xlfn.MAXIFS(Base!$A$3:$A$5001,Base!$B$3:$B$5001,F$127,Base!$A$3:$A$5001,"&gt;="&amp;$C$7,Base!$A$3:$A$5001,"&lt;="&amp;$B147,Base!$W$3:$W$5001,"&lt;&gt;"))))</f>
        <v/>
      </c>
      <c r="G147" t="str">
        <f>IF($A147&gt;$B$9,"",IF(COUNTIFS(Base!$B$3:$B$5001,G$127,Base!$A$3:$A$5001,"&gt;="&amp;$C$7,Base!$A$3:$A$5001,"&lt;="&amp;$B147,Base!$W$3:$W$5001,"&lt;&gt;")=0,"",SUMIFS(Base!$W$3:$W$5001,Base!$B$3:$B$5001,G$127,Base!$A$3:$A$5001,_xlfn.MAXIFS(Base!$A$3:$A$5001,Base!$B$3:$B$5001,G$127,Base!$A$3:$A$5001,"&gt;="&amp;$C$7,Base!$A$3:$A$5001,"&lt;="&amp;$B147,Base!$W$3:$W$5001,"&lt;&gt;"))))</f>
        <v/>
      </c>
      <c r="H147" t="str">
        <f>IF($A147&gt;$B$9,"",IF(COUNTIFS(Base!$B$3:$B$5001,H$127,Base!$A$3:$A$5001,"&gt;="&amp;$C$7,Base!$A$3:$A$5001,"&lt;="&amp;$B147,Base!$W$3:$W$5001,"&lt;&gt;")=0,"",SUMIFS(Base!$W$3:$W$5001,Base!$B$3:$B$5001,H$127,Base!$A$3:$A$5001,_xlfn.MAXIFS(Base!$A$3:$A$5001,Base!$B$3:$B$5001,H$127,Base!$A$3:$A$5001,"&gt;="&amp;$C$7,Base!$A$3:$A$5001,"&lt;="&amp;$B147,Base!$W$3:$W$5001,"&lt;&gt;"))))</f>
        <v/>
      </c>
      <c r="I147" t="str">
        <f>IF($A147&gt;$B$9,"",IF(COUNTIFS(Base!$B$3:$B$5001,I$127,Base!$A$3:$A$5001,"&gt;="&amp;$C$7,Base!$A$3:$A$5001,"&lt;="&amp;$B147,Base!$W$3:$W$5001,"&lt;&gt;")=0,"",SUMIFS(Base!$W$3:$W$5001,Base!$B$3:$B$5001,I$127,Base!$A$3:$A$5001,_xlfn.MAXIFS(Base!$A$3:$A$5001,Base!$B$3:$B$5001,I$127,Base!$A$3:$A$5001,"&gt;="&amp;$C$7,Base!$A$3:$A$5001,"&lt;="&amp;$B147,Base!$W$3:$W$5001,"&lt;&gt;"))))</f>
        <v/>
      </c>
      <c r="J147" t="str">
        <f>IF($A147&gt;$B$9,"",IF(COUNTIFS(Base!$B$3:$B$5001,J$127,Base!$A$3:$A$5001,"&gt;="&amp;$C$7,Base!$A$3:$A$5001,"&lt;="&amp;$B147,Base!$W$3:$W$5001,"&lt;&gt;")=0,"",SUMIFS(Base!$W$3:$W$5001,Base!$B$3:$B$5001,J$127,Base!$A$3:$A$5001,_xlfn.MAXIFS(Base!$A$3:$A$5001,Base!$B$3:$B$5001,J$127,Base!$A$3:$A$5001,"&gt;="&amp;$C$7,Base!$A$3:$A$5001,"&lt;="&amp;$B147,Base!$W$3:$W$5001,"&lt;&gt;"))))</f>
        <v/>
      </c>
      <c r="K147" t="str">
        <f>IF($A147&gt;$B$9,"",IF(COUNTIFS(Base!$B$3:$B$5001,K$127,Base!$A$3:$A$5001,"&gt;="&amp;$C$7,Base!$A$3:$A$5001,"&lt;="&amp;$B147,Base!$W$3:$W$5001,"&lt;&gt;")=0,"",SUMIFS(Base!$W$3:$W$5001,Base!$B$3:$B$5001,K$127,Base!$A$3:$A$5001,_xlfn.MAXIFS(Base!$A$3:$A$5001,Base!$B$3:$B$5001,K$127,Base!$A$3:$A$5001,"&gt;="&amp;$C$7,Base!$A$3:$A$5001,"&lt;="&amp;$B147,Base!$W$3:$W$5001,"&lt;&gt;"))))</f>
        <v/>
      </c>
    </row>
    <row r="148">
      <c r="A148">
        <v>21</v>
      </c>
      <c r="B148" s="152">
        <f>$B$32</f>
        <v>46286</v>
      </c>
      <c r="C148" t="str">
        <f>IF($A148&gt;$B$9,"",IF(COUNTIFS(Base!$B$3:$B$5001,C$127,Base!$A$3:$A$5001,"&gt;="&amp;$C$7,Base!$A$3:$A$5001,"&lt;="&amp;$B148,Base!$W$3:$W$5001,"&lt;&gt;")=0,"",SUMIFS(Base!$W$3:$W$5001,Base!$B$3:$B$5001,C$127,Base!$A$3:$A$5001,_xlfn.MAXIFS(Base!$A$3:$A$5001,Base!$B$3:$B$5001,C$127,Base!$A$3:$A$5001,"&gt;="&amp;$C$7,Base!$A$3:$A$5001,"&lt;="&amp;$B148,Base!$W$3:$W$5001,"&lt;&gt;"))))</f>
        <v/>
      </c>
      <c r="D148" t="str">
        <f>IF($A148&gt;$B$9,"",IF(COUNTIFS(Base!$B$3:$B$5001,D$127,Base!$A$3:$A$5001,"&gt;="&amp;$C$7,Base!$A$3:$A$5001,"&lt;="&amp;$B148,Base!$W$3:$W$5001,"&lt;&gt;")=0,"",SUMIFS(Base!$W$3:$W$5001,Base!$B$3:$B$5001,D$127,Base!$A$3:$A$5001,_xlfn.MAXIFS(Base!$A$3:$A$5001,Base!$B$3:$B$5001,D$127,Base!$A$3:$A$5001,"&gt;="&amp;$C$7,Base!$A$3:$A$5001,"&lt;="&amp;$B148,Base!$W$3:$W$5001,"&lt;&gt;"))))</f>
        <v/>
      </c>
      <c r="E148" t="str">
        <f>IF($A148&gt;$B$9,"",IF(COUNTIFS(Base!$B$3:$B$5001,E$127,Base!$A$3:$A$5001,"&gt;="&amp;$C$7,Base!$A$3:$A$5001,"&lt;="&amp;$B148,Base!$W$3:$W$5001,"&lt;&gt;")=0,"",SUMIFS(Base!$W$3:$W$5001,Base!$B$3:$B$5001,E$127,Base!$A$3:$A$5001,_xlfn.MAXIFS(Base!$A$3:$A$5001,Base!$B$3:$B$5001,E$127,Base!$A$3:$A$5001,"&gt;="&amp;$C$7,Base!$A$3:$A$5001,"&lt;="&amp;$B148,Base!$W$3:$W$5001,"&lt;&gt;"))))</f>
        <v/>
      </c>
      <c r="F148" t="str">
        <f>IF($A148&gt;$B$9,"",IF(COUNTIFS(Base!$B$3:$B$5001,F$127,Base!$A$3:$A$5001,"&gt;="&amp;$C$7,Base!$A$3:$A$5001,"&lt;="&amp;$B148,Base!$W$3:$W$5001,"&lt;&gt;")=0,"",SUMIFS(Base!$W$3:$W$5001,Base!$B$3:$B$5001,F$127,Base!$A$3:$A$5001,_xlfn.MAXIFS(Base!$A$3:$A$5001,Base!$B$3:$B$5001,F$127,Base!$A$3:$A$5001,"&gt;="&amp;$C$7,Base!$A$3:$A$5001,"&lt;="&amp;$B148,Base!$W$3:$W$5001,"&lt;&gt;"))))</f>
        <v/>
      </c>
      <c r="G148" t="str">
        <f>IF($A148&gt;$B$9,"",IF(COUNTIFS(Base!$B$3:$B$5001,G$127,Base!$A$3:$A$5001,"&gt;="&amp;$C$7,Base!$A$3:$A$5001,"&lt;="&amp;$B148,Base!$W$3:$W$5001,"&lt;&gt;")=0,"",SUMIFS(Base!$W$3:$W$5001,Base!$B$3:$B$5001,G$127,Base!$A$3:$A$5001,_xlfn.MAXIFS(Base!$A$3:$A$5001,Base!$B$3:$B$5001,G$127,Base!$A$3:$A$5001,"&gt;="&amp;$C$7,Base!$A$3:$A$5001,"&lt;="&amp;$B148,Base!$W$3:$W$5001,"&lt;&gt;"))))</f>
        <v/>
      </c>
      <c r="H148" t="str">
        <f>IF($A148&gt;$B$9,"",IF(COUNTIFS(Base!$B$3:$B$5001,H$127,Base!$A$3:$A$5001,"&gt;="&amp;$C$7,Base!$A$3:$A$5001,"&lt;="&amp;$B148,Base!$W$3:$W$5001,"&lt;&gt;")=0,"",SUMIFS(Base!$W$3:$W$5001,Base!$B$3:$B$5001,H$127,Base!$A$3:$A$5001,_xlfn.MAXIFS(Base!$A$3:$A$5001,Base!$B$3:$B$5001,H$127,Base!$A$3:$A$5001,"&gt;="&amp;$C$7,Base!$A$3:$A$5001,"&lt;="&amp;$B148,Base!$W$3:$W$5001,"&lt;&gt;"))))</f>
        <v/>
      </c>
      <c r="I148" t="str">
        <f>IF($A148&gt;$B$9,"",IF(COUNTIFS(Base!$B$3:$B$5001,I$127,Base!$A$3:$A$5001,"&gt;="&amp;$C$7,Base!$A$3:$A$5001,"&lt;="&amp;$B148,Base!$W$3:$W$5001,"&lt;&gt;")=0,"",SUMIFS(Base!$W$3:$W$5001,Base!$B$3:$B$5001,I$127,Base!$A$3:$A$5001,_xlfn.MAXIFS(Base!$A$3:$A$5001,Base!$B$3:$B$5001,I$127,Base!$A$3:$A$5001,"&gt;="&amp;$C$7,Base!$A$3:$A$5001,"&lt;="&amp;$B148,Base!$W$3:$W$5001,"&lt;&gt;"))))</f>
        <v/>
      </c>
      <c r="J148" t="str">
        <f>IF($A148&gt;$B$9,"",IF(COUNTIFS(Base!$B$3:$B$5001,J$127,Base!$A$3:$A$5001,"&gt;="&amp;$C$7,Base!$A$3:$A$5001,"&lt;="&amp;$B148,Base!$W$3:$W$5001,"&lt;&gt;")=0,"",SUMIFS(Base!$W$3:$W$5001,Base!$B$3:$B$5001,J$127,Base!$A$3:$A$5001,_xlfn.MAXIFS(Base!$A$3:$A$5001,Base!$B$3:$B$5001,J$127,Base!$A$3:$A$5001,"&gt;="&amp;$C$7,Base!$A$3:$A$5001,"&lt;="&amp;$B148,Base!$W$3:$W$5001,"&lt;&gt;"))))</f>
        <v/>
      </c>
      <c r="K148" t="str">
        <f>IF($A148&gt;$B$9,"",IF(COUNTIFS(Base!$B$3:$B$5001,K$127,Base!$A$3:$A$5001,"&gt;="&amp;$C$7,Base!$A$3:$A$5001,"&lt;="&amp;$B148,Base!$W$3:$W$5001,"&lt;&gt;")=0,"",SUMIFS(Base!$W$3:$W$5001,Base!$B$3:$B$5001,K$127,Base!$A$3:$A$5001,_xlfn.MAXIFS(Base!$A$3:$A$5001,Base!$B$3:$B$5001,K$127,Base!$A$3:$A$5001,"&gt;="&amp;$C$7,Base!$A$3:$A$5001,"&lt;="&amp;$B148,Base!$W$3:$W$5001,"&lt;&gt;"))))</f>
        <v/>
      </c>
    </row>
    <row r="149">
      <c r="A149">
        <v>22</v>
      </c>
      <c r="B149" s="152">
        <f>$B$33</f>
        <v>46287</v>
      </c>
      <c r="C149" t="str">
        <f>IF($A149&gt;$B$9,"",IF(COUNTIFS(Base!$B$3:$B$5001,C$127,Base!$A$3:$A$5001,"&gt;="&amp;$C$7,Base!$A$3:$A$5001,"&lt;="&amp;$B149,Base!$W$3:$W$5001,"&lt;&gt;")=0,"",SUMIFS(Base!$W$3:$W$5001,Base!$B$3:$B$5001,C$127,Base!$A$3:$A$5001,_xlfn.MAXIFS(Base!$A$3:$A$5001,Base!$B$3:$B$5001,C$127,Base!$A$3:$A$5001,"&gt;="&amp;$C$7,Base!$A$3:$A$5001,"&lt;="&amp;$B149,Base!$W$3:$W$5001,"&lt;&gt;"))))</f>
        <v/>
      </c>
      <c r="D149" t="str">
        <f>IF($A149&gt;$B$9,"",IF(COUNTIFS(Base!$B$3:$B$5001,D$127,Base!$A$3:$A$5001,"&gt;="&amp;$C$7,Base!$A$3:$A$5001,"&lt;="&amp;$B149,Base!$W$3:$W$5001,"&lt;&gt;")=0,"",SUMIFS(Base!$W$3:$W$5001,Base!$B$3:$B$5001,D$127,Base!$A$3:$A$5001,_xlfn.MAXIFS(Base!$A$3:$A$5001,Base!$B$3:$B$5001,D$127,Base!$A$3:$A$5001,"&gt;="&amp;$C$7,Base!$A$3:$A$5001,"&lt;="&amp;$B149,Base!$W$3:$W$5001,"&lt;&gt;"))))</f>
        <v/>
      </c>
      <c r="E149" t="str">
        <f>IF($A149&gt;$B$9,"",IF(COUNTIFS(Base!$B$3:$B$5001,E$127,Base!$A$3:$A$5001,"&gt;="&amp;$C$7,Base!$A$3:$A$5001,"&lt;="&amp;$B149,Base!$W$3:$W$5001,"&lt;&gt;")=0,"",SUMIFS(Base!$W$3:$W$5001,Base!$B$3:$B$5001,E$127,Base!$A$3:$A$5001,_xlfn.MAXIFS(Base!$A$3:$A$5001,Base!$B$3:$B$5001,E$127,Base!$A$3:$A$5001,"&gt;="&amp;$C$7,Base!$A$3:$A$5001,"&lt;="&amp;$B149,Base!$W$3:$W$5001,"&lt;&gt;"))))</f>
        <v/>
      </c>
      <c r="F149" t="str">
        <f>IF($A149&gt;$B$9,"",IF(COUNTIFS(Base!$B$3:$B$5001,F$127,Base!$A$3:$A$5001,"&gt;="&amp;$C$7,Base!$A$3:$A$5001,"&lt;="&amp;$B149,Base!$W$3:$W$5001,"&lt;&gt;")=0,"",SUMIFS(Base!$W$3:$W$5001,Base!$B$3:$B$5001,F$127,Base!$A$3:$A$5001,_xlfn.MAXIFS(Base!$A$3:$A$5001,Base!$B$3:$B$5001,F$127,Base!$A$3:$A$5001,"&gt;="&amp;$C$7,Base!$A$3:$A$5001,"&lt;="&amp;$B149,Base!$W$3:$W$5001,"&lt;&gt;"))))</f>
        <v/>
      </c>
      <c r="G149" t="str">
        <f>IF($A149&gt;$B$9,"",IF(COUNTIFS(Base!$B$3:$B$5001,G$127,Base!$A$3:$A$5001,"&gt;="&amp;$C$7,Base!$A$3:$A$5001,"&lt;="&amp;$B149,Base!$W$3:$W$5001,"&lt;&gt;")=0,"",SUMIFS(Base!$W$3:$W$5001,Base!$B$3:$B$5001,G$127,Base!$A$3:$A$5001,_xlfn.MAXIFS(Base!$A$3:$A$5001,Base!$B$3:$B$5001,G$127,Base!$A$3:$A$5001,"&gt;="&amp;$C$7,Base!$A$3:$A$5001,"&lt;="&amp;$B149,Base!$W$3:$W$5001,"&lt;&gt;"))))</f>
        <v/>
      </c>
      <c r="H149" t="str">
        <f>IF($A149&gt;$B$9,"",IF(COUNTIFS(Base!$B$3:$B$5001,H$127,Base!$A$3:$A$5001,"&gt;="&amp;$C$7,Base!$A$3:$A$5001,"&lt;="&amp;$B149,Base!$W$3:$W$5001,"&lt;&gt;")=0,"",SUMIFS(Base!$W$3:$W$5001,Base!$B$3:$B$5001,H$127,Base!$A$3:$A$5001,_xlfn.MAXIFS(Base!$A$3:$A$5001,Base!$B$3:$B$5001,H$127,Base!$A$3:$A$5001,"&gt;="&amp;$C$7,Base!$A$3:$A$5001,"&lt;="&amp;$B149,Base!$W$3:$W$5001,"&lt;&gt;"))))</f>
        <v/>
      </c>
      <c r="I149" t="str">
        <f>IF($A149&gt;$B$9,"",IF(COUNTIFS(Base!$B$3:$B$5001,I$127,Base!$A$3:$A$5001,"&gt;="&amp;$C$7,Base!$A$3:$A$5001,"&lt;="&amp;$B149,Base!$W$3:$W$5001,"&lt;&gt;")=0,"",SUMIFS(Base!$W$3:$W$5001,Base!$B$3:$B$5001,I$127,Base!$A$3:$A$5001,_xlfn.MAXIFS(Base!$A$3:$A$5001,Base!$B$3:$B$5001,I$127,Base!$A$3:$A$5001,"&gt;="&amp;$C$7,Base!$A$3:$A$5001,"&lt;="&amp;$B149,Base!$W$3:$W$5001,"&lt;&gt;"))))</f>
        <v/>
      </c>
      <c r="J149" t="str">
        <f>IF($A149&gt;$B$9,"",IF(COUNTIFS(Base!$B$3:$B$5001,J$127,Base!$A$3:$A$5001,"&gt;="&amp;$C$7,Base!$A$3:$A$5001,"&lt;="&amp;$B149,Base!$W$3:$W$5001,"&lt;&gt;")=0,"",SUMIFS(Base!$W$3:$W$5001,Base!$B$3:$B$5001,J$127,Base!$A$3:$A$5001,_xlfn.MAXIFS(Base!$A$3:$A$5001,Base!$B$3:$B$5001,J$127,Base!$A$3:$A$5001,"&gt;="&amp;$C$7,Base!$A$3:$A$5001,"&lt;="&amp;$B149,Base!$W$3:$W$5001,"&lt;&gt;"))))</f>
        <v/>
      </c>
      <c r="K149" t="str">
        <f>IF($A149&gt;$B$9,"",IF(COUNTIFS(Base!$B$3:$B$5001,K$127,Base!$A$3:$A$5001,"&gt;="&amp;$C$7,Base!$A$3:$A$5001,"&lt;="&amp;$B149,Base!$W$3:$W$5001,"&lt;&gt;")=0,"",SUMIFS(Base!$W$3:$W$5001,Base!$B$3:$B$5001,K$127,Base!$A$3:$A$5001,_xlfn.MAXIFS(Base!$A$3:$A$5001,Base!$B$3:$B$5001,K$127,Base!$A$3:$A$5001,"&gt;="&amp;$C$7,Base!$A$3:$A$5001,"&lt;="&amp;$B149,Base!$W$3:$W$5001,"&lt;&gt;"))))</f>
        <v/>
      </c>
    </row>
    <row r="150">
      <c r="A150">
        <v>23</v>
      </c>
      <c r="B150" s="152">
        <f>$B$34</f>
        <v>46288</v>
      </c>
      <c r="C150" t="str">
        <f>IF($A150&gt;$B$9,"",IF(COUNTIFS(Base!$B$3:$B$5001,C$127,Base!$A$3:$A$5001,"&gt;="&amp;$C$7,Base!$A$3:$A$5001,"&lt;="&amp;$B150,Base!$W$3:$W$5001,"&lt;&gt;")=0,"",SUMIFS(Base!$W$3:$W$5001,Base!$B$3:$B$5001,C$127,Base!$A$3:$A$5001,_xlfn.MAXIFS(Base!$A$3:$A$5001,Base!$B$3:$B$5001,C$127,Base!$A$3:$A$5001,"&gt;="&amp;$C$7,Base!$A$3:$A$5001,"&lt;="&amp;$B150,Base!$W$3:$W$5001,"&lt;&gt;"))))</f>
        <v/>
      </c>
      <c r="D150" t="str">
        <f>IF($A150&gt;$B$9,"",IF(COUNTIFS(Base!$B$3:$B$5001,D$127,Base!$A$3:$A$5001,"&gt;="&amp;$C$7,Base!$A$3:$A$5001,"&lt;="&amp;$B150,Base!$W$3:$W$5001,"&lt;&gt;")=0,"",SUMIFS(Base!$W$3:$W$5001,Base!$B$3:$B$5001,D$127,Base!$A$3:$A$5001,_xlfn.MAXIFS(Base!$A$3:$A$5001,Base!$B$3:$B$5001,D$127,Base!$A$3:$A$5001,"&gt;="&amp;$C$7,Base!$A$3:$A$5001,"&lt;="&amp;$B150,Base!$W$3:$W$5001,"&lt;&gt;"))))</f>
        <v/>
      </c>
      <c r="E150" t="str">
        <f>IF($A150&gt;$B$9,"",IF(COUNTIFS(Base!$B$3:$B$5001,E$127,Base!$A$3:$A$5001,"&gt;="&amp;$C$7,Base!$A$3:$A$5001,"&lt;="&amp;$B150,Base!$W$3:$W$5001,"&lt;&gt;")=0,"",SUMIFS(Base!$W$3:$W$5001,Base!$B$3:$B$5001,E$127,Base!$A$3:$A$5001,_xlfn.MAXIFS(Base!$A$3:$A$5001,Base!$B$3:$B$5001,E$127,Base!$A$3:$A$5001,"&gt;="&amp;$C$7,Base!$A$3:$A$5001,"&lt;="&amp;$B150,Base!$W$3:$W$5001,"&lt;&gt;"))))</f>
        <v/>
      </c>
      <c r="F150" t="str">
        <f>IF($A150&gt;$B$9,"",IF(COUNTIFS(Base!$B$3:$B$5001,F$127,Base!$A$3:$A$5001,"&gt;="&amp;$C$7,Base!$A$3:$A$5001,"&lt;="&amp;$B150,Base!$W$3:$W$5001,"&lt;&gt;")=0,"",SUMIFS(Base!$W$3:$W$5001,Base!$B$3:$B$5001,F$127,Base!$A$3:$A$5001,_xlfn.MAXIFS(Base!$A$3:$A$5001,Base!$B$3:$B$5001,F$127,Base!$A$3:$A$5001,"&gt;="&amp;$C$7,Base!$A$3:$A$5001,"&lt;="&amp;$B150,Base!$W$3:$W$5001,"&lt;&gt;"))))</f>
        <v/>
      </c>
      <c r="G150" t="str">
        <f>IF($A150&gt;$B$9,"",IF(COUNTIFS(Base!$B$3:$B$5001,G$127,Base!$A$3:$A$5001,"&gt;="&amp;$C$7,Base!$A$3:$A$5001,"&lt;="&amp;$B150,Base!$W$3:$W$5001,"&lt;&gt;")=0,"",SUMIFS(Base!$W$3:$W$5001,Base!$B$3:$B$5001,G$127,Base!$A$3:$A$5001,_xlfn.MAXIFS(Base!$A$3:$A$5001,Base!$B$3:$B$5001,G$127,Base!$A$3:$A$5001,"&gt;="&amp;$C$7,Base!$A$3:$A$5001,"&lt;="&amp;$B150,Base!$W$3:$W$5001,"&lt;&gt;"))))</f>
        <v/>
      </c>
      <c r="H150" t="str">
        <f>IF($A150&gt;$B$9,"",IF(COUNTIFS(Base!$B$3:$B$5001,H$127,Base!$A$3:$A$5001,"&gt;="&amp;$C$7,Base!$A$3:$A$5001,"&lt;="&amp;$B150,Base!$W$3:$W$5001,"&lt;&gt;")=0,"",SUMIFS(Base!$W$3:$W$5001,Base!$B$3:$B$5001,H$127,Base!$A$3:$A$5001,_xlfn.MAXIFS(Base!$A$3:$A$5001,Base!$B$3:$B$5001,H$127,Base!$A$3:$A$5001,"&gt;="&amp;$C$7,Base!$A$3:$A$5001,"&lt;="&amp;$B150,Base!$W$3:$W$5001,"&lt;&gt;"))))</f>
        <v/>
      </c>
      <c r="I150" t="str">
        <f>IF($A150&gt;$B$9,"",IF(COUNTIFS(Base!$B$3:$B$5001,I$127,Base!$A$3:$A$5001,"&gt;="&amp;$C$7,Base!$A$3:$A$5001,"&lt;="&amp;$B150,Base!$W$3:$W$5001,"&lt;&gt;")=0,"",SUMIFS(Base!$W$3:$W$5001,Base!$B$3:$B$5001,I$127,Base!$A$3:$A$5001,_xlfn.MAXIFS(Base!$A$3:$A$5001,Base!$B$3:$B$5001,I$127,Base!$A$3:$A$5001,"&gt;="&amp;$C$7,Base!$A$3:$A$5001,"&lt;="&amp;$B150,Base!$W$3:$W$5001,"&lt;&gt;"))))</f>
        <v/>
      </c>
      <c r="J150" t="str">
        <f>IF($A150&gt;$B$9,"",IF(COUNTIFS(Base!$B$3:$B$5001,J$127,Base!$A$3:$A$5001,"&gt;="&amp;$C$7,Base!$A$3:$A$5001,"&lt;="&amp;$B150,Base!$W$3:$W$5001,"&lt;&gt;")=0,"",SUMIFS(Base!$W$3:$W$5001,Base!$B$3:$B$5001,J$127,Base!$A$3:$A$5001,_xlfn.MAXIFS(Base!$A$3:$A$5001,Base!$B$3:$B$5001,J$127,Base!$A$3:$A$5001,"&gt;="&amp;$C$7,Base!$A$3:$A$5001,"&lt;="&amp;$B150,Base!$W$3:$W$5001,"&lt;&gt;"))))</f>
        <v/>
      </c>
      <c r="K150" t="str">
        <f>IF($A150&gt;$B$9,"",IF(COUNTIFS(Base!$B$3:$B$5001,K$127,Base!$A$3:$A$5001,"&gt;="&amp;$C$7,Base!$A$3:$A$5001,"&lt;="&amp;$B150,Base!$W$3:$W$5001,"&lt;&gt;")=0,"",SUMIFS(Base!$W$3:$W$5001,Base!$B$3:$B$5001,K$127,Base!$A$3:$A$5001,_xlfn.MAXIFS(Base!$A$3:$A$5001,Base!$B$3:$B$5001,K$127,Base!$A$3:$A$5001,"&gt;="&amp;$C$7,Base!$A$3:$A$5001,"&lt;="&amp;$B150,Base!$W$3:$W$5001,"&lt;&gt;"))))</f>
        <v/>
      </c>
    </row>
    <row r="151">
      <c r="A151">
        <v>24</v>
      </c>
      <c r="B151" s="152">
        <f>$B$35</f>
        <v>46289</v>
      </c>
      <c r="C151" t="str">
        <f>IF($A151&gt;$B$9,"",IF(COUNTIFS(Base!$B$3:$B$5001,C$127,Base!$A$3:$A$5001,"&gt;="&amp;$C$7,Base!$A$3:$A$5001,"&lt;="&amp;$B151,Base!$W$3:$W$5001,"&lt;&gt;")=0,"",SUMIFS(Base!$W$3:$W$5001,Base!$B$3:$B$5001,C$127,Base!$A$3:$A$5001,_xlfn.MAXIFS(Base!$A$3:$A$5001,Base!$B$3:$B$5001,C$127,Base!$A$3:$A$5001,"&gt;="&amp;$C$7,Base!$A$3:$A$5001,"&lt;="&amp;$B151,Base!$W$3:$W$5001,"&lt;&gt;"))))</f>
        <v/>
      </c>
      <c r="D151" t="str">
        <f>IF($A151&gt;$B$9,"",IF(COUNTIFS(Base!$B$3:$B$5001,D$127,Base!$A$3:$A$5001,"&gt;="&amp;$C$7,Base!$A$3:$A$5001,"&lt;="&amp;$B151,Base!$W$3:$W$5001,"&lt;&gt;")=0,"",SUMIFS(Base!$W$3:$W$5001,Base!$B$3:$B$5001,D$127,Base!$A$3:$A$5001,_xlfn.MAXIFS(Base!$A$3:$A$5001,Base!$B$3:$B$5001,D$127,Base!$A$3:$A$5001,"&gt;="&amp;$C$7,Base!$A$3:$A$5001,"&lt;="&amp;$B151,Base!$W$3:$W$5001,"&lt;&gt;"))))</f>
        <v/>
      </c>
      <c r="E151" t="str">
        <f>IF($A151&gt;$B$9,"",IF(COUNTIFS(Base!$B$3:$B$5001,E$127,Base!$A$3:$A$5001,"&gt;="&amp;$C$7,Base!$A$3:$A$5001,"&lt;="&amp;$B151,Base!$W$3:$W$5001,"&lt;&gt;")=0,"",SUMIFS(Base!$W$3:$W$5001,Base!$B$3:$B$5001,E$127,Base!$A$3:$A$5001,_xlfn.MAXIFS(Base!$A$3:$A$5001,Base!$B$3:$B$5001,E$127,Base!$A$3:$A$5001,"&gt;="&amp;$C$7,Base!$A$3:$A$5001,"&lt;="&amp;$B151,Base!$W$3:$W$5001,"&lt;&gt;"))))</f>
        <v/>
      </c>
      <c r="F151" t="str">
        <f>IF($A151&gt;$B$9,"",IF(COUNTIFS(Base!$B$3:$B$5001,F$127,Base!$A$3:$A$5001,"&gt;="&amp;$C$7,Base!$A$3:$A$5001,"&lt;="&amp;$B151,Base!$W$3:$W$5001,"&lt;&gt;")=0,"",SUMIFS(Base!$W$3:$W$5001,Base!$B$3:$B$5001,F$127,Base!$A$3:$A$5001,_xlfn.MAXIFS(Base!$A$3:$A$5001,Base!$B$3:$B$5001,F$127,Base!$A$3:$A$5001,"&gt;="&amp;$C$7,Base!$A$3:$A$5001,"&lt;="&amp;$B151,Base!$W$3:$W$5001,"&lt;&gt;"))))</f>
        <v/>
      </c>
      <c r="G151" t="str">
        <f>IF($A151&gt;$B$9,"",IF(COUNTIFS(Base!$B$3:$B$5001,G$127,Base!$A$3:$A$5001,"&gt;="&amp;$C$7,Base!$A$3:$A$5001,"&lt;="&amp;$B151,Base!$W$3:$W$5001,"&lt;&gt;")=0,"",SUMIFS(Base!$W$3:$W$5001,Base!$B$3:$B$5001,G$127,Base!$A$3:$A$5001,_xlfn.MAXIFS(Base!$A$3:$A$5001,Base!$B$3:$B$5001,G$127,Base!$A$3:$A$5001,"&gt;="&amp;$C$7,Base!$A$3:$A$5001,"&lt;="&amp;$B151,Base!$W$3:$W$5001,"&lt;&gt;"))))</f>
        <v/>
      </c>
      <c r="H151" t="str">
        <f>IF($A151&gt;$B$9,"",IF(COUNTIFS(Base!$B$3:$B$5001,H$127,Base!$A$3:$A$5001,"&gt;="&amp;$C$7,Base!$A$3:$A$5001,"&lt;="&amp;$B151,Base!$W$3:$W$5001,"&lt;&gt;")=0,"",SUMIFS(Base!$W$3:$W$5001,Base!$B$3:$B$5001,H$127,Base!$A$3:$A$5001,_xlfn.MAXIFS(Base!$A$3:$A$5001,Base!$B$3:$B$5001,H$127,Base!$A$3:$A$5001,"&gt;="&amp;$C$7,Base!$A$3:$A$5001,"&lt;="&amp;$B151,Base!$W$3:$W$5001,"&lt;&gt;"))))</f>
        <v/>
      </c>
      <c r="I151" t="str">
        <f>IF($A151&gt;$B$9,"",IF(COUNTIFS(Base!$B$3:$B$5001,I$127,Base!$A$3:$A$5001,"&gt;="&amp;$C$7,Base!$A$3:$A$5001,"&lt;="&amp;$B151,Base!$W$3:$W$5001,"&lt;&gt;")=0,"",SUMIFS(Base!$W$3:$W$5001,Base!$B$3:$B$5001,I$127,Base!$A$3:$A$5001,_xlfn.MAXIFS(Base!$A$3:$A$5001,Base!$B$3:$B$5001,I$127,Base!$A$3:$A$5001,"&gt;="&amp;$C$7,Base!$A$3:$A$5001,"&lt;="&amp;$B151,Base!$W$3:$W$5001,"&lt;&gt;"))))</f>
        <v/>
      </c>
      <c r="J151" t="str">
        <f>IF($A151&gt;$B$9,"",IF(COUNTIFS(Base!$B$3:$B$5001,J$127,Base!$A$3:$A$5001,"&gt;="&amp;$C$7,Base!$A$3:$A$5001,"&lt;="&amp;$B151,Base!$W$3:$W$5001,"&lt;&gt;")=0,"",SUMIFS(Base!$W$3:$W$5001,Base!$B$3:$B$5001,J$127,Base!$A$3:$A$5001,_xlfn.MAXIFS(Base!$A$3:$A$5001,Base!$B$3:$B$5001,J$127,Base!$A$3:$A$5001,"&gt;="&amp;$C$7,Base!$A$3:$A$5001,"&lt;="&amp;$B151,Base!$W$3:$W$5001,"&lt;&gt;"))))</f>
        <v/>
      </c>
      <c r="K151" t="str">
        <f>IF($A151&gt;$B$9,"",IF(COUNTIFS(Base!$B$3:$B$5001,K$127,Base!$A$3:$A$5001,"&gt;="&amp;$C$7,Base!$A$3:$A$5001,"&lt;="&amp;$B151,Base!$W$3:$W$5001,"&lt;&gt;")=0,"",SUMIFS(Base!$W$3:$W$5001,Base!$B$3:$B$5001,K$127,Base!$A$3:$A$5001,_xlfn.MAXIFS(Base!$A$3:$A$5001,Base!$B$3:$B$5001,K$127,Base!$A$3:$A$5001,"&gt;="&amp;$C$7,Base!$A$3:$A$5001,"&lt;="&amp;$B151,Base!$W$3:$W$5001,"&lt;&gt;"))))</f>
        <v/>
      </c>
    </row>
    <row r="152">
      <c r="A152">
        <v>25</v>
      </c>
      <c r="B152" s="152">
        <f>$B$36</f>
        <v>46290</v>
      </c>
      <c r="C152" t="str">
        <f>IF($A152&gt;$B$9,"",IF(COUNTIFS(Base!$B$3:$B$5001,C$127,Base!$A$3:$A$5001,"&gt;="&amp;$C$7,Base!$A$3:$A$5001,"&lt;="&amp;$B152,Base!$W$3:$W$5001,"&lt;&gt;")=0,"",SUMIFS(Base!$W$3:$W$5001,Base!$B$3:$B$5001,C$127,Base!$A$3:$A$5001,_xlfn.MAXIFS(Base!$A$3:$A$5001,Base!$B$3:$B$5001,C$127,Base!$A$3:$A$5001,"&gt;="&amp;$C$7,Base!$A$3:$A$5001,"&lt;="&amp;$B152,Base!$W$3:$W$5001,"&lt;&gt;"))))</f>
        <v/>
      </c>
      <c r="D152" t="str">
        <f>IF($A152&gt;$B$9,"",IF(COUNTIFS(Base!$B$3:$B$5001,D$127,Base!$A$3:$A$5001,"&gt;="&amp;$C$7,Base!$A$3:$A$5001,"&lt;="&amp;$B152,Base!$W$3:$W$5001,"&lt;&gt;")=0,"",SUMIFS(Base!$W$3:$W$5001,Base!$B$3:$B$5001,D$127,Base!$A$3:$A$5001,_xlfn.MAXIFS(Base!$A$3:$A$5001,Base!$B$3:$B$5001,D$127,Base!$A$3:$A$5001,"&gt;="&amp;$C$7,Base!$A$3:$A$5001,"&lt;="&amp;$B152,Base!$W$3:$W$5001,"&lt;&gt;"))))</f>
        <v/>
      </c>
      <c r="E152" t="str">
        <f>IF($A152&gt;$B$9,"",IF(COUNTIFS(Base!$B$3:$B$5001,E$127,Base!$A$3:$A$5001,"&gt;="&amp;$C$7,Base!$A$3:$A$5001,"&lt;="&amp;$B152,Base!$W$3:$W$5001,"&lt;&gt;")=0,"",SUMIFS(Base!$W$3:$W$5001,Base!$B$3:$B$5001,E$127,Base!$A$3:$A$5001,_xlfn.MAXIFS(Base!$A$3:$A$5001,Base!$B$3:$B$5001,E$127,Base!$A$3:$A$5001,"&gt;="&amp;$C$7,Base!$A$3:$A$5001,"&lt;="&amp;$B152,Base!$W$3:$W$5001,"&lt;&gt;"))))</f>
        <v/>
      </c>
      <c r="F152" t="str">
        <f>IF($A152&gt;$B$9,"",IF(COUNTIFS(Base!$B$3:$B$5001,F$127,Base!$A$3:$A$5001,"&gt;="&amp;$C$7,Base!$A$3:$A$5001,"&lt;="&amp;$B152,Base!$W$3:$W$5001,"&lt;&gt;")=0,"",SUMIFS(Base!$W$3:$W$5001,Base!$B$3:$B$5001,F$127,Base!$A$3:$A$5001,_xlfn.MAXIFS(Base!$A$3:$A$5001,Base!$B$3:$B$5001,F$127,Base!$A$3:$A$5001,"&gt;="&amp;$C$7,Base!$A$3:$A$5001,"&lt;="&amp;$B152,Base!$W$3:$W$5001,"&lt;&gt;"))))</f>
        <v/>
      </c>
      <c r="G152" t="str">
        <f>IF($A152&gt;$B$9,"",IF(COUNTIFS(Base!$B$3:$B$5001,G$127,Base!$A$3:$A$5001,"&gt;="&amp;$C$7,Base!$A$3:$A$5001,"&lt;="&amp;$B152,Base!$W$3:$W$5001,"&lt;&gt;")=0,"",SUMIFS(Base!$W$3:$W$5001,Base!$B$3:$B$5001,G$127,Base!$A$3:$A$5001,_xlfn.MAXIFS(Base!$A$3:$A$5001,Base!$B$3:$B$5001,G$127,Base!$A$3:$A$5001,"&gt;="&amp;$C$7,Base!$A$3:$A$5001,"&lt;="&amp;$B152,Base!$W$3:$W$5001,"&lt;&gt;"))))</f>
        <v/>
      </c>
      <c r="H152" t="str">
        <f>IF($A152&gt;$B$9,"",IF(COUNTIFS(Base!$B$3:$B$5001,H$127,Base!$A$3:$A$5001,"&gt;="&amp;$C$7,Base!$A$3:$A$5001,"&lt;="&amp;$B152,Base!$W$3:$W$5001,"&lt;&gt;")=0,"",SUMIFS(Base!$W$3:$W$5001,Base!$B$3:$B$5001,H$127,Base!$A$3:$A$5001,_xlfn.MAXIFS(Base!$A$3:$A$5001,Base!$B$3:$B$5001,H$127,Base!$A$3:$A$5001,"&gt;="&amp;$C$7,Base!$A$3:$A$5001,"&lt;="&amp;$B152,Base!$W$3:$W$5001,"&lt;&gt;"))))</f>
        <v/>
      </c>
      <c r="I152" t="str">
        <f>IF($A152&gt;$B$9,"",IF(COUNTIFS(Base!$B$3:$B$5001,I$127,Base!$A$3:$A$5001,"&gt;="&amp;$C$7,Base!$A$3:$A$5001,"&lt;="&amp;$B152,Base!$W$3:$W$5001,"&lt;&gt;")=0,"",SUMIFS(Base!$W$3:$W$5001,Base!$B$3:$B$5001,I$127,Base!$A$3:$A$5001,_xlfn.MAXIFS(Base!$A$3:$A$5001,Base!$B$3:$B$5001,I$127,Base!$A$3:$A$5001,"&gt;="&amp;$C$7,Base!$A$3:$A$5001,"&lt;="&amp;$B152,Base!$W$3:$W$5001,"&lt;&gt;"))))</f>
        <v/>
      </c>
      <c r="J152" t="str">
        <f>IF($A152&gt;$B$9,"",IF(COUNTIFS(Base!$B$3:$B$5001,J$127,Base!$A$3:$A$5001,"&gt;="&amp;$C$7,Base!$A$3:$A$5001,"&lt;="&amp;$B152,Base!$W$3:$W$5001,"&lt;&gt;")=0,"",SUMIFS(Base!$W$3:$W$5001,Base!$B$3:$B$5001,J$127,Base!$A$3:$A$5001,_xlfn.MAXIFS(Base!$A$3:$A$5001,Base!$B$3:$B$5001,J$127,Base!$A$3:$A$5001,"&gt;="&amp;$C$7,Base!$A$3:$A$5001,"&lt;="&amp;$B152,Base!$W$3:$W$5001,"&lt;&gt;"))))</f>
        <v/>
      </c>
      <c r="K152" t="str">
        <f>IF($A152&gt;$B$9,"",IF(COUNTIFS(Base!$B$3:$B$5001,K$127,Base!$A$3:$A$5001,"&gt;="&amp;$C$7,Base!$A$3:$A$5001,"&lt;="&amp;$B152,Base!$W$3:$W$5001,"&lt;&gt;")=0,"",SUMIFS(Base!$W$3:$W$5001,Base!$B$3:$B$5001,K$127,Base!$A$3:$A$5001,_xlfn.MAXIFS(Base!$A$3:$A$5001,Base!$B$3:$B$5001,K$127,Base!$A$3:$A$5001,"&gt;="&amp;$C$7,Base!$A$3:$A$5001,"&lt;="&amp;$B152,Base!$W$3:$W$5001,"&lt;&gt;"))))</f>
        <v/>
      </c>
    </row>
    <row r="153">
      <c r="A153">
        <v>26</v>
      </c>
      <c r="B153" s="152">
        <f>$B$37</f>
        <v>46291</v>
      </c>
      <c r="C153" t="str">
        <f>IF($A153&gt;$B$9,"",IF(COUNTIFS(Base!$B$3:$B$5001,C$127,Base!$A$3:$A$5001,"&gt;="&amp;$C$7,Base!$A$3:$A$5001,"&lt;="&amp;$B153,Base!$W$3:$W$5001,"&lt;&gt;")=0,"",SUMIFS(Base!$W$3:$W$5001,Base!$B$3:$B$5001,C$127,Base!$A$3:$A$5001,_xlfn.MAXIFS(Base!$A$3:$A$5001,Base!$B$3:$B$5001,C$127,Base!$A$3:$A$5001,"&gt;="&amp;$C$7,Base!$A$3:$A$5001,"&lt;="&amp;$B153,Base!$W$3:$W$5001,"&lt;&gt;"))))</f>
        <v/>
      </c>
      <c r="D153" t="str">
        <f>IF($A153&gt;$B$9,"",IF(COUNTIFS(Base!$B$3:$B$5001,D$127,Base!$A$3:$A$5001,"&gt;="&amp;$C$7,Base!$A$3:$A$5001,"&lt;="&amp;$B153,Base!$W$3:$W$5001,"&lt;&gt;")=0,"",SUMIFS(Base!$W$3:$W$5001,Base!$B$3:$B$5001,D$127,Base!$A$3:$A$5001,_xlfn.MAXIFS(Base!$A$3:$A$5001,Base!$B$3:$B$5001,D$127,Base!$A$3:$A$5001,"&gt;="&amp;$C$7,Base!$A$3:$A$5001,"&lt;="&amp;$B153,Base!$W$3:$W$5001,"&lt;&gt;"))))</f>
        <v/>
      </c>
      <c r="E153" t="str">
        <f>IF($A153&gt;$B$9,"",IF(COUNTIFS(Base!$B$3:$B$5001,E$127,Base!$A$3:$A$5001,"&gt;="&amp;$C$7,Base!$A$3:$A$5001,"&lt;="&amp;$B153,Base!$W$3:$W$5001,"&lt;&gt;")=0,"",SUMIFS(Base!$W$3:$W$5001,Base!$B$3:$B$5001,E$127,Base!$A$3:$A$5001,_xlfn.MAXIFS(Base!$A$3:$A$5001,Base!$B$3:$B$5001,E$127,Base!$A$3:$A$5001,"&gt;="&amp;$C$7,Base!$A$3:$A$5001,"&lt;="&amp;$B153,Base!$W$3:$W$5001,"&lt;&gt;"))))</f>
        <v/>
      </c>
      <c r="F153" t="str">
        <f>IF($A153&gt;$B$9,"",IF(COUNTIFS(Base!$B$3:$B$5001,F$127,Base!$A$3:$A$5001,"&gt;="&amp;$C$7,Base!$A$3:$A$5001,"&lt;="&amp;$B153,Base!$W$3:$W$5001,"&lt;&gt;")=0,"",SUMIFS(Base!$W$3:$W$5001,Base!$B$3:$B$5001,F$127,Base!$A$3:$A$5001,_xlfn.MAXIFS(Base!$A$3:$A$5001,Base!$B$3:$B$5001,F$127,Base!$A$3:$A$5001,"&gt;="&amp;$C$7,Base!$A$3:$A$5001,"&lt;="&amp;$B153,Base!$W$3:$W$5001,"&lt;&gt;"))))</f>
        <v/>
      </c>
      <c r="G153" t="str">
        <f>IF($A153&gt;$B$9,"",IF(COUNTIFS(Base!$B$3:$B$5001,G$127,Base!$A$3:$A$5001,"&gt;="&amp;$C$7,Base!$A$3:$A$5001,"&lt;="&amp;$B153,Base!$W$3:$W$5001,"&lt;&gt;")=0,"",SUMIFS(Base!$W$3:$W$5001,Base!$B$3:$B$5001,G$127,Base!$A$3:$A$5001,_xlfn.MAXIFS(Base!$A$3:$A$5001,Base!$B$3:$B$5001,G$127,Base!$A$3:$A$5001,"&gt;="&amp;$C$7,Base!$A$3:$A$5001,"&lt;="&amp;$B153,Base!$W$3:$W$5001,"&lt;&gt;"))))</f>
        <v/>
      </c>
      <c r="H153" t="str">
        <f>IF($A153&gt;$B$9,"",IF(COUNTIFS(Base!$B$3:$B$5001,H$127,Base!$A$3:$A$5001,"&gt;="&amp;$C$7,Base!$A$3:$A$5001,"&lt;="&amp;$B153,Base!$W$3:$W$5001,"&lt;&gt;")=0,"",SUMIFS(Base!$W$3:$W$5001,Base!$B$3:$B$5001,H$127,Base!$A$3:$A$5001,_xlfn.MAXIFS(Base!$A$3:$A$5001,Base!$B$3:$B$5001,H$127,Base!$A$3:$A$5001,"&gt;="&amp;$C$7,Base!$A$3:$A$5001,"&lt;="&amp;$B153,Base!$W$3:$W$5001,"&lt;&gt;"))))</f>
        <v/>
      </c>
      <c r="I153" t="str">
        <f>IF($A153&gt;$B$9,"",IF(COUNTIFS(Base!$B$3:$B$5001,I$127,Base!$A$3:$A$5001,"&gt;="&amp;$C$7,Base!$A$3:$A$5001,"&lt;="&amp;$B153,Base!$W$3:$W$5001,"&lt;&gt;")=0,"",SUMIFS(Base!$W$3:$W$5001,Base!$B$3:$B$5001,I$127,Base!$A$3:$A$5001,_xlfn.MAXIFS(Base!$A$3:$A$5001,Base!$B$3:$B$5001,I$127,Base!$A$3:$A$5001,"&gt;="&amp;$C$7,Base!$A$3:$A$5001,"&lt;="&amp;$B153,Base!$W$3:$W$5001,"&lt;&gt;"))))</f>
        <v/>
      </c>
      <c r="J153" t="str">
        <f>IF($A153&gt;$B$9,"",IF(COUNTIFS(Base!$B$3:$B$5001,J$127,Base!$A$3:$A$5001,"&gt;="&amp;$C$7,Base!$A$3:$A$5001,"&lt;="&amp;$B153,Base!$W$3:$W$5001,"&lt;&gt;")=0,"",SUMIFS(Base!$W$3:$W$5001,Base!$B$3:$B$5001,J$127,Base!$A$3:$A$5001,_xlfn.MAXIFS(Base!$A$3:$A$5001,Base!$B$3:$B$5001,J$127,Base!$A$3:$A$5001,"&gt;="&amp;$C$7,Base!$A$3:$A$5001,"&lt;="&amp;$B153,Base!$W$3:$W$5001,"&lt;&gt;"))))</f>
        <v/>
      </c>
      <c r="K153" t="str">
        <f>IF($A153&gt;$B$9,"",IF(COUNTIFS(Base!$B$3:$B$5001,K$127,Base!$A$3:$A$5001,"&gt;="&amp;$C$7,Base!$A$3:$A$5001,"&lt;="&amp;$B153,Base!$W$3:$W$5001,"&lt;&gt;")=0,"",SUMIFS(Base!$W$3:$W$5001,Base!$B$3:$B$5001,K$127,Base!$A$3:$A$5001,_xlfn.MAXIFS(Base!$A$3:$A$5001,Base!$B$3:$B$5001,K$127,Base!$A$3:$A$5001,"&gt;="&amp;$C$7,Base!$A$3:$A$5001,"&lt;="&amp;$B153,Base!$W$3:$W$5001,"&lt;&gt;"))))</f>
        <v/>
      </c>
    </row>
    <row r="154">
      <c r="A154">
        <v>27</v>
      </c>
      <c r="B154" s="152">
        <f>$B$38</f>
        <v>46292</v>
      </c>
      <c r="C154" t="str">
        <f>IF($A154&gt;$B$9,"",IF(COUNTIFS(Base!$B$3:$B$5001,C$127,Base!$A$3:$A$5001,"&gt;="&amp;$C$7,Base!$A$3:$A$5001,"&lt;="&amp;$B154,Base!$W$3:$W$5001,"&lt;&gt;")=0,"",SUMIFS(Base!$W$3:$W$5001,Base!$B$3:$B$5001,C$127,Base!$A$3:$A$5001,_xlfn.MAXIFS(Base!$A$3:$A$5001,Base!$B$3:$B$5001,C$127,Base!$A$3:$A$5001,"&gt;="&amp;$C$7,Base!$A$3:$A$5001,"&lt;="&amp;$B154,Base!$W$3:$W$5001,"&lt;&gt;"))))</f>
        <v/>
      </c>
      <c r="D154" t="str">
        <f>IF($A154&gt;$B$9,"",IF(COUNTIFS(Base!$B$3:$B$5001,D$127,Base!$A$3:$A$5001,"&gt;="&amp;$C$7,Base!$A$3:$A$5001,"&lt;="&amp;$B154,Base!$W$3:$W$5001,"&lt;&gt;")=0,"",SUMIFS(Base!$W$3:$W$5001,Base!$B$3:$B$5001,D$127,Base!$A$3:$A$5001,_xlfn.MAXIFS(Base!$A$3:$A$5001,Base!$B$3:$B$5001,D$127,Base!$A$3:$A$5001,"&gt;="&amp;$C$7,Base!$A$3:$A$5001,"&lt;="&amp;$B154,Base!$W$3:$W$5001,"&lt;&gt;"))))</f>
        <v/>
      </c>
      <c r="E154" t="str">
        <f>IF($A154&gt;$B$9,"",IF(COUNTIFS(Base!$B$3:$B$5001,E$127,Base!$A$3:$A$5001,"&gt;="&amp;$C$7,Base!$A$3:$A$5001,"&lt;="&amp;$B154,Base!$W$3:$W$5001,"&lt;&gt;")=0,"",SUMIFS(Base!$W$3:$W$5001,Base!$B$3:$B$5001,E$127,Base!$A$3:$A$5001,_xlfn.MAXIFS(Base!$A$3:$A$5001,Base!$B$3:$B$5001,E$127,Base!$A$3:$A$5001,"&gt;="&amp;$C$7,Base!$A$3:$A$5001,"&lt;="&amp;$B154,Base!$W$3:$W$5001,"&lt;&gt;"))))</f>
        <v/>
      </c>
      <c r="F154" t="str">
        <f>IF($A154&gt;$B$9,"",IF(COUNTIFS(Base!$B$3:$B$5001,F$127,Base!$A$3:$A$5001,"&gt;="&amp;$C$7,Base!$A$3:$A$5001,"&lt;="&amp;$B154,Base!$W$3:$W$5001,"&lt;&gt;")=0,"",SUMIFS(Base!$W$3:$W$5001,Base!$B$3:$B$5001,F$127,Base!$A$3:$A$5001,_xlfn.MAXIFS(Base!$A$3:$A$5001,Base!$B$3:$B$5001,F$127,Base!$A$3:$A$5001,"&gt;="&amp;$C$7,Base!$A$3:$A$5001,"&lt;="&amp;$B154,Base!$W$3:$W$5001,"&lt;&gt;"))))</f>
        <v/>
      </c>
      <c r="G154" t="str">
        <f>IF($A154&gt;$B$9,"",IF(COUNTIFS(Base!$B$3:$B$5001,G$127,Base!$A$3:$A$5001,"&gt;="&amp;$C$7,Base!$A$3:$A$5001,"&lt;="&amp;$B154,Base!$W$3:$W$5001,"&lt;&gt;")=0,"",SUMIFS(Base!$W$3:$W$5001,Base!$B$3:$B$5001,G$127,Base!$A$3:$A$5001,_xlfn.MAXIFS(Base!$A$3:$A$5001,Base!$B$3:$B$5001,G$127,Base!$A$3:$A$5001,"&gt;="&amp;$C$7,Base!$A$3:$A$5001,"&lt;="&amp;$B154,Base!$W$3:$W$5001,"&lt;&gt;"))))</f>
        <v/>
      </c>
      <c r="H154" t="str">
        <f>IF($A154&gt;$B$9,"",IF(COUNTIFS(Base!$B$3:$B$5001,H$127,Base!$A$3:$A$5001,"&gt;="&amp;$C$7,Base!$A$3:$A$5001,"&lt;="&amp;$B154,Base!$W$3:$W$5001,"&lt;&gt;")=0,"",SUMIFS(Base!$W$3:$W$5001,Base!$B$3:$B$5001,H$127,Base!$A$3:$A$5001,_xlfn.MAXIFS(Base!$A$3:$A$5001,Base!$B$3:$B$5001,H$127,Base!$A$3:$A$5001,"&gt;="&amp;$C$7,Base!$A$3:$A$5001,"&lt;="&amp;$B154,Base!$W$3:$W$5001,"&lt;&gt;"))))</f>
        <v/>
      </c>
      <c r="I154" t="str">
        <f>IF($A154&gt;$B$9,"",IF(COUNTIFS(Base!$B$3:$B$5001,I$127,Base!$A$3:$A$5001,"&gt;="&amp;$C$7,Base!$A$3:$A$5001,"&lt;="&amp;$B154,Base!$W$3:$W$5001,"&lt;&gt;")=0,"",SUMIFS(Base!$W$3:$W$5001,Base!$B$3:$B$5001,I$127,Base!$A$3:$A$5001,_xlfn.MAXIFS(Base!$A$3:$A$5001,Base!$B$3:$B$5001,I$127,Base!$A$3:$A$5001,"&gt;="&amp;$C$7,Base!$A$3:$A$5001,"&lt;="&amp;$B154,Base!$W$3:$W$5001,"&lt;&gt;"))))</f>
        <v/>
      </c>
      <c r="J154" t="str">
        <f>IF($A154&gt;$B$9,"",IF(COUNTIFS(Base!$B$3:$B$5001,J$127,Base!$A$3:$A$5001,"&gt;="&amp;$C$7,Base!$A$3:$A$5001,"&lt;="&amp;$B154,Base!$W$3:$W$5001,"&lt;&gt;")=0,"",SUMIFS(Base!$W$3:$W$5001,Base!$B$3:$B$5001,J$127,Base!$A$3:$A$5001,_xlfn.MAXIFS(Base!$A$3:$A$5001,Base!$B$3:$B$5001,J$127,Base!$A$3:$A$5001,"&gt;="&amp;$C$7,Base!$A$3:$A$5001,"&lt;="&amp;$B154,Base!$W$3:$W$5001,"&lt;&gt;"))))</f>
        <v/>
      </c>
      <c r="K154" t="str">
        <f>IF($A154&gt;$B$9,"",IF(COUNTIFS(Base!$B$3:$B$5001,K$127,Base!$A$3:$A$5001,"&gt;="&amp;$C$7,Base!$A$3:$A$5001,"&lt;="&amp;$B154,Base!$W$3:$W$5001,"&lt;&gt;")=0,"",SUMIFS(Base!$W$3:$W$5001,Base!$B$3:$B$5001,K$127,Base!$A$3:$A$5001,_xlfn.MAXIFS(Base!$A$3:$A$5001,Base!$B$3:$B$5001,K$127,Base!$A$3:$A$5001,"&gt;="&amp;$C$7,Base!$A$3:$A$5001,"&lt;="&amp;$B154,Base!$W$3:$W$5001,"&lt;&gt;"))))</f>
        <v/>
      </c>
    </row>
    <row r="155">
      <c r="A155">
        <v>28</v>
      </c>
      <c r="B155" s="152">
        <f>$B$39</f>
        <v>46293</v>
      </c>
      <c r="C155" t="str">
        <f>IF($A155&gt;$B$9,"",IF(COUNTIFS(Base!$B$3:$B$5001,C$127,Base!$A$3:$A$5001,"&gt;="&amp;$C$7,Base!$A$3:$A$5001,"&lt;="&amp;$B155,Base!$W$3:$W$5001,"&lt;&gt;")=0,"",SUMIFS(Base!$W$3:$W$5001,Base!$B$3:$B$5001,C$127,Base!$A$3:$A$5001,_xlfn.MAXIFS(Base!$A$3:$A$5001,Base!$B$3:$B$5001,C$127,Base!$A$3:$A$5001,"&gt;="&amp;$C$7,Base!$A$3:$A$5001,"&lt;="&amp;$B155,Base!$W$3:$W$5001,"&lt;&gt;"))))</f>
        <v/>
      </c>
      <c r="D155" t="str">
        <f>IF($A155&gt;$B$9,"",IF(COUNTIFS(Base!$B$3:$B$5001,D$127,Base!$A$3:$A$5001,"&gt;="&amp;$C$7,Base!$A$3:$A$5001,"&lt;="&amp;$B155,Base!$W$3:$W$5001,"&lt;&gt;")=0,"",SUMIFS(Base!$W$3:$W$5001,Base!$B$3:$B$5001,D$127,Base!$A$3:$A$5001,_xlfn.MAXIFS(Base!$A$3:$A$5001,Base!$B$3:$B$5001,D$127,Base!$A$3:$A$5001,"&gt;="&amp;$C$7,Base!$A$3:$A$5001,"&lt;="&amp;$B155,Base!$W$3:$W$5001,"&lt;&gt;"))))</f>
        <v/>
      </c>
      <c r="E155" t="str">
        <f>IF($A155&gt;$B$9,"",IF(COUNTIFS(Base!$B$3:$B$5001,E$127,Base!$A$3:$A$5001,"&gt;="&amp;$C$7,Base!$A$3:$A$5001,"&lt;="&amp;$B155,Base!$W$3:$W$5001,"&lt;&gt;")=0,"",SUMIFS(Base!$W$3:$W$5001,Base!$B$3:$B$5001,E$127,Base!$A$3:$A$5001,_xlfn.MAXIFS(Base!$A$3:$A$5001,Base!$B$3:$B$5001,E$127,Base!$A$3:$A$5001,"&gt;="&amp;$C$7,Base!$A$3:$A$5001,"&lt;="&amp;$B155,Base!$W$3:$W$5001,"&lt;&gt;"))))</f>
        <v/>
      </c>
      <c r="F155" t="str">
        <f>IF($A155&gt;$B$9,"",IF(COUNTIFS(Base!$B$3:$B$5001,F$127,Base!$A$3:$A$5001,"&gt;="&amp;$C$7,Base!$A$3:$A$5001,"&lt;="&amp;$B155,Base!$W$3:$W$5001,"&lt;&gt;")=0,"",SUMIFS(Base!$W$3:$W$5001,Base!$B$3:$B$5001,F$127,Base!$A$3:$A$5001,_xlfn.MAXIFS(Base!$A$3:$A$5001,Base!$B$3:$B$5001,F$127,Base!$A$3:$A$5001,"&gt;="&amp;$C$7,Base!$A$3:$A$5001,"&lt;="&amp;$B155,Base!$W$3:$W$5001,"&lt;&gt;"))))</f>
        <v/>
      </c>
      <c r="G155" t="str">
        <f>IF($A155&gt;$B$9,"",IF(COUNTIFS(Base!$B$3:$B$5001,G$127,Base!$A$3:$A$5001,"&gt;="&amp;$C$7,Base!$A$3:$A$5001,"&lt;="&amp;$B155,Base!$W$3:$W$5001,"&lt;&gt;")=0,"",SUMIFS(Base!$W$3:$W$5001,Base!$B$3:$B$5001,G$127,Base!$A$3:$A$5001,_xlfn.MAXIFS(Base!$A$3:$A$5001,Base!$B$3:$B$5001,G$127,Base!$A$3:$A$5001,"&gt;="&amp;$C$7,Base!$A$3:$A$5001,"&lt;="&amp;$B155,Base!$W$3:$W$5001,"&lt;&gt;"))))</f>
        <v/>
      </c>
      <c r="H155" t="str">
        <f>IF($A155&gt;$B$9,"",IF(COUNTIFS(Base!$B$3:$B$5001,H$127,Base!$A$3:$A$5001,"&gt;="&amp;$C$7,Base!$A$3:$A$5001,"&lt;="&amp;$B155,Base!$W$3:$W$5001,"&lt;&gt;")=0,"",SUMIFS(Base!$W$3:$W$5001,Base!$B$3:$B$5001,H$127,Base!$A$3:$A$5001,_xlfn.MAXIFS(Base!$A$3:$A$5001,Base!$B$3:$B$5001,H$127,Base!$A$3:$A$5001,"&gt;="&amp;$C$7,Base!$A$3:$A$5001,"&lt;="&amp;$B155,Base!$W$3:$W$5001,"&lt;&gt;"))))</f>
        <v/>
      </c>
      <c r="I155" t="str">
        <f>IF($A155&gt;$B$9,"",IF(COUNTIFS(Base!$B$3:$B$5001,I$127,Base!$A$3:$A$5001,"&gt;="&amp;$C$7,Base!$A$3:$A$5001,"&lt;="&amp;$B155,Base!$W$3:$W$5001,"&lt;&gt;")=0,"",SUMIFS(Base!$W$3:$W$5001,Base!$B$3:$B$5001,I$127,Base!$A$3:$A$5001,_xlfn.MAXIFS(Base!$A$3:$A$5001,Base!$B$3:$B$5001,I$127,Base!$A$3:$A$5001,"&gt;="&amp;$C$7,Base!$A$3:$A$5001,"&lt;="&amp;$B155,Base!$W$3:$W$5001,"&lt;&gt;"))))</f>
        <v/>
      </c>
      <c r="J155" t="str">
        <f>IF($A155&gt;$B$9,"",IF(COUNTIFS(Base!$B$3:$B$5001,J$127,Base!$A$3:$A$5001,"&gt;="&amp;$C$7,Base!$A$3:$A$5001,"&lt;="&amp;$B155,Base!$W$3:$W$5001,"&lt;&gt;")=0,"",SUMIFS(Base!$W$3:$W$5001,Base!$B$3:$B$5001,J$127,Base!$A$3:$A$5001,_xlfn.MAXIFS(Base!$A$3:$A$5001,Base!$B$3:$B$5001,J$127,Base!$A$3:$A$5001,"&gt;="&amp;$C$7,Base!$A$3:$A$5001,"&lt;="&amp;$B155,Base!$W$3:$W$5001,"&lt;&gt;"))))</f>
        <v/>
      </c>
      <c r="K155" t="str">
        <f>IF($A155&gt;$B$9,"",IF(COUNTIFS(Base!$B$3:$B$5001,K$127,Base!$A$3:$A$5001,"&gt;="&amp;$C$7,Base!$A$3:$A$5001,"&lt;="&amp;$B155,Base!$W$3:$W$5001,"&lt;&gt;")=0,"",SUMIFS(Base!$W$3:$W$5001,Base!$B$3:$B$5001,K$127,Base!$A$3:$A$5001,_xlfn.MAXIFS(Base!$A$3:$A$5001,Base!$B$3:$B$5001,K$127,Base!$A$3:$A$5001,"&gt;="&amp;$C$7,Base!$A$3:$A$5001,"&lt;="&amp;$B155,Base!$W$3:$W$5001,"&lt;&gt;"))))</f>
        <v/>
      </c>
    </row>
    <row r="156">
      <c r="A156">
        <v>29</v>
      </c>
      <c r="B156" s="152">
        <f>$B$40</f>
        <v>46294</v>
      </c>
      <c r="C156" t="str">
        <f>IF($A156&gt;$B$9,"",IF(COUNTIFS(Base!$B$3:$B$5001,C$127,Base!$A$3:$A$5001,"&gt;="&amp;$C$7,Base!$A$3:$A$5001,"&lt;="&amp;$B156,Base!$W$3:$W$5001,"&lt;&gt;")=0,"",SUMIFS(Base!$W$3:$W$5001,Base!$B$3:$B$5001,C$127,Base!$A$3:$A$5001,_xlfn.MAXIFS(Base!$A$3:$A$5001,Base!$B$3:$B$5001,C$127,Base!$A$3:$A$5001,"&gt;="&amp;$C$7,Base!$A$3:$A$5001,"&lt;="&amp;$B156,Base!$W$3:$W$5001,"&lt;&gt;"))))</f>
        <v/>
      </c>
      <c r="D156" t="str">
        <f>IF($A156&gt;$B$9,"",IF(COUNTIFS(Base!$B$3:$B$5001,D$127,Base!$A$3:$A$5001,"&gt;="&amp;$C$7,Base!$A$3:$A$5001,"&lt;="&amp;$B156,Base!$W$3:$W$5001,"&lt;&gt;")=0,"",SUMIFS(Base!$W$3:$W$5001,Base!$B$3:$B$5001,D$127,Base!$A$3:$A$5001,_xlfn.MAXIFS(Base!$A$3:$A$5001,Base!$B$3:$B$5001,D$127,Base!$A$3:$A$5001,"&gt;="&amp;$C$7,Base!$A$3:$A$5001,"&lt;="&amp;$B156,Base!$W$3:$W$5001,"&lt;&gt;"))))</f>
        <v/>
      </c>
      <c r="E156" t="str">
        <f>IF($A156&gt;$B$9,"",IF(COUNTIFS(Base!$B$3:$B$5001,E$127,Base!$A$3:$A$5001,"&gt;="&amp;$C$7,Base!$A$3:$A$5001,"&lt;="&amp;$B156,Base!$W$3:$W$5001,"&lt;&gt;")=0,"",SUMIFS(Base!$W$3:$W$5001,Base!$B$3:$B$5001,E$127,Base!$A$3:$A$5001,_xlfn.MAXIFS(Base!$A$3:$A$5001,Base!$B$3:$B$5001,E$127,Base!$A$3:$A$5001,"&gt;="&amp;$C$7,Base!$A$3:$A$5001,"&lt;="&amp;$B156,Base!$W$3:$W$5001,"&lt;&gt;"))))</f>
        <v/>
      </c>
      <c r="F156" t="str">
        <f>IF($A156&gt;$B$9,"",IF(COUNTIFS(Base!$B$3:$B$5001,F$127,Base!$A$3:$A$5001,"&gt;="&amp;$C$7,Base!$A$3:$A$5001,"&lt;="&amp;$B156,Base!$W$3:$W$5001,"&lt;&gt;")=0,"",SUMIFS(Base!$W$3:$W$5001,Base!$B$3:$B$5001,F$127,Base!$A$3:$A$5001,_xlfn.MAXIFS(Base!$A$3:$A$5001,Base!$B$3:$B$5001,F$127,Base!$A$3:$A$5001,"&gt;="&amp;$C$7,Base!$A$3:$A$5001,"&lt;="&amp;$B156,Base!$W$3:$W$5001,"&lt;&gt;"))))</f>
        <v/>
      </c>
      <c r="G156" t="str">
        <f>IF($A156&gt;$B$9,"",IF(COUNTIFS(Base!$B$3:$B$5001,G$127,Base!$A$3:$A$5001,"&gt;="&amp;$C$7,Base!$A$3:$A$5001,"&lt;="&amp;$B156,Base!$W$3:$W$5001,"&lt;&gt;")=0,"",SUMIFS(Base!$W$3:$W$5001,Base!$B$3:$B$5001,G$127,Base!$A$3:$A$5001,_xlfn.MAXIFS(Base!$A$3:$A$5001,Base!$B$3:$B$5001,G$127,Base!$A$3:$A$5001,"&gt;="&amp;$C$7,Base!$A$3:$A$5001,"&lt;="&amp;$B156,Base!$W$3:$W$5001,"&lt;&gt;"))))</f>
        <v/>
      </c>
      <c r="H156" t="str">
        <f>IF($A156&gt;$B$9,"",IF(COUNTIFS(Base!$B$3:$B$5001,H$127,Base!$A$3:$A$5001,"&gt;="&amp;$C$7,Base!$A$3:$A$5001,"&lt;="&amp;$B156,Base!$W$3:$W$5001,"&lt;&gt;")=0,"",SUMIFS(Base!$W$3:$W$5001,Base!$B$3:$B$5001,H$127,Base!$A$3:$A$5001,_xlfn.MAXIFS(Base!$A$3:$A$5001,Base!$B$3:$B$5001,H$127,Base!$A$3:$A$5001,"&gt;="&amp;$C$7,Base!$A$3:$A$5001,"&lt;="&amp;$B156,Base!$W$3:$W$5001,"&lt;&gt;"))))</f>
        <v/>
      </c>
      <c r="I156" t="str">
        <f>IF($A156&gt;$B$9,"",IF(COUNTIFS(Base!$B$3:$B$5001,I$127,Base!$A$3:$A$5001,"&gt;="&amp;$C$7,Base!$A$3:$A$5001,"&lt;="&amp;$B156,Base!$W$3:$W$5001,"&lt;&gt;")=0,"",SUMIFS(Base!$W$3:$W$5001,Base!$B$3:$B$5001,I$127,Base!$A$3:$A$5001,_xlfn.MAXIFS(Base!$A$3:$A$5001,Base!$B$3:$B$5001,I$127,Base!$A$3:$A$5001,"&gt;="&amp;$C$7,Base!$A$3:$A$5001,"&lt;="&amp;$B156,Base!$W$3:$W$5001,"&lt;&gt;"))))</f>
        <v/>
      </c>
      <c r="J156" t="str">
        <f>IF($A156&gt;$B$9,"",IF(COUNTIFS(Base!$B$3:$B$5001,J$127,Base!$A$3:$A$5001,"&gt;="&amp;$C$7,Base!$A$3:$A$5001,"&lt;="&amp;$B156,Base!$W$3:$W$5001,"&lt;&gt;")=0,"",SUMIFS(Base!$W$3:$W$5001,Base!$B$3:$B$5001,J$127,Base!$A$3:$A$5001,_xlfn.MAXIFS(Base!$A$3:$A$5001,Base!$B$3:$B$5001,J$127,Base!$A$3:$A$5001,"&gt;="&amp;$C$7,Base!$A$3:$A$5001,"&lt;="&amp;$B156,Base!$W$3:$W$5001,"&lt;&gt;"))))</f>
        <v/>
      </c>
      <c r="K156" t="str">
        <f>IF($A156&gt;$B$9,"",IF(COUNTIFS(Base!$B$3:$B$5001,K$127,Base!$A$3:$A$5001,"&gt;="&amp;$C$7,Base!$A$3:$A$5001,"&lt;="&amp;$B156,Base!$W$3:$W$5001,"&lt;&gt;")=0,"",SUMIFS(Base!$W$3:$W$5001,Base!$B$3:$B$5001,K$127,Base!$A$3:$A$5001,_xlfn.MAXIFS(Base!$A$3:$A$5001,Base!$B$3:$B$5001,K$127,Base!$A$3:$A$5001,"&gt;="&amp;$C$7,Base!$A$3:$A$5001,"&lt;="&amp;$B156,Base!$W$3:$W$5001,"&lt;&gt;"))))</f>
        <v/>
      </c>
    </row>
    <row r="157">
      <c r="A157">
        <v>30</v>
      </c>
      <c r="B157" s="152">
        <f>$B$41</f>
        <v>46295</v>
      </c>
      <c r="C157" t="str">
        <f>IF($A157&gt;$B$9,"",IF(COUNTIFS(Base!$B$3:$B$5001,C$127,Base!$A$3:$A$5001,"&gt;="&amp;$C$7,Base!$A$3:$A$5001,"&lt;="&amp;$B157,Base!$W$3:$W$5001,"&lt;&gt;")=0,"",SUMIFS(Base!$W$3:$W$5001,Base!$B$3:$B$5001,C$127,Base!$A$3:$A$5001,_xlfn.MAXIFS(Base!$A$3:$A$5001,Base!$B$3:$B$5001,C$127,Base!$A$3:$A$5001,"&gt;="&amp;$C$7,Base!$A$3:$A$5001,"&lt;="&amp;$B157,Base!$W$3:$W$5001,"&lt;&gt;"))))</f>
        <v/>
      </c>
      <c r="D157" t="str">
        <f>IF($A157&gt;$B$9,"",IF(COUNTIFS(Base!$B$3:$B$5001,D$127,Base!$A$3:$A$5001,"&gt;="&amp;$C$7,Base!$A$3:$A$5001,"&lt;="&amp;$B157,Base!$W$3:$W$5001,"&lt;&gt;")=0,"",SUMIFS(Base!$W$3:$W$5001,Base!$B$3:$B$5001,D$127,Base!$A$3:$A$5001,_xlfn.MAXIFS(Base!$A$3:$A$5001,Base!$B$3:$B$5001,D$127,Base!$A$3:$A$5001,"&gt;="&amp;$C$7,Base!$A$3:$A$5001,"&lt;="&amp;$B157,Base!$W$3:$W$5001,"&lt;&gt;"))))</f>
        <v/>
      </c>
      <c r="E157" t="str">
        <f>IF($A157&gt;$B$9,"",IF(COUNTIFS(Base!$B$3:$B$5001,E$127,Base!$A$3:$A$5001,"&gt;="&amp;$C$7,Base!$A$3:$A$5001,"&lt;="&amp;$B157,Base!$W$3:$W$5001,"&lt;&gt;")=0,"",SUMIFS(Base!$W$3:$W$5001,Base!$B$3:$B$5001,E$127,Base!$A$3:$A$5001,_xlfn.MAXIFS(Base!$A$3:$A$5001,Base!$B$3:$B$5001,E$127,Base!$A$3:$A$5001,"&gt;="&amp;$C$7,Base!$A$3:$A$5001,"&lt;="&amp;$B157,Base!$W$3:$W$5001,"&lt;&gt;"))))</f>
        <v/>
      </c>
      <c r="F157" t="str">
        <f>IF($A157&gt;$B$9,"",IF(COUNTIFS(Base!$B$3:$B$5001,F$127,Base!$A$3:$A$5001,"&gt;="&amp;$C$7,Base!$A$3:$A$5001,"&lt;="&amp;$B157,Base!$W$3:$W$5001,"&lt;&gt;")=0,"",SUMIFS(Base!$W$3:$W$5001,Base!$B$3:$B$5001,F$127,Base!$A$3:$A$5001,_xlfn.MAXIFS(Base!$A$3:$A$5001,Base!$B$3:$B$5001,F$127,Base!$A$3:$A$5001,"&gt;="&amp;$C$7,Base!$A$3:$A$5001,"&lt;="&amp;$B157,Base!$W$3:$W$5001,"&lt;&gt;"))))</f>
        <v/>
      </c>
      <c r="G157" t="str">
        <f>IF($A157&gt;$B$9,"",IF(COUNTIFS(Base!$B$3:$B$5001,G$127,Base!$A$3:$A$5001,"&gt;="&amp;$C$7,Base!$A$3:$A$5001,"&lt;="&amp;$B157,Base!$W$3:$W$5001,"&lt;&gt;")=0,"",SUMIFS(Base!$W$3:$W$5001,Base!$B$3:$B$5001,G$127,Base!$A$3:$A$5001,_xlfn.MAXIFS(Base!$A$3:$A$5001,Base!$B$3:$B$5001,G$127,Base!$A$3:$A$5001,"&gt;="&amp;$C$7,Base!$A$3:$A$5001,"&lt;="&amp;$B157,Base!$W$3:$W$5001,"&lt;&gt;"))))</f>
        <v/>
      </c>
      <c r="H157" t="str">
        <f>IF($A157&gt;$B$9,"",IF(COUNTIFS(Base!$B$3:$B$5001,H$127,Base!$A$3:$A$5001,"&gt;="&amp;$C$7,Base!$A$3:$A$5001,"&lt;="&amp;$B157,Base!$W$3:$W$5001,"&lt;&gt;")=0,"",SUMIFS(Base!$W$3:$W$5001,Base!$B$3:$B$5001,H$127,Base!$A$3:$A$5001,_xlfn.MAXIFS(Base!$A$3:$A$5001,Base!$B$3:$B$5001,H$127,Base!$A$3:$A$5001,"&gt;="&amp;$C$7,Base!$A$3:$A$5001,"&lt;="&amp;$B157,Base!$W$3:$W$5001,"&lt;&gt;"))))</f>
        <v/>
      </c>
      <c r="I157" t="str">
        <f>IF($A157&gt;$B$9,"",IF(COUNTIFS(Base!$B$3:$B$5001,I$127,Base!$A$3:$A$5001,"&gt;="&amp;$C$7,Base!$A$3:$A$5001,"&lt;="&amp;$B157,Base!$W$3:$W$5001,"&lt;&gt;")=0,"",SUMIFS(Base!$W$3:$W$5001,Base!$B$3:$B$5001,I$127,Base!$A$3:$A$5001,_xlfn.MAXIFS(Base!$A$3:$A$5001,Base!$B$3:$B$5001,I$127,Base!$A$3:$A$5001,"&gt;="&amp;$C$7,Base!$A$3:$A$5001,"&lt;="&amp;$B157,Base!$W$3:$W$5001,"&lt;&gt;"))))</f>
        <v/>
      </c>
      <c r="J157" t="str">
        <f>IF($A157&gt;$B$9,"",IF(COUNTIFS(Base!$B$3:$B$5001,J$127,Base!$A$3:$A$5001,"&gt;="&amp;$C$7,Base!$A$3:$A$5001,"&lt;="&amp;$B157,Base!$W$3:$W$5001,"&lt;&gt;")=0,"",SUMIFS(Base!$W$3:$W$5001,Base!$B$3:$B$5001,J$127,Base!$A$3:$A$5001,_xlfn.MAXIFS(Base!$A$3:$A$5001,Base!$B$3:$B$5001,J$127,Base!$A$3:$A$5001,"&gt;="&amp;$C$7,Base!$A$3:$A$5001,"&lt;="&amp;$B157,Base!$W$3:$W$5001,"&lt;&gt;"))))</f>
        <v/>
      </c>
      <c r="K157" t="str">
        <f>IF($A157&gt;$B$9,"",IF(COUNTIFS(Base!$B$3:$B$5001,K$127,Base!$A$3:$A$5001,"&gt;="&amp;$C$7,Base!$A$3:$A$5001,"&lt;="&amp;$B157,Base!$W$3:$W$5001,"&lt;&gt;")=0,"",SUMIFS(Base!$W$3:$W$5001,Base!$B$3:$B$5001,K$127,Base!$A$3:$A$5001,_xlfn.MAXIFS(Base!$A$3:$A$5001,Base!$B$3:$B$5001,K$127,Base!$A$3:$A$5001,"&gt;="&amp;$C$7,Base!$A$3:$A$5001,"&lt;="&amp;$B157,Base!$W$3:$W$5001,"&lt;&gt;"))))</f>
        <v/>
      </c>
    </row>
    <row r="158">
      <c r="A158">
        <v>31</v>
      </c>
      <c r="B158" s="152" t="str">
        <f>$B$42</f>
        <v/>
      </c>
      <c r="C158" t="str">
        <f>IF($A158&gt;$B$9,"",IF(COUNTIFS(Base!$B$3:$B$5001,C$127,Base!$A$3:$A$5001,"&gt;="&amp;$C$7,Base!$A$3:$A$5001,"&lt;="&amp;$B158,Base!$W$3:$W$5001,"&lt;&gt;")=0,"",SUMIFS(Base!$W$3:$W$5001,Base!$B$3:$B$5001,C$127,Base!$A$3:$A$5001,_xlfn.MAXIFS(Base!$A$3:$A$5001,Base!$B$3:$B$5001,C$127,Base!$A$3:$A$5001,"&gt;="&amp;$C$7,Base!$A$3:$A$5001,"&lt;="&amp;$B158,Base!$W$3:$W$5001,"&lt;&gt;"))))</f>
        <v/>
      </c>
      <c r="D158" t="str">
        <f>IF($A158&gt;$B$9,"",IF(COUNTIFS(Base!$B$3:$B$5001,D$127,Base!$A$3:$A$5001,"&gt;="&amp;$C$7,Base!$A$3:$A$5001,"&lt;="&amp;$B158,Base!$W$3:$W$5001,"&lt;&gt;")=0,"",SUMIFS(Base!$W$3:$W$5001,Base!$B$3:$B$5001,D$127,Base!$A$3:$A$5001,_xlfn.MAXIFS(Base!$A$3:$A$5001,Base!$B$3:$B$5001,D$127,Base!$A$3:$A$5001,"&gt;="&amp;$C$7,Base!$A$3:$A$5001,"&lt;="&amp;$B158,Base!$W$3:$W$5001,"&lt;&gt;"))))</f>
        <v/>
      </c>
      <c r="E158" t="str">
        <f>IF($A158&gt;$B$9,"",IF(COUNTIFS(Base!$B$3:$B$5001,E$127,Base!$A$3:$A$5001,"&gt;="&amp;$C$7,Base!$A$3:$A$5001,"&lt;="&amp;$B158,Base!$W$3:$W$5001,"&lt;&gt;")=0,"",SUMIFS(Base!$W$3:$W$5001,Base!$B$3:$B$5001,E$127,Base!$A$3:$A$5001,_xlfn.MAXIFS(Base!$A$3:$A$5001,Base!$B$3:$B$5001,E$127,Base!$A$3:$A$5001,"&gt;="&amp;$C$7,Base!$A$3:$A$5001,"&lt;="&amp;$B158,Base!$W$3:$W$5001,"&lt;&gt;"))))</f>
        <v/>
      </c>
      <c r="F158" t="str">
        <f>IF($A158&gt;$B$9,"",IF(COUNTIFS(Base!$B$3:$B$5001,F$127,Base!$A$3:$A$5001,"&gt;="&amp;$C$7,Base!$A$3:$A$5001,"&lt;="&amp;$B158,Base!$W$3:$W$5001,"&lt;&gt;")=0,"",SUMIFS(Base!$W$3:$W$5001,Base!$B$3:$B$5001,F$127,Base!$A$3:$A$5001,_xlfn.MAXIFS(Base!$A$3:$A$5001,Base!$B$3:$B$5001,F$127,Base!$A$3:$A$5001,"&gt;="&amp;$C$7,Base!$A$3:$A$5001,"&lt;="&amp;$B158,Base!$W$3:$W$5001,"&lt;&gt;"))))</f>
        <v/>
      </c>
      <c r="G158" t="str">
        <f>IF($A158&gt;$B$9,"",IF(COUNTIFS(Base!$B$3:$B$5001,G$127,Base!$A$3:$A$5001,"&gt;="&amp;$C$7,Base!$A$3:$A$5001,"&lt;="&amp;$B158,Base!$W$3:$W$5001,"&lt;&gt;")=0,"",SUMIFS(Base!$W$3:$W$5001,Base!$B$3:$B$5001,G$127,Base!$A$3:$A$5001,_xlfn.MAXIFS(Base!$A$3:$A$5001,Base!$B$3:$B$5001,G$127,Base!$A$3:$A$5001,"&gt;="&amp;$C$7,Base!$A$3:$A$5001,"&lt;="&amp;$B158,Base!$W$3:$W$5001,"&lt;&gt;"))))</f>
        <v/>
      </c>
      <c r="H158" t="str">
        <f>IF($A158&gt;$B$9,"",IF(COUNTIFS(Base!$B$3:$B$5001,H$127,Base!$A$3:$A$5001,"&gt;="&amp;$C$7,Base!$A$3:$A$5001,"&lt;="&amp;$B158,Base!$W$3:$W$5001,"&lt;&gt;")=0,"",SUMIFS(Base!$W$3:$W$5001,Base!$B$3:$B$5001,H$127,Base!$A$3:$A$5001,_xlfn.MAXIFS(Base!$A$3:$A$5001,Base!$B$3:$B$5001,H$127,Base!$A$3:$A$5001,"&gt;="&amp;$C$7,Base!$A$3:$A$5001,"&lt;="&amp;$B158,Base!$W$3:$W$5001,"&lt;&gt;"))))</f>
        <v/>
      </c>
      <c r="I158" t="str">
        <f>IF($A158&gt;$B$9,"",IF(COUNTIFS(Base!$B$3:$B$5001,I$127,Base!$A$3:$A$5001,"&gt;="&amp;$C$7,Base!$A$3:$A$5001,"&lt;="&amp;$B158,Base!$W$3:$W$5001,"&lt;&gt;")=0,"",SUMIFS(Base!$W$3:$W$5001,Base!$B$3:$B$5001,I$127,Base!$A$3:$A$5001,_xlfn.MAXIFS(Base!$A$3:$A$5001,Base!$B$3:$B$5001,I$127,Base!$A$3:$A$5001,"&gt;="&amp;$C$7,Base!$A$3:$A$5001,"&lt;="&amp;$B158,Base!$W$3:$W$5001,"&lt;&gt;"))))</f>
        <v/>
      </c>
      <c r="J158" t="str">
        <f>IF($A158&gt;$B$9,"",IF(COUNTIFS(Base!$B$3:$B$5001,J$127,Base!$A$3:$A$5001,"&gt;="&amp;$C$7,Base!$A$3:$A$5001,"&lt;="&amp;$B158,Base!$W$3:$W$5001,"&lt;&gt;")=0,"",SUMIFS(Base!$W$3:$W$5001,Base!$B$3:$B$5001,J$127,Base!$A$3:$A$5001,_xlfn.MAXIFS(Base!$A$3:$A$5001,Base!$B$3:$B$5001,J$127,Base!$A$3:$A$5001,"&gt;="&amp;$C$7,Base!$A$3:$A$5001,"&lt;="&amp;$B158,Base!$W$3:$W$5001,"&lt;&gt;"))))</f>
        <v/>
      </c>
      <c r="K158" t="str">
        <f>IF($A158&gt;$B$9,"",IF(COUNTIFS(Base!$B$3:$B$5001,K$127,Base!$A$3:$A$5001,"&gt;="&amp;$C$7,Base!$A$3:$A$5001,"&lt;="&amp;$B158,Base!$W$3:$W$5001,"&lt;&gt;")=0,"",SUMIFS(Base!$W$3:$W$5001,Base!$B$3:$B$5001,K$127,Base!$A$3:$A$5001,_xlfn.MAXIFS(Base!$A$3:$A$5001,Base!$B$3:$B$5001,K$127,Base!$A$3:$A$5001,"&gt;="&amp;$C$7,Base!$A$3:$A$5001,"&lt;="&amp;$B158,Base!$W$3:$W$5001,"&lt;&gt;"))))</f>
        <v/>
      </c>
    </row>
    <row r="159">
      <c r="A159" t="inlineStr">
        <is>
          <t xml:space="preserve">Mês anterior (último)</t>
        </is>
      </c>
      <c r="C159" t="str">
        <f>IF(COUNTIFS(Base!$B$3:$B$5001,C$127,Base!$A$3:$A$5001,"&gt;="&amp;$C$8,Base!$A$3:$A$5001,"&lt;="&amp;$D$8,Base!$W$3:$W$5001,"&lt;&gt;")=0,"",SUMIFS(Base!$W$3:$W$5001,Base!$B$3:$B$5001,C$127,Base!$A$3:$A$5001,_xlfn.MAXIFS(Base!$A$3:$A$5001,Base!$B$3:$B$5001,C$127,Base!$A$3:$A$5001,"&gt;="&amp;$C$8,Base!$A$3:$A$5001,"&lt;="&amp;$D$8,Base!$W$3:$W$5001,"&lt;&gt;")))</f>
        <v/>
      </c>
      <c r="D159" t="str">
        <f>IF(COUNTIFS(Base!$B$3:$B$5001,D$127,Base!$A$3:$A$5001,"&gt;="&amp;$C$8,Base!$A$3:$A$5001,"&lt;="&amp;$D$8,Base!$W$3:$W$5001,"&lt;&gt;")=0,"",SUMIFS(Base!$W$3:$W$5001,Base!$B$3:$B$5001,D$127,Base!$A$3:$A$5001,_xlfn.MAXIFS(Base!$A$3:$A$5001,Base!$B$3:$B$5001,D$127,Base!$A$3:$A$5001,"&gt;="&amp;$C$8,Base!$A$3:$A$5001,"&lt;="&amp;$D$8,Base!$W$3:$W$5001,"&lt;&gt;")))</f>
        <v/>
      </c>
      <c r="E159" t="str">
        <f>IF(COUNTIFS(Base!$B$3:$B$5001,E$127,Base!$A$3:$A$5001,"&gt;="&amp;$C$8,Base!$A$3:$A$5001,"&lt;="&amp;$D$8,Base!$W$3:$W$5001,"&lt;&gt;")=0,"",SUMIFS(Base!$W$3:$W$5001,Base!$B$3:$B$5001,E$127,Base!$A$3:$A$5001,_xlfn.MAXIFS(Base!$A$3:$A$5001,Base!$B$3:$B$5001,E$127,Base!$A$3:$A$5001,"&gt;="&amp;$C$8,Base!$A$3:$A$5001,"&lt;="&amp;$D$8,Base!$W$3:$W$5001,"&lt;&gt;")))</f>
        <v/>
      </c>
      <c r="F159" t="str">
        <f>IF(COUNTIFS(Base!$B$3:$B$5001,F$127,Base!$A$3:$A$5001,"&gt;="&amp;$C$8,Base!$A$3:$A$5001,"&lt;="&amp;$D$8,Base!$W$3:$W$5001,"&lt;&gt;")=0,"",SUMIFS(Base!$W$3:$W$5001,Base!$B$3:$B$5001,F$127,Base!$A$3:$A$5001,_xlfn.MAXIFS(Base!$A$3:$A$5001,Base!$B$3:$B$5001,F$127,Base!$A$3:$A$5001,"&gt;="&amp;$C$8,Base!$A$3:$A$5001,"&lt;="&amp;$D$8,Base!$W$3:$W$5001,"&lt;&gt;")))</f>
        <v/>
      </c>
      <c r="G159" t="str">
        <f>IF(COUNTIFS(Base!$B$3:$B$5001,G$127,Base!$A$3:$A$5001,"&gt;="&amp;$C$8,Base!$A$3:$A$5001,"&lt;="&amp;$D$8,Base!$W$3:$W$5001,"&lt;&gt;")=0,"",SUMIFS(Base!$W$3:$W$5001,Base!$B$3:$B$5001,G$127,Base!$A$3:$A$5001,_xlfn.MAXIFS(Base!$A$3:$A$5001,Base!$B$3:$B$5001,G$127,Base!$A$3:$A$5001,"&gt;="&amp;$C$8,Base!$A$3:$A$5001,"&lt;="&amp;$D$8,Base!$W$3:$W$5001,"&lt;&gt;")))</f>
        <v/>
      </c>
      <c r="H159" t="str">
        <f>IF(COUNTIFS(Base!$B$3:$B$5001,H$127,Base!$A$3:$A$5001,"&gt;="&amp;$C$8,Base!$A$3:$A$5001,"&lt;="&amp;$D$8,Base!$W$3:$W$5001,"&lt;&gt;")=0,"",SUMIFS(Base!$W$3:$W$5001,Base!$B$3:$B$5001,H$127,Base!$A$3:$A$5001,_xlfn.MAXIFS(Base!$A$3:$A$5001,Base!$B$3:$B$5001,H$127,Base!$A$3:$A$5001,"&gt;="&amp;$C$8,Base!$A$3:$A$5001,"&lt;="&amp;$D$8,Base!$W$3:$W$5001,"&lt;&gt;")))</f>
        <v/>
      </c>
      <c r="I159" t="str">
        <f>IF(COUNTIFS(Base!$B$3:$B$5001,I$127,Base!$A$3:$A$5001,"&gt;="&amp;$C$8,Base!$A$3:$A$5001,"&lt;="&amp;$D$8,Base!$W$3:$W$5001,"&lt;&gt;")=0,"",SUMIFS(Base!$W$3:$W$5001,Base!$B$3:$B$5001,I$127,Base!$A$3:$A$5001,_xlfn.MAXIFS(Base!$A$3:$A$5001,Base!$B$3:$B$5001,I$127,Base!$A$3:$A$5001,"&gt;="&amp;$C$8,Base!$A$3:$A$5001,"&lt;="&amp;$D$8,Base!$W$3:$W$5001,"&lt;&gt;")))</f>
        <v/>
      </c>
      <c r="J159" t="str">
        <f>IF(COUNTIFS(Base!$B$3:$B$5001,J$127,Base!$A$3:$A$5001,"&gt;="&amp;$C$8,Base!$A$3:$A$5001,"&lt;="&amp;$D$8,Base!$W$3:$W$5001,"&lt;&gt;")=0,"",SUMIFS(Base!$W$3:$W$5001,Base!$B$3:$B$5001,J$127,Base!$A$3:$A$5001,_xlfn.MAXIFS(Base!$A$3:$A$5001,Base!$B$3:$B$5001,J$127,Base!$A$3:$A$5001,"&gt;="&amp;$C$8,Base!$A$3:$A$5001,"&lt;="&amp;$D$8,Base!$W$3:$W$5001,"&lt;&gt;")))</f>
        <v/>
      </c>
      <c r="K159" t="str">
        <f>IF(COUNTIFS(Base!$B$3:$B$5001,K$127,Base!$A$3:$A$5001,"&gt;="&amp;$C$8,Base!$A$3:$A$5001,"&lt;="&amp;$D$8,Base!$W$3:$W$5001,"&lt;&gt;")=0,"",SUMIFS(Base!$W$3:$W$5001,Base!$B$3:$B$5001,K$127,Base!$A$3:$A$5001,_xlfn.MAXIFS(Base!$A$3:$A$5001,Base!$B$3:$B$5001,K$127,Base!$A$3:$A$5001,"&gt;="&amp;$C$8,Base!$A$3:$A$5001,"&lt;="&amp;$D$8,Base!$W$3:$W$5001,"&lt;&gt;")))</f>
        <v/>
      </c>
    </row>
    <row r="162">
      <c r="A162" s="145" t="inlineStr">
        <is>
          <t xml:space="preserve">Posições Disponíveis</t>
        </is>
      </c>
      <c r="B162" s="145" t="inlineStr">
        <is>
          <t xml:space="preserve">Data</t>
        </is>
      </c>
      <c r="C162" s="145" t="inlineStr">
        <is>
          <t xml:space="preserve">BASF</t>
        </is>
      </c>
      <c r="D162" s="145" t="inlineStr">
        <is>
          <t xml:space="preserve">BEAUTYBIZ</t>
        </is>
      </c>
      <c r="E162" s="145" t="inlineStr">
        <is>
          <t xml:space="preserve">BOTICÁRIO</t>
        </is>
      </c>
      <c r="F162" s="145" t="inlineStr">
        <is>
          <t xml:space="preserve">SUPPLY</t>
        </is>
      </c>
      <c r="G162" s="145" t="inlineStr">
        <is>
          <t xml:space="preserve">GE VERNOVA</t>
        </is>
      </c>
      <c r="H162" s="145" t="inlineStr">
        <is>
          <t xml:space="preserve">VESTAS</t>
        </is>
      </c>
      <c r="I162" s="145" t="inlineStr">
        <is>
          <t xml:space="preserve">VEDACIT</t>
        </is>
      </c>
      <c r="J162" s="145" t="inlineStr">
        <is>
          <t xml:space="preserve">OMNLIFE</t>
        </is>
      </c>
      <c r="K162" s="145" t="inlineStr">
        <is>
          <t xml:space="preserve">ALPARGATAS</t>
        </is>
      </c>
    </row>
    <row r="163">
      <c r="A163">
        <v>1</v>
      </c>
      <c r="B163" s="152">
        <f>$B$12</f>
        <v>46266</v>
      </c>
      <c r="C163" t="str">
        <f>IF($A163&gt;$B$9,"",IF(COUNTIFS(Base!$B$3:$B$5001,C$162,Base!$A$3:$A$5001,"&gt;="&amp;$C$7,Base!$A$3:$A$5001,"&lt;="&amp;$B163,Base!$X$3:$X$5001,"&lt;&gt;")=0,"",SUMIFS(Base!$X$3:$X$5001,Base!$B$3:$B$5001,C$162,Base!$A$3:$A$5001,_xlfn.MAXIFS(Base!$A$3:$A$5001,Base!$B$3:$B$5001,C$162,Base!$A$3:$A$5001,"&gt;="&amp;$C$7,Base!$A$3:$A$5001,"&lt;="&amp;$B163,Base!$X$3:$X$5001,"&lt;&gt;"))))</f>
        <v/>
      </c>
      <c r="D163" t="str">
        <f>IF($A163&gt;$B$9,"",IF(COUNTIFS(Base!$B$3:$B$5001,D$162,Base!$A$3:$A$5001,"&gt;="&amp;$C$7,Base!$A$3:$A$5001,"&lt;="&amp;$B163,Base!$X$3:$X$5001,"&lt;&gt;")=0,"",SUMIFS(Base!$X$3:$X$5001,Base!$B$3:$B$5001,D$162,Base!$A$3:$A$5001,_xlfn.MAXIFS(Base!$A$3:$A$5001,Base!$B$3:$B$5001,D$162,Base!$A$3:$A$5001,"&gt;="&amp;$C$7,Base!$A$3:$A$5001,"&lt;="&amp;$B163,Base!$X$3:$X$5001,"&lt;&gt;"))))</f>
        <v/>
      </c>
      <c r="E163" t="str">
        <f>IF($A163&gt;$B$9,"",IF(COUNTIFS(Base!$B$3:$B$5001,E$162,Base!$A$3:$A$5001,"&gt;="&amp;$C$7,Base!$A$3:$A$5001,"&lt;="&amp;$B163,Base!$X$3:$X$5001,"&lt;&gt;")=0,"",SUMIFS(Base!$X$3:$X$5001,Base!$B$3:$B$5001,E$162,Base!$A$3:$A$5001,_xlfn.MAXIFS(Base!$A$3:$A$5001,Base!$B$3:$B$5001,E$162,Base!$A$3:$A$5001,"&gt;="&amp;$C$7,Base!$A$3:$A$5001,"&lt;="&amp;$B163,Base!$X$3:$X$5001,"&lt;&gt;"))))</f>
        <v/>
      </c>
      <c r="F163" t="str">
        <f>IF($A163&gt;$B$9,"",IF(COUNTIFS(Base!$B$3:$B$5001,F$162,Base!$A$3:$A$5001,"&gt;="&amp;$C$7,Base!$A$3:$A$5001,"&lt;="&amp;$B163,Base!$X$3:$X$5001,"&lt;&gt;")=0,"",SUMIFS(Base!$X$3:$X$5001,Base!$B$3:$B$5001,F$162,Base!$A$3:$A$5001,_xlfn.MAXIFS(Base!$A$3:$A$5001,Base!$B$3:$B$5001,F$162,Base!$A$3:$A$5001,"&gt;="&amp;$C$7,Base!$A$3:$A$5001,"&lt;="&amp;$B163,Base!$X$3:$X$5001,"&lt;&gt;"))))</f>
        <v/>
      </c>
      <c r="G163" t="str">
        <f>IF($A163&gt;$B$9,"",IF(COUNTIFS(Base!$B$3:$B$5001,G$162,Base!$A$3:$A$5001,"&gt;="&amp;$C$7,Base!$A$3:$A$5001,"&lt;="&amp;$B163,Base!$X$3:$X$5001,"&lt;&gt;")=0,"",SUMIFS(Base!$X$3:$X$5001,Base!$B$3:$B$5001,G$162,Base!$A$3:$A$5001,_xlfn.MAXIFS(Base!$A$3:$A$5001,Base!$B$3:$B$5001,G$162,Base!$A$3:$A$5001,"&gt;="&amp;$C$7,Base!$A$3:$A$5001,"&lt;="&amp;$B163,Base!$X$3:$X$5001,"&lt;&gt;"))))</f>
        <v/>
      </c>
      <c r="H163" t="str">
        <f>IF($A163&gt;$B$9,"",IF(COUNTIFS(Base!$B$3:$B$5001,H$162,Base!$A$3:$A$5001,"&gt;="&amp;$C$7,Base!$A$3:$A$5001,"&lt;="&amp;$B163,Base!$X$3:$X$5001,"&lt;&gt;")=0,"",SUMIFS(Base!$X$3:$X$5001,Base!$B$3:$B$5001,H$162,Base!$A$3:$A$5001,_xlfn.MAXIFS(Base!$A$3:$A$5001,Base!$B$3:$B$5001,H$162,Base!$A$3:$A$5001,"&gt;="&amp;$C$7,Base!$A$3:$A$5001,"&lt;="&amp;$B163,Base!$X$3:$X$5001,"&lt;&gt;"))))</f>
        <v/>
      </c>
      <c r="I163" t="str">
        <f>IF($A163&gt;$B$9,"",IF(COUNTIFS(Base!$B$3:$B$5001,I$162,Base!$A$3:$A$5001,"&gt;="&amp;$C$7,Base!$A$3:$A$5001,"&lt;="&amp;$B163,Base!$X$3:$X$5001,"&lt;&gt;")=0,"",SUMIFS(Base!$X$3:$X$5001,Base!$B$3:$B$5001,I$162,Base!$A$3:$A$5001,_xlfn.MAXIFS(Base!$A$3:$A$5001,Base!$B$3:$B$5001,I$162,Base!$A$3:$A$5001,"&gt;="&amp;$C$7,Base!$A$3:$A$5001,"&lt;="&amp;$B163,Base!$X$3:$X$5001,"&lt;&gt;"))))</f>
        <v/>
      </c>
      <c r="J163" t="str">
        <f>IF($A163&gt;$B$9,"",IF(COUNTIFS(Base!$B$3:$B$5001,J$162,Base!$A$3:$A$5001,"&gt;="&amp;$C$7,Base!$A$3:$A$5001,"&lt;="&amp;$B163,Base!$X$3:$X$5001,"&lt;&gt;")=0,"",SUMIFS(Base!$X$3:$X$5001,Base!$B$3:$B$5001,J$162,Base!$A$3:$A$5001,_xlfn.MAXIFS(Base!$A$3:$A$5001,Base!$B$3:$B$5001,J$162,Base!$A$3:$A$5001,"&gt;="&amp;$C$7,Base!$A$3:$A$5001,"&lt;="&amp;$B163,Base!$X$3:$X$5001,"&lt;&gt;"))))</f>
        <v/>
      </c>
      <c r="K163" t="str">
        <f>IF($A163&gt;$B$9,"",IF(COUNTIFS(Base!$B$3:$B$5001,K$162,Base!$A$3:$A$5001,"&gt;="&amp;$C$7,Base!$A$3:$A$5001,"&lt;="&amp;$B163,Base!$X$3:$X$5001,"&lt;&gt;")=0,"",SUMIFS(Base!$X$3:$X$5001,Base!$B$3:$B$5001,K$162,Base!$A$3:$A$5001,_xlfn.MAXIFS(Base!$A$3:$A$5001,Base!$B$3:$B$5001,K$162,Base!$A$3:$A$5001,"&gt;="&amp;$C$7,Base!$A$3:$A$5001,"&lt;="&amp;$B163,Base!$X$3:$X$5001,"&lt;&gt;"))))</f>
        <v/>
      </c>
    </row>
    <row r="164">
      <c r="A164">
        <v>2</v>
      </c>
      <c r="B164" s="152">
        <f>$B$13</f>
        <v>46267</v>
      </c>
      <c r="C164" t="str">
        <f>IF($A164&gt;$B$9,"",IF(COUNTIFS(Base!$B$3:$B$5001,C$162,Base!$A$3:$A$5001,"&gt;="&amp;$C$7,Base!$A$3:$A$5001,"&lt;="&amp;$B164,Base!$X$3:$X$5001,"&lt;&gt;")=0,"",SUMIFS(Base!$X$3:$X$5001,Base!$B$3:$B$5001,C$162,Base!$A$3:$A$5001,_xlfn.MAXIFS(Base!$A$3:$A$5001,Base!$B$3:$B$5001,C$162,Base!$A$3:$A$5001,"&gt;="&amp;$C$7,Base!$A$3:$A$5001,"&lt;="&amp;$B164,Base!$X$3:$X$5001,"&lt;&gt;"))))</f>
        <v/>
      </c>
      <c r="D164" t="str">
        <f>IF($A164&gt;$B$9,"",IF(COUNTIFS(Base!$B$3:$B$5001,D$162,Base!$A$3:$A$5001,"&gt;="&amp;$C$7,Base!$A$3:$A$5001,"&lt;="&amp;$B164,Base!$X$3:$X$5001,"&lt;&gt;")=0,"",SUMIFS(Base!$X$3:$X$5001,Base!$B$3:$B$5001,D$162,Base!$A$3:$A$5001,_xlfn.MAXIFS(Base!$A$3:$A$5001,Base!$B$3:$B$5001,D$162,Base!$A$3:$A$5001,"&gt;="&amp;$C$7,Base!$A$3:$A$5001,"&lt;="&amp;$B164,Base!$X$3:$X$5001,"&lt;&gt;"))))</f>
        <v/>
      </c>
      <c r="E164" t="str">
        <f>IF($A164&gt;$B$9,"",IF(COUNTIFS(Base!$B$3:$B$5001,E$162,Base!$A$3:$A$5001,"&gt;="&amp;$C$7,Base!$A$3:$A$5001,"&lt;="&amp;$B164,Base!$X$3:$X$5001,"&lt;&gt;")=0,"",SUMIFS(Base!$X$3:$X$5001,Base!$B$3:$B$5001,E$162,Base!$A$3:$A$5001,_xlfn.MAXIFS(Base!$A$3:$A$5001,Base!$B$3:$B$5001,E$162,Base!$A$3:$A$5001,"&gt;="&amp;$C$7,Base!$A$3:$A$5001,"&lt;="&amp;$B164,Base!$X$3:$X$5001,"&lt;&gt;"))))</f>
        <v/>
      </c>
      <c r="F164" t="str">
        <f>IF($A164&gt;$B$9,"",IF(COUNTIFS(Base!$B$3:$B$5001,F$162,Base!$A$3:$A$5001,"&gt;="&amp;$C$7,Base!$A$3:$A$5001,"&lt;="&amp;$B164,Base!$X$3:$X$5001,"&lt;&gt;")=0,"",SUMIFS(Base!$X$3:$X$5001,Base!$B$3:$B$5001,F$162,Base!$A$3:$A$5001,_xlfn.MAXIFS(Base!$A$3:$A$5001,Base!$B$3:$B$5001,F$162,Base!$A$3:$A$5001,"&gt;="&amp;$C$7,Base!$A$3:$A$5001,"&lt;="&amp;$B164,Base!$X$3:$X$5001,"&lt;&gt;"))))</f>
        <v/>
      </c>
      <c r="G164" t="str">
        <f>IF($A164&gt;$B$9,"",IF(COUNTIFS(Base!$B$3:$B$5001,G$162,Base!$A$3:$A$5001,"&gt;="&amp;$C$7,Base!$A$3:$A$5001,"&lt;="&amp;$B164,Base!$X$3:$X$5001,"&lt;&gt;")=0,"",SUMIFS(Base!$X$3:$X$5001,Base!$B$3:$B$5001,G$162,Base!$A$3:$A$5001,_xlfn.MAXIFS(Base!$A$3:$A$5001,Base!$B$3:$B$5001,G$162,Base!$A$3:$A$5001,"&gt;="&amp;$C$7,Base!$A$3:$A$5001,"&lt;="&amp;$B164,Base!$X$3:$X$5001,"&lt;&gt;"))))</f>
        <v/>
      </c>
      <c r="H164" t="str">
        <f>IF($A164&gt;$B$9,"",IF(COUNTIFS(Base!$B$3:$B$5001,H$162,Base!$A$3:$A$5001,"&gt;="&amp;$C$7,Base!$A$3:$A$5001,"&lt;="&amp;$B164,Base!$X$3:$X$5001,"&lt;&gt;")=0,"",SUMIFS(Base!$X$3:$X$5001,Base!$B$3:$B$5001,H$162,Base!$A$3:$A$5001,_xlfn.MAXIFS(Base!$A$3:$A$5001,Base!$B$3:$B$5001,H$162,Base!$A$3:$A$5001,"&gt;="&amp;$C$7,Base!$A$3:$A$5001,"&lt;="&amp;$B164,Base!$X$3:$X$5001,"&lt;&gt;"))))</f>
        <v/>
      </c>
      <c r="I164" t="str">
        <f>IF($A164&gt;$B$9,"",IF(COUNTIFS(Base!$B$3:$B$5001,I$162,Base!$A$3:$A$5001,"&gt;="&amp;$C$7,Base!$A$3:$A$5001,"&lt;="&amp;$B164,Base!$X$3:$X$5001,"&lt;&gt;")=0,"",SUMIFS(Base!$X$3:$X$5001,Base!$B$3:$B$5001,I$162,Base!$A$3:$A$5001,_xlfn.MAXIFS(Base!$A$3:$A$5001,Base!$B$3:$B$5001,I$162,Base!$A$3:$A$5001,"&gt;="&amp;$C$7,Base!$A$3:$A$5001,"&lt;="&amp;$B164,Base!$X$3:$X$5001,"&lt;&gt;"))))</f>
        <v/>
      </c>
      <c r="J164" t="str">
        <f>IF($A164&gt;$B$9,"",IF(COUNTIFS(Base!$B$3:$B$5001,J$162,Base!$A$3:$A$5001,"&gt;="&amp;$C$7,Base!$A$3:$A$5001,"&lt;="&amp;$B164,Base!$X$3:$X$5001,"&lt;&gt;")=0,"",SUMIFS(Base!$X$3:$X$5001,Base!$B$3:$B$5001,J$162,Base!$A$3:$A$5001,_xlfn.MAXIFS(Base!$A$3:$A$5001,Base!$B$3:$B$5001,J$162,Base!$A$3:$A$5001,"&gt;="&amp;$C$7,Base!$A$3:$A$5001,"&lt;="&amp;$B164,Base!$X$3:$X$5001,"&lt;&gt;"))))</f>
        <v/>
      </c>
      <c r="K164" t="str">
        <f>IF($A164&gt;$B$9,"",IF(COUNTIFS(Base!$B$3:$B$5001,K$162,Base!$A$3:$A$5001,"&gt;="&amp;$C$7,Base!$A$3:$A$5001,"&lt;="&amp;$B164,Base!$X$3:$X$5001,"&lt;&gt;")=0,"",SUMIFS(Base!$X$3:$X$5001,Base!$B$3:$B$5001,K$162,Base!$A$3:$A$5001,_xlfn.MAXIFS(Base!$A$3:$A$5001,Base!$B$3:$B$5001,K$162,Base!$A$3:$A$5001,"&gt;="&amp;$C$7,Base!$A$3:$A$5001,"&lt;="&amp;$B164,Base!$X$3:$X$5001,"&lt;&gt;"))))</f>
        <v/>
      </c>
    </row>
    <row r="165">
      <c r="A165">
        <v>3</v>
      </c>
      <c r="B165" s="152">
        <f>$B$14</f>
        <v>46268</v>
      </c>
      <c r="C165" t="str">
        <f>IF($A165&gt;$B$9,"",IF(COUNTIFS(Base!$B$3:$B$5001,C$162,Base!$A$3:$A$5001,"&gt;="&amp;$C$7,Base!$A$3:$A$5001,"&lt;="&amp;$B165,Base!$X$3:$X$5001,"&lt;&gt;")=0,"",SUMIFS(Base!$X$3:$X$5001,Base!$B$3:$B$5001,C$162,Base!$A$3:$A$5001,_xlfn.MAXIFS(Base!$A$3:$A$5001,Base!$B$3:$B$5001,C$162,Base!$A$3:$A$5001,"&gt;="&amp;$C$7,Base!$A$3:$A$5001,"&lt;="&amp;$B165,Base!$X$3:$X$5001,"&lt;&gt;"))))</f>
        <v/>
      </c>
      <c r="D165" t="str">
        <f>IF($A165&gt;$B$9,"",IF(COUNTIFS(Base!$B$3:$B$5001,D$162,Base!$A$3:$A$5001,"&gt;="&amp;$C$7,Base!$A$3:$A$5001,"&lt;="&amp;$B165,Base!$X$3:$X$5001,"&lt;&gt;")=0,"",SUMIFS(Base!$X$3:$X$5001,Base!$B$3:$B$5001,D$162,Base!$A$3:$A$5001,_xlfn.MAXIFS(Base!$A$3:$A$5001,Base!$B$3:$B$5001,D$162,Base!$A$3:$A$5001,"&gt;="&amp;$C$7,Base!$A$3:$A$5001,"&lt;="&amp;$B165,Base!$X$3:$X$5001,"&lt;&gt;"))))</f>
        <v/>
      </c>
      <c r="E165" t="str">
        <f>IF($A165&gt;$B$9,"",IF(COUNTIFS(Base!$B$3:$B$5001,E$162,Base!$A$3:$A$5001,"&gt;="&amp;$C$7,Base!$A$3:$A$5001,"&lt;="&amp;$B165,Base!$X$3:$X$5001,"&lt;&gt;")=0,"",SUMIFS(Base!$X$3:$X$5001,Base!$B$3:$B$5001,E$162,Base!$A$3:$A$5001,_xlfn.MAXIFS(Base!$A$3:$A$5001,Base!$B$3:$B$5001,E$162,Base!$A$3:$A$5001,"&gt;="&amp;$C$7,Base!$A$3:$A$5001,"&lt;="&amp;$B165,Base!$X$3:$X$5001,"&lt;&gt;"))))</f>
        <v/>
      </c>
      <c r="F165" t="str">
        <f>IF($A165&gt;$B$9,"",IF(COUNTIFS(Base!$B$3:$B$5001,F$162,Base!$A$3:$A$5001,"&gt;="&amp;$C$7,Base!$A$3:$A$5001,"&lt;="&amp;$B165,Base!$X$3:$X$5001,"&lt;&gt;")=0,"",SUMIFS(Base!$X$3:$X$5001,Base!$B$3:$B$5001,F$162,Base!$A$3:$A$5001,_xlfn.MAXIFS(Base!$A$3:$A$5001,Base!$B$3:$B$5001,F$162,Base!$A$3:$A$5001,"&gt;="&amp;$C$7,Base!$A$3:$A$5001,"&lt;="&amp;$B165,Base!$X$3:$X$5001,"&lt;&gt;"))))</f>
        <v/>
      </c>
      <c r="G165" t="str">
        <f>IF($A165&gt;$B$9,"",IF(COUNTIFS(Base!$B$3:$B$5001,G$162,Base!$A$3:$A$5001,"&gt;="&amp;$C$7,Base!$A$3:$A$5001,"&lt;="&amp;$B165,Base!$X$3:$X$5001,"&lt;&gt;")=0,"",SUMIFS(Base!$X$3:$X$5001,Base!$B$3:$B$5001,G$162,Base!$A$3:$A$5001,_xlfn.MAXIFS(Base!$A$3:$A$5001,Base!$B$3:$B$5001,G$162,Base!$A$3:$A$5001,"&gt;="&amp;$C$7,Base!$A$3:$A$5001,"&lt;="&amp;$B165,Base!$X$3:$X$5001,"&lt;&gt;"))))</f>
        <v/>
      </c>
      <c r="H165" t="str">
        <f>IF($A165&gt;$B$9,"",IF(COUNTIFS(Base!$B$3:$B$5001,H$162,Base!$A$3:$A$5001,"&gt;="&amp;$C$7,Base!$A$3:$A$5001,"&lt;="&amp;$B165,Base!$X$3:$X$5001,"&lt;&gt;")=0,"",SUMIFS(Base!$X$3:$X$5001,Base!$B$3:$B$5001,H$162,Base!$A$3:$A$5001,_xlfn.MAXIFS(Base!$A$3:$A$5001,Base!$B$3:$B$5001,H$162,Base!$A$3:$A$5001,"&gt;="&amp;$C$7,Base!$A$3:$A$5001,"&lt;="&amp;$B165,Base!$X$3:$X$5001,"&lt;&gt;"))))</f>
        <v/>
      </c>
      <c r="I165" t="str">
        <f>IF($A165&gt;$B$9,"",IF(COUNTIFS(Base!$B$3:$B$5001,I$162,Base!$A$3:$A$5001,"&gt;="&amp;$C$7,Base!$A$3:$A$5001,"&lt;="&amp;$B165,Base!$X$3:$X$5001,"&lt;&gt;")=0,"",SUMIFS(Base!$X$3:$X$5001,Base!$B$3:$B$5001,I$162,Base!$A$3:$A$5001,_xlfn.MAXIFS(Base!$A$3:$A$5001,Base!$B$3:$B$5001,I$162,Base!$A$3:$A$5001,"&gt;="&amp;$C$7,Base!$A$3:$A$5001,"&lt;="&amp;$B165,Base!$X$3:$X$5001,"&lt;&gt;"))))</f>
        <v/>
      </c>
      <c r="J165" t="str">
        <f>IF($A165&gt;$B$9,"",IF(COUNTIFS(Base!$B$3:$B$5001,J$162,Base!$A$3:$A$5001,"&gt;="&amp;$C$7,Base!$A$3:$A$5001,"&lt;="&amp;$B165,Base!$X$3:$X$5001,"&lt;&gt;")=0,"",SUMIFS(Base!$X$3:$X$5001,Base!$B$3:$B$5001,J$162,Base!$A$3:$A$5001,_xlfn.MAXIFS(Base!$A$3:$A$5001,Base!$B$3:$B$5001,J$162,Base!$A$3:$A$5001,"&gt;="&amp;$C$7,Base!$A$3:$A$5001,"&lt;="&amp;$B165,Base!$X$3:$X$5001,"&lt;&gt;"))))</f>
        <v/>
      </c>
      <c r="K165" t="str">
        <f>IF($A165&gt;$B$9,"",IF(COUNTIFS(Base!$B$3:$B$5001,K$162,Base!$A$3:$A$5001,"&gt;="&amp;$C$7,Base!$A$3:$A$5001,"&lt;="&amp;$B165,Base!$X$3:$X$5001,"&lt;&gt;")=0,"",SUMIFS(Base!$X$3:$X$5001,Base!$B$3:$B$5001,K$162,Base!$A$3:$A$5001,_xlfn.MAXIFS(Base!$A$3:$A$5001,Base!$B$3:$B$5001,K$162,Base!$A$3:$A$5001,"&gt;="&amp;$C$7,Base!$A$3:$A$5001,"&lt;="&amp;$B165,Base!$X$3:$X$5001,"&lt;&gt;"))))</f>
        <v/>
      </c>
    </row>
    <row r="166">
      <c r="A166">
        <v>4</v>
      </c>
      <c r="B166" s="152">
        <f>$B$15</f>
        <v>46269</v>
      </c>
      <c r="C166" t="str">
        <f>IF($A166&gt;$B$9,"",IF(COUNTIFS(Base!$B$3:$B$5001,C$162,Base!$A$3:$A$5001,"&gt;="&amp;$C$7,Base!$A$3:$A$5001,"&lt;="&amp;$B166,Base!$X$3:$X$5001,"&lt;&gt;")=0,"",SUMIFS(Base!$X$3:$X$5001,Base!$B$3:$B$5001,C$162,Base!$A$3:$A$5001,_xlfn.MAXIFS(Base!$A$3:$A$5001,Base!$B$3:$B$5001,C$162,Base!$A$3:$A$5001,"&gt;="&amp;$C$7,Base!$A$3:$A$5001,"&lt;="&amp;$B166,Base!$X$3:$X$5001,"&lt;&gt;"))))</f>
        <v/>
      </c>
      <c r="D166" t="str">
        <f>IF($A166&gt;$B$9,"",IF(COUNTIFS(Base!$B$3:$B$5001,D$162,Base!$A$3:$A$5001,"&gt;="&amp;$C$7,Base!$A$3:$A$5001,"&lt;="&amp;$B166,Base!$X$3:$X$5001,"&lt;&gt;")=0,"",SUMIFS(Base!$X$3:$X$5001,Base!$B$3:$B$5001,D$162,Base!$A$3:$A$5001,_xlfn.MAXIFS(Base!$A$3:$A$5001,Base!$B$3:$B$5001,D$162,Base!$A$3:$A$5001,"&gt;="&amp;$C$7,Base!$A$3:$A$5001,"&lt;="&amp;$B166,Base!$X$3:$X$5001,"&lt;&gt;"))))</f>
        <v/>
      </c>
      <c r="E166" t="str">
        <f>IF($A166&gt;$B$9,"",IF(COUNTIFS(Base!$B$3:$B$5001,E$162,Base!$A$3:$A$5001,"&gt;="&amp;$C$7,Base!$A$3:$A$5001,"&lt;="&amp;$B166,Base!$X$3:$X$5001,"&lt;&gt;")=0,"",SUMIFS(Base!$X$3:$X$5001,Base!$B$3:$B$5001,E$162,Base!$A$3:$A$5001,_xlfn.MAXIFS(Base!$A$3:$A$5001,Base!$B$3:$B$5001,E$162,Base!$A$3:$A$5001,"&gt;="&amp;$C$7,Base!$A$3:$A$5001,"&lt;="&amp;$B166,Base!$X$3:$X$5001,"&lt;&gt;"))))</f>
        <v/>
      </c>
      <c r="F166" t="str">
        <f>IF($A166&gt;$B$9,"",IF(COUNTIFS(Base!$B$3:$B$5001,F$162,Base!$A$3:$A$5001,"&gt;="&amp;$C$7,Base!$A$3:$A$5001,"&lt;="&amp;$B166,Base!$X$3:$X$5001,"&lt;&gt;")=0,"",SUMIFS(Base!$X$3:$X$5001,Base!$B$3:$B$5001,F$162,Base!$A$3:$A$5001,_xlfn.MAXIFS(Base!$A$3:$A$5001,Base!$B$3:$B$5001,F$162,Base!$A$3:$A$5001,"&gt;="&amp;$C$7,Base!$A$3:$A$5001,"&lt;="&amp;$B166,Base!$X$3:$X$5001,"&lt;&gt;"))))</f>
        <v/>
      </c>
      <c r="G166" t="str">
        <f>IF($A166&gt;$B$9,"",IF(COUNTIFS(Base!$B$3:$B$5001,G$162,Base!$A$3:$A$5001,"&gt;="&amp;$C$7,Base!$A$3:$A$5001,"&lt;="&amp;$B166,Base!$X$3:$X$5001,"&lt;&gt;")=0,"",SUMIFS(Base!$X$3:$X$5001,Base!$B$3:$B$5001,G$162,Base!$A$3:$A$5001,_xlfn.MAXIFS(Base!$A$3:$A$5001,Base!$B$3:$B$5001,G$162,Base!$A$3:$A$5001,"&gt;="&amp;$C$7,Base!$A$3:$A$5001,"&lt;="&amp;$B166,Base!$X$3:$X$5001,"&lt;&gt;"))))</f>
        <v/>
      </c>
      <c r="H166" t="str">
        <f>IF($A166&gt;$B$9,"",IF(COUNTIFS(Base!$B$3:$B$5001,H$162,Base!$A$3:$A$5001,"&gt;="&amp;$C$7,Base!$A$3:$A$5001,"&lt;="&amp;$B166,Base!$X$3:$X$5001,"&lt;&gt;")=0,"",SUMIFS(Base!$X$3:$X$5001,Base!$B$3:$B$5001,H$162,Base!$A$3:$A$5001,_xlfn.MAXIFS(Base!$A$3:$A$5001,Base!$B$3:$B$5001,H$162,Base!$A$3:$A$5001,"&gt;="&amp;$C$7,Base!$A$3:$A$5001,"&lt;="&amp;$B166,Base!$X$3:$X$5001,"&lt;&gt;"))))</f>
        <v/>
      </c>
      <c r="I166" t="str">
        <f>IF($A166&gt;$B$9,"",IF(COUNTIFS(Base!$B$3:$B$5001,I$162,Base!$A$3:$A$5001,"&gt;="&amp;$C$7,Base!$A$3:$A$5001,"&lt;="&amp;$B166,Base!$X$3:$X$5001,"&lt;&gt;")=0,"",SUMIFS(Base!$X$3:$X$5001,Base!$B$3:$B$5001,I$162,Base!$A$3:$A$5001,_xlfn.MAXIFS(Base!$A$3:$A$5001,Base!$B$3:$B$5001,I$162,Base!$A$3:$A$5001,"&gt;="&amp;$C$7,Base!$A$3:$A$5001,"&lt;="&amp;$B166,Base!$X$3:$X$5001,"&lt;&gt;"))))</f>
        <v/>
      </c>
      <c r="J166" t="str">
        <f>IF($A166&gt;$B$9,"",IF(COUNTIFS(Base!$B$3:$B$5001,J$162,Base!$A$3:$A$5001,"&gt;="&amp;$C$7,Base!$A$3:$A$5001,"&lt;="&amp;$B166,Base!$X$3:$X$5001,"&lt;&gt;")=0,"",SUMIFS(Base!$X$3:$X$5001,Base!$B$3:$B$5001,J$162,Base!$A$3:$A$5001,_xlfn.MAXIFS(Base!$A$3:$A$5001,Base!$B$3:$B$5001,J$162,Base!$A$3:$A$5001,"&gt;="&amp;$C$7,Base!$A$3:$A$5001,"&lt;="&amp;$B166,Base!$X$3:$X$5001,"&lt;&gt;"))))</f>
        <v/>
      </c>
      <c r="K166" t="str">
        <f>IF($A166&gt;$B$9,"",IF(COUNTIFS(Base!$B$3:$B$5001,K$162,Base!$A$3:$A$5001,"&gt;="&amp;$C$7,Base!$A$3:$A$5001,"&lt;="&amp;$B166,Base!$X$3:$X$5001,"&lt;&gt;")=0,"",SUMIFS(Base!$X$3:$X$5001,Base!$B$3:$B$5001,K$162,Base!$A$3:$A$5001,_xlfn.MAXIFS(Base!$A$3:$A$5001,Base!$B$3:$B$5001,K$162,Base!$A$3:$A$5001,"&gt;="&amp;$C$7,Base!$A$3:$A$5001,"&lt;="&amp;$B166,Base!$X$3:$X$5001,"&lt;&gt;"))))</f>
        <v/>
      </c>
    </row>
    <row r="167">
      <c r="A167">
        <v>5</v>
      </c>
      <c r="B167" s="152">
        <f>$B$16</f>
        <v>46270</v>
      </c>
      <c r="C167" t="str">
        <f>IF($A167&gt;$B$9,"",IF(COUNTIFS(Base!$B$3:$B$5001,C$162,Base!$A$3:$A$5001,"&gt;="&amp;$C$7,Base!$A$3:$A$5001,"&lt;="&amp;$B167,Base!$X$3:$X$5001,"&lt;&gt;")=0,"",SUMIFS(Base!$X$3:$X$5001,Base!$B$3:$B$5001,C$162,Base!$A$3:$A$5001,_xlfn.MAXIFS(Base!$A$3:$A$5001,Base!$B$3:$B$5001,C$162,Base!$A$3:$A$5001,"&gt;="&amp;$C$7,Base!$A$3:$A$5001,"&lt;="&amp;$B167,Base!$X$3:$X$5001,"&lt;&gt;"))))</f>
        <v/>
      </c>
      <c r="D167" t="str">
        <f>IF($A167&gt;$B$9,"",IF(COUNTIFS(Base!$B$3:$B$5001,D$162,Base!$A$3:$A$5001,"&gt;="&amp;$C$7,Base!$A$3:$A$5001,"&lt;="&amp;$B167,Base!$X$3:$X$5001,"&lt;&gt;")=0,"",SUMIFS(Base!$X$3:$X$5001,Base!$B$3:$B$5001,D$162,Base!$A$3:$A$5001,_xlfn.MAXIFS(Base!$A$3:$A$5001,Base!$B$3:$B$5001,D$162,Base!$A$3:$A$5001,"&gt;="&amp;$C$7,Base!$A$3:$A$5001,"&lt;="&amp;$B167,Base!$X$3:$X$5001,"&lt;&gt;"))))</f>
        <v/>
      </c>
      <c r="E167" t="str">
        <f>IF($A167&gt;$B$9,"",IF(COUNTIFS(Base!$B$3:$B$5001,E$162,Base!$A$3:$A$5001,"&gt;="&amp;$C$7,Base!$A$3:$A$5001,"&lt;="&amp;$B167,Base!$X$3:$X$5001,"&lt;&gt;")=0,"",SUMIFS(Base!$X$3:$X$5001,Base!$B$3:$B$5001,E$162,Base!$A$3:$A$5001,_xlfn.MAXIFS(Base!$A$3:$A$5001,Base!$B$3:$B$5001,E$162,Base!$A$3:$A$5001,"&gt;="&amp;$C$7,Base!$A$3:$A$5001,"&lt;="&amp;$B167,Base!$X$3:$X$5001,"&lt;&gt;"))))</f>
        <v/>
      </c>
      <c r="F167" t="str">
        <f>IF($A167&gt;$B$9,"",IF(COUNTIFS(Base!$B$3:$B$5001,F$162,Base!$A$3:$A$5001,"&gt;="&amp;$C$7,Base!$A$3:$A$5001,"&lt;="&amp;$B167,Base!$X$3:$X$5001,"&lt;&gt;")=0,"",SUMIFS(Base!$X$3:$X$5001,Base!$B$3:$B$5001,F$162,Base!$A$3:$A$5001,_xlfn.MAXIFS(Base!$A$3:$A$5001,Base!$B$3:$B$5001,F$162,Base!$A$3:$A$5001,"&gt;="&amp;$C$7,Base!$A$3:$A$5001,"&lt;="&amp;$B167,Base!$X$3:$X$5001,"&lt;&gt;"))))</f>
        <v/>
      </c>
      <c r="G167" t="str">
        <f>IF($A167&gt;$B$9,"",IF(COUNTIFS(Base!$B$3:$B$5001,G$162,Base!$A$3:$A$5001,"&gt;="&amp;$C$7,Base!$A$3:$A$5001,"&lt;="&amp;$B167,Base!$X$3:$X$5001,"&lt;&gt;")=0,"",SUMIFS(Base!$X$3:$X$5001,Base!$B$3:$B$5001,G$162,Base!$A$3:$A$5001,_xlfn.MAXIFS(Base!$A$3:$A$5001,Base!$B$3:$B$5001,G$162,Base!$A$3:$A$5001,"&gt;="&amp;$C$7,Base!$A$3:$A$5001,"&lt;="&amp;$B167,Base!$X$3:$X$5001,"&lt;&gt;"))))</f>
        <v/>
      </c>
      <c r="H167" t="str">
        <f>IF($A167&gt;$B$9,"",IF(COUNTIFS(Base!$B$3:$B$5001,H$162,Base!$A$3:$A$5001,"&gt;="&amp;$C$7,Base!$A$3:$A$5001,"&lt;="&amp;$B167,Base!$X$3:$X$5001,"&lt;&gt;")=0,"",SUMIFS(Base!$X$3:$X$5001,Base!$B$3:$B$5001,H$162,Base!$A$3:$A$5001,_xlfn.MAXIFS(Base!$A$3:$A$5001,Base!$B$3:$B$5001,H$162,Base!$A$3:$A$5001,"&gt;="&amp;$C$7,Base!$A$3:$A$5001,"&lt;="&amp;$B167,Base!$X$3:$X$5001,"&lt;&gt;"))))</f>
        <v/>
      </c>
      <c r="I167" t="str">
        <f>IF($A167&gt;$B$9,"",IF(COUNTIFS(Base!$B$3:$B$5001,I$162,Base!$A$3:$A$5001,"&gt;="&amp;$C$7,Base!$A$3:$A$5001,"&lt;="&amp;$B167,Base!$X$3:$X$5001,"&lt;&gt;")=0,"",SUMIFS(Base!$X$3:$X$5001,Base!$B$3:$B$5001,I$162,Base!$A$3:$A$5001,_xlfn.MAXIFS(Base!$A$3:$A$5001,Base!$B$3:$B$5001,I$162,Base!$A$3:$A$5001,"&gt;="&amp;$C$7,Base!$A$3:$A$5001,"&lt;="&amp;$B167,Base!$X$3:$X$5001,"&lt;&gt;"))))</f>
        <v/>
      </c>
      <c r="J167" t="str">
        <f>IF($A167&gt;$B$9,"",IF(COUNTIFS(Base!$B$3:$B$5001,J$162,Base!$A$3:$A$5001,"&gt;="&amp;$C$7,Base!$A$3:$A$5001,"&lt;="&amp;$B167,Base!$X$3:$X$5001,"&lt;&gt;")=0,"",SUMIFS(Base!$X$3:$X$5001,Base!$B$3:$B$5001,J$162,Base!$A$3:$A$5001,_xlfn.MAXIFS(Base!$A$3:$A$5001,Base!$B$3:$B$5001,J$162,Base!$A$3:$A$5001,"&gt;="&amp;$C$7,Base!$A$3:$A$5001,"&lt;="&amp;$B167,Base!$X$3:$X$5001,"&lt;&gt;"))))</f>
        <v/>
      </c>
      <c r="K167" t="str">
        <f>IF($A167&gt;$B$9,"",IF(COUNTIFS(Base!$B$3:$B$5001,K$162,Base!$A$3:$A$5001,"&gt;="&amp;$C$7,Base!$A$3:$A$5001,"&lt;="&amp;$B167,Base!$X$3:$X$5001,"&lt;&gt;")=0,"",SUMIFS(Base!$X$3:$X$5001,Base!$B$3:$B$5001,K$162,Base!$A$3:$A$5001,_xlfn.MAXIFS(Base!$A$3:$A$5001,Base!$B$3:$B$5001,K$162,Base!$A$3:$A$5001,"&gt;="&amp;$C$7,Base!$A$3:$A$5001,"&lt;="&amp;$B167,Base!$X$3:$X$5001,"&lt;&gt;"))))</f>
        <v/>
      </c>
    </row>
    <row r="168">
      <c r="A168">
        <v>6</v>
      </c>
      <c r="B168" s="152">
        <f>$B$17</f>
        <v>46271</v>
      </c>
      <c r="C168" t="str">
        <f>IF($A168&gt;$B$9,"",IF(COUNTIFS(Base!$B$3:$B$5001,C$162,Base!$A$3:$A$5001,"&gt;="&amp;$C$7,Base!$A$3:$A$5001,"&lt;="&amp;$B168,Base!$X$3:$X$5001,"&lt;&gt;")=0,"",SUMIFS(Base!$X$3:$X$5001,Base!$B$3:$B$5001,C$162,Base!$A$3:$A$5001,_xlfn.MAXIFS(Base!$A$3:$A$5001,Base!$B$3:$B$5001,C$162,Base!$A$3:$A$5001,"&gt;="&amp;$C$7,Base!$A$3:$A$5001,"&lt;="&amp;$B168,Base!$X$3:$X$5001,"&lt;&gt;"))))</f>
        <v/>
      </c>
      <c r="D168" t="str">
        <f>IF($A168&gt;$B$9,"",IF(COUNTIFS(Base!$B$3:$B$5001,D$162,Base!$A$3:$A$5001,"&gt;="&amp;$C$7,Base!$A$3:$A$5001,"&lt;="&amp;$B168,Base!$X$3:$X$5001,"&lt;&gt;")=0,"",SUMIFS(Base!$X$3:$X$5001,Base!$B$3:$B$5001,D$162,Base!$A$3:$A$5001,_xlfn.MAXIFS(Base!$A$3:$A$5001,Base!$B$3:$B$5001,D$162,Base!$A$3:$A$5001,"&gt;="&amp;$C$7,Base!$A$3:$A$5001,"&lt;="&amp;$B168,Base!$X$3:$X$5001,"&lt;&gt;"))))</f>
        <v/>
      </c>
      <c r="E168" t="str">
        <f>IF($A168&gt;$B$9,"",IF(COUNTIFS(Base!$B$3:$B$5001,E$162,Base!$A$3:$A$5001,"&gt;="&amp;$C$7,Base!$A$3:$A$5001,"&lt;="&amp;$B168,Base!$X$3:$X$5001,"&lt;&gt;")=0,"",SUMIFS(Base!$X$3:$X$5001,Base!$B$3:$B$5001,E$162,Base!$A$3:$A$5001,_xlfn.MAXIFS(Base!$A$3:$A$5001,Base!$B$3:$B$5001,E$162,Base!$A$3:$A$5001,"&gt;="&amp;$C$7,Base!$A$3:$A$5001,"&lt;="&amp;$B168,Base!$X$3:$X$5001,"&lt;&gt;"))))</f>
        <v/>
      </c>
      <c r="F168" t="str">
        <f>IF($A168&gt;$B$9,"",IF(COUNTIFS(Base!$B$3:$B$5001,F$162,Base!$A$3:$A$5001,"&gt;="&amp;$C$7,Base!$A$3:$A$5001,"&lt;="&amp;$B168,Base!$X$3:$X$5001,"&lt;&gt;")=0,"",SUMIFS(Base!$X$3:$X$5001,Base!$B$3:$B$5001,F$162,Base!$A$3:$A$5001,_xlfn.MAXIFS(Base!$A$3:$A$5001,Base!$B$3:$B$5001,F$162,Base!$A$3:$A$5001,"&gt;="&amp;$C$7,Base!$A$3:$A$5001,"&lt;="&amp;$B168,Base!$X$3:$X$5001,"&lt;&gt;"))))</f>
        <v/>
      </c>
      <c r="G168" t="str">
        <f>IF($A168&gt;$B$9,"",IF(COUNTIFS(Base!$B$3:$B$5001,G$162,Base!$A$3:$A$5001,"&gt;="&amp;$C$7,Base!$A$3:$A$5001,"&lt;="&amp;$B168,Base!$X$3:$X$5001,"&lt;&gt;")=0,"",SUMIFS(Base!$X$3:$X$5001,Base!$B$3:$B$5001,G$162,Base!$A$3:$A$5001,_xlfn.MAXIFS(Base!$A$3:$A$5001,Base!$B$3:$B$5001,G$162,Base!$A$3:$A$5001,"&gt;="&amp;$C$7,Base!$A$3:$A$5001,"&lt;="&amp;$B168,Base!$X$3:$X$5001,"&lt;&gt;"))))</f>
        <v/>
      </c>
      <c r="H168" t="str">
        <f>IF($A168&gt;$B$9,"",IF(COUNTIFS(Base!$B$3:$B$5001,H$162,Base!$A$3:$A$5001,"&gt;="&amp;$C$7,Base!$A$3:$A$5001,"&lt;="&amp;$B168,Base!$X$3:$X$5001,"&lt;&gt;")=0,"",SUMIFS(Base!$X$3:$X$5001,Base!$B$3:$B$5001,H$162,Base!$A$3:$A$5001,_xlfn.MAXIFS(Base!$A$3:$A$5001,Base!$B$3:$B$5001,H$162,Base!$A$3:$A$5001,"&gt;="&amp;$C$7,Base!$A$3:$A$5001,"&lt;="&amp;$B168,Base!$X$3:$X$5001,"&lt;&gt;"))))</f>
        <v/>
      </c>
      <c r="I168" t="str">
        <f>IF($A168&gt;$B$9,"",IF(COUNTIFS(Base!$B$3:$B$5001,I$162,Base!$A$3:$A$5001,"&gt;="&amp;$C$7,Base!$A$3:$A$5001,"&lt;="&amp;$B168,Base!$X$3:$X$5001,"&lt;&gt;")=0,"",SUMIFS(Base!$X$3:$X$5001,Base!$B$3:$B$5001,I$162,Base!$A$3:$A$5001,_xlfn.MAXIFS(Base!$A$3:$A$5001,Base!$B$3:$B$5001,I$162,Base!$A$3:$A$5001,"&gt;="&amp;$C$7,Base!$A$3:$A$5001,"&lt;="&amp;$B168,Base!$X$3:$X$5001,"&lt;&gt;"))))</f>
        <v/>
      </c>
      <c r="J168" t="str">
        <f>IF($A168&gt;$B$9,"",IF(COUNTIFS(Base!$B$3:$B$5001,J$162,Base!$A$3:$A$5001,"&gt;="&amp;$C$7,Base!$A$3:$A$5001,"&lt;="&amp;$B168,Base!$X$3:$X$5001,"&lt;&gt;")=0,"",SUMIFS(Base!$X$3:$X$5001,Base!$B$3:$B$5001,J$162,Base!$A$3:$A$5001,_xlfn.MAXIFS(Base!$A$3:$A$5001,Base!$B$3:$B$5001,J$162,Base!$A$3:$A$5001,"&gt;="&amp;$C$7,Base!$A$3:$A$5001,"&lt;="&amp;$B168,Base!$X$3:$X$5001,"&lt;&gt;"))))</f>
        <v/>
      </c>
      <c r="K168" t="str">
        <f>IF($A168&gt;$B$9,"",IF(COUNTIFS(Base!$B$3:$B$5001,K$162,Base!$A$3:$A$5001,"&gt;="&amp;$C$7,Base!$A$3:$A$5001,"&lt;="&amp;$B168,Base!$X$3:$X$5001,"&lt;&gt;")=0,"",SUMIFS(Base!$X$3:$X$5001,Base!$B$3:$B$5001,K$162,Base!$A$3:$A$5001,_xlfn.MAXIFS(Base!$A$3:$A$5001,Base!$B$3:$B$5001,K$162,Base!$A$3:$A$5001,"&gt;="&amp;$C$7,Base!$A$3:$A$5001,"&lt;="&amp;$B168,Base!$X$3:$X$5001,"&lt;&gt;"))))</f>
        <v/>
      </c>
    </row>
    <row r="169">
      <c r="A169">
        <v>7</v>
      </c>
      <c r="B169" s="152">
        <f>$B$18</f>
        <v>46272</v>
      </c>
      <c r="C169" t="str">
        <f>IF($A169&gt;$B$9,"",IF(COUNTIFS(Base!$B$3:$B$5001,C$162,Base!$A$3:$A$5001,"&gt;="&amp;$C$7,Base!$A$3:$A$5001,"&lt;="&amp;$B169,Base!$X$3:$X$5001,"&lt;&gt;")=0,"",SUMIFS(Base!$X$3:$X$5001,Base!$B$3:$B$5001,C$162,Base!$A$3:$A$5001,_xlfn.MAXIFS(Base!$A$3:$A$5001,Base!$B$3:$B$5001,C$162,Base!$A$3:$A$5001,"&gt;="&amp;$C$7,Base!$A$3:$A$5001,"&lt;="&amp;$B169,Base!$X$3:$X$5001,"&lt;&gt;"))))</f>
        <v/>
      </c>
      <c r="D169" t="str">
        <f>IF($A169&gt;$B$9,"",IF(COUNTIFS(Base!$B$3:$B$5001,D$162,Base!$A$3:$A$5001,"&gt;="&amp;$C$7,Base!$A$3:$A$5001,"&lt;="&amp;$B169,Base!$X$3:$X$5001,"&lt;&gt;")=0,"",SUMIFS(Base!$X$3:$X$5001,Base!$B$3:$B$5001,D$162,Base!$A$3:$A$5001,_xlfn.MAXIFS(Base!$A$3:$A$5001,Base!$B$3:$B$5001,D$162,Base!$A$3:$A$5001,"&gt;="&amp;$C$7,Base!$A$3:$A$5001,"&lt;="&amp;$B169,Base!$X$3:$X$5001,"&lt;&gt;"))))</f>
        <v/>
      </c>
      <c r="E169" t="str">
        <f>IF($A169&gt;$B$9,"",IF(COUNTIFS(Base!$B$3:$B$5001,E$162,Base!$A$3:$A$5001,"&gt;="&amp;$C$7,Base!$A$3:$A$5001,"&lt;="&amp;$B169,Base!$X$3:$X$5001,"&lt;&gt;")=0,"",SUMIFS(Base!$X$3:$X$5001,Base!$B$3:$B$5001,E$162,Base!$A$3:$A$5001,_xlfn.MAXIFS(Base!$A$3:$A$5001,Base!$B$3:$B$5001,E$162,Base!$A$3:$A$5001,"&gt;="&amp;$C$7,Base!$A$3:$A$5001,"&lt;="&amp;$B169,Base!$X$3:$X$5001,"&lt;&gt;"))))</f>
        <v/>
      </c>
      <c r="F169" t="str">
        <f>IF($A169&gt;$B$9,"",IF(COUNTIFS(Base!$B$3:$B$5001,F$162,Base!$A$3:$A$5001,"&gt;="&amp;$C$7,Base!$A$3:$A$5001,"&lt;="&amp;$B169,Base!$X$3:$X$5001,"&lt;&gt;")=0,"",SUMIFS(Base!$X$3:$X$5001,Base!$B$3:$B$5001,F$162,Base!$A$3:$A$5001,_xlfn.MAXIFS(Base!$A$3:$A$5001,Base!$B$3:$B$5001,F$162,Base!$A$3:$A$5001,"&gt;="&amp;$C$7,Base!$A$3:$A$5001,"&lt;="&amp;$B169,Base!$X$3:$X$5001,"&lt;&gt;"))))</f>
        <v/>
      </c>
      <c r="G169" t="str">
        <f>IF($A169&gt;$B$9,"",IF(COUNTIFS(Base!$B$3:$B$5001,G$162,Base!$A$3:$A$5001,"&gt;="&amp;$C$7,Base!$A$3:$A$5001,"&lt;="&amp;$B169,Base!$X$3:$X$5001,"&lt;&gt;")=0,"",SUMIFS(Base!$X$3:$X$5001,Base!$B$3:$B$5001,G$162,Base!$A$3:$A$5001,_xlfn.MAXIFS(Base!$A$3:$A$5001,Base!$B$3:$B$5001,G$162,Base!$A$3:$A$5001,"&gt;="&amp;$C$7,Base!$A$3:$A$5001,"&lt;="&amp;$B169,Base!$X$3:$X$5001,"&lt;&gt;"))))</f>
        <v/>
      </c>
      <c r="H169" t="str">
        <f>IF($A169&gt;$B$9,"",IF(COUNTIFS(Base!$B$3:$B$5001,H$162,Base!$A$3:$A$5001,"&gt;="&amp;$C$7,Base!$A$3:$A$5001,"&lt;="&amp;$B169,Base!$X$3:$X$5001,"&lt;&gt;")=0,"",SUMIFS(Base!$X$3:$X$5001,Base!$B$3:$B$5001,H$162,Base!$A$3:$A$5001,_xlfn.MAXIFS(Base!$A$3:$A$5001,Base!$B$3:$B$5001,H$162,Base!$A$3:$A$5001,"&gt;="&amp;$C$7,Base!$A$3:$A$5001,"&lt;="&amp;$B169,Base!$X$3:$X$5001,"&lt;&gt;"))))</f>
        <v/>
      </c>
      <c r="I169" t="str">
        <f>IF($A169&gt;$B$9,"",IF(COUNTIFS(Base!$B$3:$B$5001,I$162,Base!$A$3:$A$5001,"&gt;="&amp;$C$7,Base!$A$3:$A$5001,"&lt;="&amp;$B169,Base!$X$3:$X$5001,"&lt;&gt;")=0,"",SUMIFS(Base!$X$3:$X$5001,Base!$B$3:$B$5001,I$162,Base!$A$3:$A$5001,_xlfn.MAXIFS(Base!$A$3:$A$5001,Base!$B$3:$B$5001,I$162,Base!$A$3:$A$5001,"&gt;="&amp;$C$7,Base!$A$3:$A$5001,"&lt;="&amp;$B169,Base!$X$3:$X$5001,"&lt;&gt;"))))</f>
        <v/>
      </c>
      <c r="J169" t="str">
        <f>IF($A169&gt;$B$9,"",IF(COUNTIFS(Base!$B$3:$B$5001,J$162,Base!$A$3:$A$5001,"&gt;="&amp;$C$7,Base!$A$3:$A$5001,"&lt;="&amp;$B169,Base!$X$3:$X$5001,"&lt;&gt;")=0,"",SUMIFS(Base!$X$3:$X$5001,Base!$B$3:$B$5001,J$162,Base!$A$3:$A$5001,_xlfn.MAXIFS(Base!$A$3:$A$5001,Base!$B$3:$B$5001,J$162,Base!$A$3:$A$5001,"&gt;="&amp;$C$7,Base!$A$3:$A$5001,"&lt;="&amp;$B169,Base!$X$3:$X$5001,"&lt;&gt;"))))</f>
        <v/>
      </c>
      <c r="K169" t="str">
        <f>IF($A169&gt;$B$9,"",IF(COUNTIFS(Base!$B$3:$B$5001,K$162,Base!$A$3:$A$5001,"&gt;="&amp;$C$7,Base!$A$3:$A$5001,"&lt;="&amp;$B169,Base!$X$3:$X$5001,"&lt;&gt;")=0,"",SUMIFS(Base!$X$3:$X$5001,Base!$B$3:$B$5001,K$162,Base!$A$3:$A$5001,_xlfn.MAXIFS(Base!$A$3:$A$5001,Base!$B$3:$B$5001,K$162,Base!$A$3:$A$5001,"&gt;="&amp;$C$7,Base!$A$3:$A$5001,"&lt;="&amp;$B169,Base!$X$3:$X$5001,"&lt;&gt;"))))</f>
        <v/>
      </c>
    </row>
    <row r="170">
      <c r="A170">
        <v>8</v>
      </c>
      <c r="B170" s="152">
        <f>$B$19</f>
        <v>46273</v>
      </c>
      <c r="C170" t="str">
        <f>IF($A170&gt;$B$9,"",IF(COUNTIFS(Base!$B$3:$B$5001,C$162,Base!$A$3:$A$5001,"&gt;="&amp;$C$7,Base!$A$3:$A$5001,"&lt;="&amp;$B170,Base!$X$3:$X$5001,"&lt;&gt;")=0,"",SUMIFS(Base!$X$3:$X$5001,Base!$B$3:$B$5001,C$162,Base!$A$3:$A$5001,_xlfn.MAXIFS(Base!$A$3:$A$5001,Base!$B$3:$B$5001,C$162,Base!$A$3:$A$5001,"&gt;="&amp;$C$7,Base!$A$3:$A$5001,"&lt;="&amp;$B170,Base!$X$3:$X$5001,"&lt;&gt;"))))</f>
        <v/>
      </c>
      <c r="D170" t="str">
        <f>IF($A170&gt;$B$9,"",IF(COUNTIFS(Base!$B$3:$B$5001,D$162,Base!$A$3:$A$5001,"&gt;="&amp;$C$7,Base!$A$3:$A$5001,"&lt;="&amp;$B170,Base!$X$3:$X$5001,"&lt;&gt;")=0,"",SUMIFS(Base!$X$3:$X$5001,Base!$B$3:$B$5001,D$162,Base!$A$3:$A$5001,_xlfn.MAXIFS(Base!$A$3:$A$5001,Base!$B$3:$B$5001,D$162,Base!$A$3:$A$5001,"&gt;="&amp;$C$7,Base!$A$3:$A$5001,"&lt;="&amp;$B170,Base!$X$3:$X$5001,"&lt;&gt;"))))</f>
        <v/>
      </c>
      <c r="E170" t="str">
        <f>IF($A170&gt;$B$9,"",IF(COUNTIFS(Base!$B$3:$B$5001,E$162,Base!$A$3:$A$5001,"&gt;="&amp;$C$7,Base!$A$3:$A$5001,"&lt;="&amp;$B170,Base!$X$3:$X$5001,"&lt;&gt;")=0,"",SUMIFS(Base!$X$3:$X$5001,Base!$B$3:$B$5001,E$162,Base!$A$3:$A$5001,_xlfn.MAXIFS(Base!$A$3:$A$5001,Base!$B$3:$B$5001,E$162,Base!$A$3:$A$5001,"&gt;="&amp;$C$7,Base!$A$3:$A$5001,"&lt;="&amp;$B170,Base!$X$3:$X$5001,"&lt;&gt;"))))</f>
        <v/>
      </c>
      <c r="F170" t="str">
        <f>IF($A170&gt;$B$9,"",IF(COUNTIFS(Base!$B$3:$B$5001,F$162,Base!$A$3:$A$5001,"&gt;="&amp;$C$7,Base!$A$3:$A$5001,"&lt;="&amp;$B170,Base!$X$3:$X$5001,"&lt;&gt;")=0,"",SUMIFS(Base!$X$3:$X$5001,Base!$B$3:$B$5001,F$162,Base!$A$3:$A$5001,_xlfn.MAXIFS(Base!$A$3:$A$5001,Base!$B$3:$B$5001,F$162,Base!$A$3:$A$5001,"&gt;="&amp;$C$7,Base!$A$3:$A$5001,"&lt;="&amp;$B170,Base!$X$3:$X$5001,"&lt;&gt;"))))</f>
        <v/>
      </c>
      <c r="G170" t="str">
        <f>IF($A170&gt;$B$9,"",IF(COUNTIFS(Base!$B$3:$B$5001,G$162,Base!$A$3:$A$5001,"&gt;="&amp;$C$7,Base!$A$3:$A$5001,"&lt;="&amp;$B170,Base!$X$3:$X$5001,"&lt;&gt;")=0,"",SUMIFS(Base!$X$3:$X$5001,Base!$B$3:$B$5001,G$162,Base!$A$3:$A$5001,_xlfn.MAXIFS(Base!$A$3:$A$5001,Base!$B$3:$B$5001,G$162,Base!$A$3:$A$5001,"&gt;="&amp;$C$7,Base!$A$3:$A$5001,"&lt;="&amp;$B170,Base!$X$3:$X$5001,"&lt;&gt;"))))</f>
        <v/>
      </c>
      <c r="H170" t="str">
        <f>IF($A170&gt;$B$9,"",IF(COUNTIFS(Base!$B$3:$B$5001,H$162,Base!$A$3:$A$5001,"&gt;="&amp;$C$7,Base!$A$3:$A$5001,"&lt;="&amp;$B170,Base!$X$3:$X$5001,"&lt;&gt;")=0,"",SUMIFS(Base!$X$3:$X$5001,Base!$B$3:$B$5001,H$162,Base!$A$3:$A$5001,_xlfn.MAXIFS(Base!$A$3:$A$5001,Base!$B$3:$B$5001,H$162,Base!$A$3:$A$5001,"&gt;="&amp;$C$7,Base!$A$3:$A$5001,"&lt;="&amp;$B170,Base!$X$3:$X$5001,"&lt;&gt;"))))</f>
        <v/>
      </c>
      <c r="I170" t="str">
        <f>IF($A170&gt;$B$9,"",IF(COUNTIFS(Base!$B$3:$B$5001,I$162,Base!$A$3:$A$5001,"&gt;="&amp;$C$7,Base!$A$3:$A$5001,"&lt;="&amp;$B170,Base!$X$3:$X$5001,"&lt;&gt;")=0,"",SUMIFS(Base!$X$3:$X$5001,Base!$B$3:$B$5001,I$162,Base!$A$3:$A$5001,_xlfn.MAXIFS(Base!$A$3:$A$5001,Base!$B$3:$B$5001,I$162,Base!$A$3:$A$5001,"&gt;="&amp;$C$7,Base!$A$3:$A$5001,"&lt;="&amp;$B170,Base!$X$3:$X$5001,"&lt;&gt;"))))</f>
        <v/>
      </c>
      <c r="J170" t="str">
        <f>IF($A170&gt;$B$9,"",IF(COUNTIFS(Base!$B$3:$B$5001,J$162,Base!$A$3:$A$5001,"&gt;="&amp;$C$7,Base!$A$3:$A$5001,"&lt;="&amp;$B170,Base!$X$3:$X$5001,"&lt;&gt;")=0,"",SUMIFS(Base!$X$3:$X$5001,Base!$B$3:$B$5001,J$162,Base!$A$3:$A$5001,_xlfn.MAXIFS(Base!$A$3:$A$5001,Base!$B$3:$B$5001,J$162,Base!$A$3:$A$5001,"&gt;="&amp;$C$7,Base!$A$3:$A$5001,"&lt;="&amp;$B170,Base!$X$3:$X$5001,"&lt;&gt;"))))</f>
        <v/>
      </c>
      <c r="K170" t="str">
        <f>IF($A170&gt;$B$9,"",IF(COUNTIFS(Base!$B$3:$B$5001,K$162,Base!$A$3:$A$5001,"&gt;="&amp;$C$7,Base!$A$3:$A$5001,"&lt;="&amp;$B170,Base!$X$3:$X$5001,"&lt;&gt;")=0,"",SUMIFS(Base!$X$3:$X$5001,Base!$B$3:$B$5001,K$162,Base!$A$3:$A$5001,_xlfn.MAXIFS(Base!$A$3:$A$5001,Base!$B$3:$B$5001,K$162,Base!$A$3:$A$5001,"&gt;="&amp;$C$7,Base!$A$3:$A$5001,"&lt;="&amp;$B170,Base!$X$3:$X$5001,"&lt;&gt;"))))</f>
        <v/>
      </c>
    </row>
    <row r="171">
      <c r="A171">
        <v>9</v>
      </c>
      <c r="B171" s="152">
        <f>$B$20</f>
        <v>46274</v>
      </c>
      <c r="C171" t="str">
        <f>IF($A171&gt;$B$9,"",IF(COUNTIFS(Base!$B$3:$B$5001,C$162,Base!$A$3:$A$5001,"&gt;="&amp;$C$7,Base!$A$3:$A$5001,"&lt;="&amp;$B171,Base!$X$3:$X$5001,"&lt;&gt;")=0,"",SUMIFS(Base!$X$3:$X$5001,Base!$B$3:$B$5001,C$162,Base!$A$3:$A$5001,_xlfn.MAXIFS(Base!$A$3:$A$5001,Base!$B$3:$B$5001,C$162,Base!$A$3:$A$5001,"&gt;="&amp;$C$7,Base!$A$3:$A$5001,"&lt;="&amp;$B171,Base!$X$3:$X$5001,"&lt;&gt;"))))</f>
        <v/>
      </c>
      <c r="D171" t="str">
        <f>IF($A171&gt;$B$9,"",IF(COUNTIFS(Base!$B$3:$B$5001,D$162,Base!$A$3:$A$5001,"&gt;="&amp;$C$7,Base!$A$3:$A$5001,"&lt;="&amp;$B171,Base!$X$3:$X$5001,"&lt;&gt;")=0,"",SUMIFS(Base!$X$3:$X$5001,Base!$B$3:$B$5001,D$162,Base!$A$3:$A$5001,_xlfn.MAXIFS(Base!$A$3:$A$5001,Base!$B$3:$B$5001,D$162,Base!$A$3:$A$5001,"&gt;="&amp;$C$7,Base!$A$3:$A$5001,"&lt;="&amp;$B171,Base!$X$3:$X$5001,"&lt;&gt;"))))</f>
        <v/>
      </c>
      <c r="E171" t="str">
        <f>IF($A171&gt;$B$9,"",IF(COUNTIFS(Base!$B$3:$B$5001,E$162,Base!$A$3:$A$5001,"&gt;="&amp;$C$7,Base!$A$3:$A$5001,"&lt;="&amp;$B171,Base!$X$3:$X$5001,"&lt;&gt;")=0,"",SUMIFS(Base!$X$3:$X$5001,Base!$B$3:$B$5001,E$162,Base!$A$3:$A$5001,_xlfn.MAXIFS(Base!$A$3:$A$5001,Base!$B$3:$B$5001,E$162,Base!$A$3:$A$5001,"&gt;="&amp;$C$7,Base!$A$3:$A$5001,"&lt;="&amp;$B171,Base!$X$3:$X$5001,"&lt;&gt;"))))</f>
        <v/>
      </c>
      <c r="F171" t="str">
        <f>IF($A171&gt;$B$9,"",IF(COUNTIFS(Base!$B$3:$B$5001,F$162,Base!$A$3:$A$5001,"&gt;="&amp;$C$7,Base!$A$3:$A$5001,"&lt;="&amp;$B171,Base!$X$3:$X$5001,"&lt;&gt;")=0,"",SUMIFS(Base!$X$3:$X$5001,Base!$B$3:$B$5001,F$162,Base!$A$3:$A$5001,_xlfn.MAXIFS(Base!$A$3:$A$5001,Base!$B$3:$B$5001,F$162,Base!$A$3:$A$5001,"&gt;="&amp;$C$7,Base!$A$3:$A$5001,"&lt;="&amp;$B171,Base!$X$3:$X$5001,"&lt;&gt;"))))</f>
        <v/>
      </c>
      <c r="G171" t="str">
        <f>IF($A171&gt;$B$9,"",IF(COUNTIFS(Base!$B$3:$B$5001,G$162,Base!$A$3:$A$5001,"&gt;="&amp;$C$7,Base!$A$3:$A$5001,"&lt;="&amp;$B171,Base!$X$3:$X$5001,"&lt;&gt;")=0,"",SUMIFS(Base!$X$3:$X$5001,Base!$B$3:$B$5001,G$162,Base!$A$3:$A$5001,_xlfn.MAXIFS(Base!$A$3:$A$5001,Base!$B$3:$B$5001,G$162,Base!$A$3:$A$5001,"&gt;="&amp;$C$7,Base!$A$3:$A$5001,"&lt;="&amp;$B171,Base!$X$3:$X$5001,"&lt;&gt;"))))</f>
        <v/>
      </c>
      <c r="H171" t="str">
        <f>IF($A171&gt;$B$9,"",IF(COUNTIFS(Base!$B$3:$B$5001,H$162,Base!$A$3:$A$5001,"&gt;="&amp;$C$7,Base!$A$3:$A$5001,"&lt;="&amp;$B171,Base!$X$3:$X$5001,"&lt;&gt;")=0,"",SUMIFS(Base!$X$3:$X$5001,Base!$B$3:$B$5001,H$162,Base!$A$3:$A$5001,_xlfn.MAXIFS(Base!$A$3:$A$5001,Base!$B$3:$B$5001,H$162,Base!$A$3:$A$5001,"&gt;="&amp;$C$7,Base!$A$3:$A$5001,"&lt;="&amp;$B171,Base!$X$3:$X$5001,"&lt;&gt;"))))</f>
        <v/>
      </c>
      <c r="I171" t="str">
        <f>IF($A171&gt;$B$9,"",IF(COUNTIFS(Base!$B$3:$B$5001,I$162,Base!$A$3:$A$5001,"&gt;="&amp;$C$7,Base!$A$3:$A$5001,"&lt;="&amp;$B171,Base!$X$3:$X$5001,"&lt;&gt;")=0,"",SUMIFS(Base!$X$3:$X$5001,Base!$B$3:$B$5001,I$162,Base!$A$3:$A$5001,_xlfn.MAXIFS(Base!$A$3:$A$5001,Base!$B$3:$B$5001,I$162,Base!$A$3:$A$5001,"&gt;="&amp;$C$7,Base!$A$3:$A$5001,"&lt;="&amp;$B171,Base!$X$3:$X$5001,"&lt;&gt;"))))</f>
        <v/>
      </c>
      <c r="J171" t="str">
        <f>IF($A171&gt;$B$9,"",IF(COUNTIFS(Base!$B$3:$B$5001,J$162,Base!$A$3:$A$5001,"&gt;="&amp;$C$7,Base!$A$3:$A$5001,"&lt;="&amp;$B171,Base!$X$3:$X$5001,"&lt;&gt;")=0,"",SUMIFS(Base!$X$3:$X$5001,Base!$B$3:$B$5001,J$162,Base!$A$3:$A$5001,_xlfn.MAXIFS(Base!$A$3:$A$5001,Base!$B$3:$B$5001,J$162,Base!$A$3:$A$5001,"&gt;="&amp;$C$7,Base!$A$3:$A$5001,"&lt;="&amp;$B171,Base!$X$3:$X$5001,"&lt;&gt;"))))</f>
        <v/>
      </c>
      <c r="K171" t="str">
        <f>IF($A171&gt;$B$9,"",IF(COUNTIFS(Base!$B$3:$B$5001,K$162,Base!$A$3:$A$5001,"&gt;="&amp;$C$7,Base!$A$3:$A$5001,"&lt;="&amp;$B171,Base!$X$3:$X$5001,"&lt;&gt;")=0,"",SUMIFS(Base!$X$3:$X$5001,Base!$B$3:$B$5001,K$162,Base!$A$3:$A$5001,_xlfn.MAXIFS(Base!$A$3:$A$5001,Base!$B$3:$B$5001,K$162,Base!$A$3:$A$5001,"&gt;="&amp;$C$7,Base!$A$3:$A$5001,"&lt;="&amp;$B171,Base!$X$3:$X$5001,"&lt;&gt;"))))</f>
        <v/>
      </c>
    </row>
    <row r="172">
      <c r="A172">
        <v>10</v>
      </c>
      <c r="B172" s="152">
        <f>$B$21</f>
        <v>46275</v>
      </c>
      <c r="C172" t="str">
        <f>IF($A172&gt;$B$9,"",IF(COUNTIFS(Base!$B$3:$B$5001,C$162,Base!$A$3:$A$5001,"&gt;="&amp;$C$7,Base!$A$3:$A$5001,"&lt;="&amp;$B172,Base!$X$3:$X$5001,"&lt;&gt;")=0,"",SUMIFS(Base!$X$3:$X$5001,Base!$B$3:$B$5001,C$162,Base!$A$3:$A$5001,_xlfn.MAXIFS(Base!$A$3:$A$5001,Base!$B$3:$B$5001,C$162,Base!$A$3:$A$5001,"&gt;="&amp;$C$7,Base!$A$3:$A$5001,"&lt;="&amp;$B172,Base!$X$3:$X$5001,"&lt;&gt;"))))</f>
        <v/>
      </c>
      <c r="D172" t="str">
        <f>IF($A172&gt;$B$9,"",IF(COUNTIFS(Base!$B$3:$B$5001,D$162,Base!$A$3:$A$5001,"&gt;="&amp;$C$7,Base!$A$3:$A$5001,"&lt;="&amp;$B172,Base!$X$3:$X$5001,"&lt;&gt;")=0,"",SUMIFS(Base!$X$3:$X$5001,Base!$B$3:$B$5001,D$162,Base!$A$3:$A$5001,_xlfn.MAXIFS(Base!$A$3:$A$5001,Base!$B$3:$B$5001,D$162,Base!$A$3:$A$5001,"&gt;="&amp;$C$7,Base!$A$3:$A$5001,"&lt;="&amp;$B172,Base!$X$3:$X$5001,"&lt;&gt;"))))</f>
        <v/>
      </c>
      <c r="E172" t="str">
        <f>IF($A172&gt;$B$9,"",IF(COUNTIFS(Base!$B$3:$B$5001,E$162,Base!$A$3:$A$5001,"&gt;="&amp;$C$7,Base!$A$3:$A$5001,"&lt;="&amp;$B172,Base!$X$3:$X$5001,"&lt;&gt;")=0,"",SUMIFS(Base!$X$3:$X$5001,Base!$B$3:$B$5001,E$162,Base!$A$3:$A$5001,_xlfn.MAXIFS(Base!$A$3:$A$5001,Base!$B$3:$B$5001,E$162,Base!$A$3:$A$5001,"&gt;="&amp;$C$7,Base!$A$3:$A$5001,"&lt;="&amp;$B172,Base!$X$3:$X$5001,"&lt;&gt;"))))</f>
        <v/>
      </c>
      <c r="F172" t="str">
        <f>IF($A172&gt;$B$9,"",IF(COUNTIFS(Base!$B$3:$B$5001,F$162,Base!$A$3:$A$5001,"&gt;="&amp;$C$7,Base!$A$3:$A$5001,"&lt;="&amp;$B172,Base!$X$3:$X$5001,"&lt;&gt;")=0,"",SUMIFS(Base!$X$3:$X$5001,Base!$B$3:$B$5001,F$162,Base!$A$3:$A$5001,_xlfn.MAXIFS(Base!$A$3:$A$5001,Base!$B$3:$B$5001,F$162,Base!$A$3:$A$5001,"&gt;="&amp;$C$7,Base!$A$3:$A$5001,"&lt;="&amp;$B172,Base!$X$3:$X$5001,"&lt;&gt;"))))</f>
        <v/>
      </c>
      <c r="G172" t="str">
        <f>IF($A172&gt;$B$9,"",IF(COUNTIFS(Base!$B$3:$B$5001,G$162,Base!$A$3:$A$5001,"&gt;="&amp;$C$7,Base!$A$3:$A$5001,"&lt;="&amp;$B172,Base!$X$3:$X$5001,"&lt;&gt;")=0,"",SUMIFS(Base!$X$3:$X$5001,Base!$B$3:$B$5001,G$162,Base!$A$3:$A$5001,_xlfn.MAXIFS(Base!$A$3:$A$5001,Base!$B$3:$B$5001,G$162,Base!$A$3:$A$5001,"&gt;="&amp;$C$7,Base!$A$3:$A$5001,"&lt;="&amp;$B172,Base!$X$3:$X$5001,"&lt;&gt;"))))</f>
        <v/>
      </c>
      <c r="H172" t="str">
        <f>IF($A172&gt;$B$9,"",IF(COUNTIFS(Base!$B$3:$B$5001,H$162,Base!$A$3:$A$5001,"&gt;="&amp;$C$7,Base!$A$3:$A$5001,"&lt;="&amp;$B172,Base!$X$3:$X$5001,"&lt;&gt;")=0,"",SUMIFS(Base!$X$3:$X$5001,Base!$B$3:$B$5001,H$162,Base!$A$3:$A$5001,_xlfn.MAXIFS(Base!$A$3:$A$5001,Base!$B$3:$B$5001,H$162,Base!$A$3:$A$5001,"&gt;="&amp;$C$7,Base!$A$3:$A$5001,"&lt;="&amp;$B172,Base!$X$3:$X$5001,"&lt;&gt;"))))</f>
        <v/>
      </c>
      <c r="I172" t="str">
        <f>IF($A172&gt;$B$9,"",IF(COUNTIFS(Base!$B$3:$B$5001,I$162,Base!$A$3:$A$5001,"&gt;="&amp;$C$7,Base!$A$3:$A$5001,"&lt;="&amp;$B172,Base!$X$3:$X$5001,"&lt;&gt;")=0,"",SUMIFS(Base!$X$3:$X$5001,Base!$B$3:$B$5001,I$162,Base!$A$3:$A$5001,_xlfn.MAXIFS(Base!$A$3:$A$5001,Base!$B$3:$B$5001,I$162,Base!$A$3:$A$5001,"&gt;="&amp;$C$7,Base!$A$3:$A$5001,"&lt;="&amp;$B172,Base!$X$3:$X$5001,"&lt;&gt;"))))</f>
        <v/>
      </c>
      <c r="J172" t="str">
        <f>IF($A172&gt;$B$9,"",IF(COUNTIFS(Base!$B$3:$B$5001,J$162,Base!$A$3:$A$5001,"&gt;="&amp;$C$7,Base!$A$3:$A$5001,"&lt;="&amp;$B172,Base!$X$3:$X$5001,"&lt;&gt;")=0,"",SUMIFS(Base!$X$3:$X$5001,Base!$B$3:$B$5001,J$162,Base!$A$3:$A$5001,_xlfn.MAXIFS(Base!$A$3:$A$5001,Base!$B$3:$B$5001,J$162,Base!$A$3:$A$5001,"&gt;="&amp;$C$7,Base!$A$3:$A$5001,"&lt;="&amp;$B172,Base!$X$3:$X$5001,"&lt;&gt;"))))</f>
        <v/>
      </c>
      <c r="K172" t="str">
        <f>IF($A172&gt;$B$9,"",IF(COUNTIFS(Base!$B$3:$B$5001,K$162,Base!$A$3:$A$5001,"&gt;="&amp;$C$7,Base!$A$3:$A$5001,"&lt;="&amp;$B172,Base!$X$3:$X$5001,"&lt;&gt;")=0,"",SUMIFS(Base!$X$3:$X$5001,Base!$B$3:$B$5001,K$162,Base!$A$3:$A$5001,_xlfn.MAXIFS(Base!$A$3:$A$5001,Base!$B$3:$B$5001,K$162,Base!$A$3:$A$5001,"&gt;="&amp;$C$7,Base!$A$3:$A$5001,"&lt;="&amp;$B172,Base!$X$3:$X$5001,"&lt;&gt;"))))</f>
        <v/>
      </c>
    </row>
    <row r="173">
      <c r="A173">
        <v>11</v>
      </c>
      <c r="B173" s="152">
        <f>$B$22</f>
        <v>46276</v>
      </c>
      <c r="C173" t="str">
        <f>IF($A173&gt;$B$9,"",IF(COUNTIFS(Base!$B$3:$B$5001,C$162,Base!$A$3:$A$5001,"&gt;="&amp;$C$7,Base!$A$3:$A$5001,"&lt;="&amp;$B173,Base!$X$3:$X$5001,"&lt;&gt;")=0,"",SUMIFS(Base!$X$3:$X$5001,Base!$B$3:$B$5001,C$162,Base!$A$3:$A$5001,_xlfn.MAXIFS(Base!$A$3:$A$5001,Base!$B$3:$B$5001,C$162,Base!$A$3:$A$5001,"&gt;="&amp;$C$7,Base!$A$3:$A$5001,"&lt;="&amp;$B173,Base!$X$3:$X$5001,"&lt;&gt;"))))</f>
        <v/>
      </c>
      <c r="D173" t="str">
        <f>IF($A173&gt;$B$9,"",IF(COUNTIFS(Base!$B$3:$B$5001,D$162,Base!$A$3:$A$5001,"&gt;="&amp;$C$7,Base!$A$3:$A$5001,"&lt;="&amp;$B173,Base!$X$3:$X$5001,"&lt;&gt;")=0,"",SUMIFS(Base!$X$3:$X$5001,Base!$B$3:$B$5001,D$162,Base!$A$3:$A$5001,_xlfn.MAXIFS(Base!$A$3:$A$5001,Base!$B$3:$B$5001,D$162,Base!$A$3:$A$5001,"&gt;="&amp;$C$7,Base!$A$3:$A$5001,"&lt;="&amp;$B173,Base!$X$3:$X$5001,"&lt;&gt;"))))</f>
        <v/>
      </c>
      <c r="E173" t="str">
        <f>IF($A173&gt;$B$9,"",IF(COUNTIFS(Base!$B$3:$B$5001,E$162,Base!$A$3:$A$5001,"&gt;="&amp;$C$7,Base!$A$3:$A$5001,"&lt;="&amp;$B173,Base!$X$3:$X$5001,"&lt;&gt;")=0,"",SUMIFS(Base!$X$3:$X$5001,Base!$B$3:$B$5001,E$162,Base!$A$3:$A$5001,_xlfn.MAXIFS(Base!$A$3:$A$5001,Base!$B$3:$B$5001,E$162,Base!$A$3:$A$5001,"&gt;="&amp;$C$7,Base!$A$3:$A$5001,"&lt;="&amp;$B173,Base!$X$3:$X$5001,"&lt;&gt;"))))</f>
        <v/>
      </c>
      <c r="F173" t="str">
        <f>IF($A173&gt;$B$9,"",IF(COUNTIFS(Base!$B$3:$B$5001,F$162,Base!$A$3:$A$5001,"&gt;="&amp;$C$7,Base!$A$3:$A$5001,"&lt;="&amp;$B173,Base!$X$3:$X$5001,"&lt;&gt;")=0,"",SUMIFS(Base!$X$3:$X$5001,Base!$B$3:$B$5001,F$162,Base!$A$3:$A$5001,_xlfn.MAXIFS(Base!$A$3:$A$5001,Base!$B$3:$B$5001,F$162,Base!$A$3:$A$5001,"&gt;="&amp;$C$7,Base!$A$3:$A$5001,"&lt;="&amp;$B173,Base!$X$3:$X$5001,"&lt;&gt;"))))</f>
        <v/>
      </c>
      <c r="G173" t="str">
        <f>IF($A173&gt;$B$9,"",IF(COUNTIFS(Base!$B$3:$B$5001,G$162,Base!$A$3:$A$5001,"&gt;="&amp;$C$7,Base!$A$3:$A$5001,"&lt;="&amp;$B173,Base!$X$3:$X$5001,"&lt;&gt;")=0,"",SUMIFS(Base!$X$3:$X$5001,Base!$B$3:$B$5001,G$162,Base!$A$3:$A$5001,_xlfn.MAXIFS(Base!$A$3:$A$5001,Base!$B$3:$B$5001,G$162,Base!$A$3:$A$5001,"&gt;="&amp;$C$7,Base!$A$3:$A$5001,"&lt;="&amp;$B173,Base!$X$3:$X$5001,"&lt;&gt;"))))</f>
        <v/>
      </c>
      <c r="H173" t="str">
        <f>IF($A173&gt;$B$9,"",IF(COUNTIFS(Base!$B$3:$B$5001,H$162,Base!$A$3:$A$5001,"&gt;="&amp;$C$7,Base!$A$3:$A$5001,"&lt;="&amp;$B173,Base!$X$3:$X$5001,"&lt;&gt;")=0,"",SUMIFS(Base!$X$3:$X$5001,Base!$B$3:$B$5001,H$162,Base!$A$3:$A$5001,_xlfn.MAXIFS(Base!$A$3:$A$5001,Base!$B$3:$B$5001,H$162,Base!$A$3:$A$5001,"&gt;="&amp;$C$7,Base!$A$3:$A$5001,"&lt;="&amp;$B173,Base!$X$3:$X$5001,"&lt;&gt;"))))</f>
        <v/>
      </c>
      <c r="I173" t="str">
        <f>IF($A173&gt;$B$9,"",IF(COUNTIFS(Base!$B$3:$B$5001,I$162,Base!$A$3:$A$5001,"&gt;="&amp;$C$7,Base!$A$3:$A$5001,"&lt;="&amp;$B173,Base!$X$3:$X$5001,"&lt;&gt;")=0,"",SUMIFS(Base!$X$3:$X$5001,Base!$B$3:$B$5001,I$162,Base!$A$3:$A$5001,_xlfn.MAXIFS(Base!$A$3:$A$5001,Base!$B$3:$B$5001,I$162,Base!$A$3:$A$5001,"&gt;="&amp;$C$7,Base!$A$3:$A$5001,"&lt;="&amp;$B173,Base!$X$3:$X$5001,"&lt;&gt;"))))</f>
        <v/>
      </c>
      <c r="J173" t="str">
        <f>IF($A173&gt;$B$9,"",IF(COUNTIFS(Base!$B$3:$B$5001,J$162,Base!$A$3:$A$5001,"&gt;="&amp;$C$7,Base!$A$3:$A$5001,"&lt;="&amp;$B173,Base!$X$3:$X$5001,"&lt;&gt;")=0,"",SUMIFS(Base!$X$3:$X$5001,Base!$B$3:$B$5001,J$162,Base!$A$3:$A$5001,_xlfn.MAXIFS(Base!$A$3:$A$5001,Base!$B$3:$B$5001,J$162,Base!$A$3:$A$5001,"&gt;="&amp;$C$7,Base!$A$3:$A$5001,"&lt;="&amp;$B173,Base!$X$3:$X$5001,"&lt;&gt;"))))</f>
        <v/>
      </c>
      <c r="K173" t="str">
        <f>IF($A173&gt;$B$9,"",IF(COUNTIFS(Base!$B$3:$B$5001,K$162,Base!$A$3:$A$5001,"&gt;="&amp;$C$7,Base!$A$3:$A$5001,"&lt;="&amp;$B173,Base!$X$3:$X$5001,"&lt;&gt;")=0,"",SUMIFS(Base!$X$3:$X$5001,Base!$B$3:$B$5001,K$162,Base!$A$3:$A$5001,_xlfn.MAXIFS(Base!$A$3:$A$5001,Base!$B$3:$B$5001,K$162,Base!$A$3:$A$5001,"&gt;="&amp;$C$7,Base!$A$3:$A$5001,"&lt;="&amp;$B173,Base!$X$3:$X$5001,"&lt;&gt;"))))</f>
        <v/>
      </c>
    </row>
    <row r="174">
      <c r="A174">
        <v>12</v>
      </c>
      <c r="B174" s="152">
        <f>$B$23</f>
        <v>46277</v>
      </c>
      <c r="C174" t="str">
        <f>IF($A174&gt;$B$9,"",IF(COUNTIFS(Base!$B$3:$B$5001,C$162,Base!$A$3:$A$5001,"&gt;="&amp;$C$7,Base!$A$3:$A$5001,"&lt;="&amp;$B174,Base!$X$3:$X$5001,"&lt;&gt;")=0,"",SUMIFS(Base!$X$3:$X$5001,Base!$B$3:$B$5001,C$162,Base!$A$3:$A$5001,_xlfn.MAXIFS(Base!$A$3:$A$5001,Base!$B$3:$B$5001,C$162,Base!$A$3:$A$5001,"&gt;="&amp;$C$7,Base!$A$3:$A$5001,"&lt;="&amp;$B174,Base!$X$3:$X$5001,"&lt;&gt;"))))</f>
        <v/>
      </c>
      <c r="D174" t="str">
        <f>IF($A174&gt;$B$9,"",IF(COUNTIFS(Base!$B$3:$B$5001,D$162,Base!$A$3:$A$5001,"&gt;="&amp;$C$7,Base!$A$3:$A$5001,"&lt;="&amp;$B174,Base!$X$3:$X$5001,"&lt;&gt;")=0,"",SUMIFS(Base!$X$3:$X$5001,Base!$B$3:$B$5001,D$162,Base!$A$3:$A$5001,_xlfn.MAXIFS(Base!$A$3:$A$5001,Base!$B$3:$B$5001,D$162,Base!$A$3:$A$5001,"&gt;="&amp;$C$7,Base!$A$3:$A$5001,"&lt;="&amp;$B174,Base!$X$3:$X$5001,"&lt;&gt;"))))</f>
        <v/>
      </c>
      <c r="E174" t="str">
        <f>IF($A174&gt;$B$9,"",IF(COUNTIFS(Base!$B$3:$B$5001,E$162,Base!$A$3:$A$5001,"&gt;="&amp;$C$7,Base!$A$3:$A$5001,"&lt;="&amp;$B174,Base!$X$3:$X$5001,"&lt;&gt;")=0,"",SUMIFS(Base!$X$3:$X$5001,Base!$B$3:$B$5001,E$162,Base!$A$3:$A$5001,_xlfn.MAXIFS(Base!$A$3:$A$5001,Base!$B$3:$B$5001,E$162,Base!$A$3:$A$5001,"&gt;="&amp;$C$7,Base!$A$3:$A$5001,"&lt;="&amp;$B174,Base!$X$3:$X$5001,"&lt;&gt;"))))</f>
        <v/>
      </c>
      <c r="F174" t="str">
        <f>IF($A174&gt;$B$9,"",IF(COUNTIFS(Base!$B$3:$B$5001,F$162,Base!$A$3:$A$5001,"&gt;="&amp;$C$7,Base!$A$3:$A$5001,"&lt;="&amp;$B174,Base!$X$3:$X$5001,"&lt;&gt;")=0,"",SUMIFS(Base!$X$3:$X$5001,Base!$B$3:$B$5001,F$162,Base!$A$3:$A$5001,_xlfn.MAXIFS(Base!$A$3:$A$5001,Base!$B$3:$B$5001,F$162,Base!$A$3:$A$5001,"&gt;="&amp;$C$7,Base!$A$3:$A$5001,"&lt;="&amp;$B174,Base!$X$3:$X$5001,"&lt;&gt;"))))</f>
        <v/>
      </c>
      <c r="G174" t="str">
        <f>IF($A174&gt;$B$9,"",IF(COUNTIFS(Base!$B$3:$B$5001,G$162,Base!$A$3:$A$5001,"&gt;="&amp;$C$7,Base!$A$3:$A$5001,"&lt;="&amp;$B174,Base!$X$3:$X$5001,"&lt;&gt;")=0,"",SUMIFS(Base!$X$3:$X$5001,Base!$B$3:$B$5001,G$162,Base!$A$3:$A$5001,_xlfn.MAXIFS(Base!$A$3:$A$5001,Base!$B$3:$B$5001,G$162,Base!$A$3:$A$5001,"&gt;="&amp;$C$7,Base!$A$3:$A$5001,"&lt;="&amp;$B174,Base!$X$3:$X$5001,"&lt;&gt;"))))</f>
        <v/>
      </c>
      <c r="H174" t="str">
        <f>IF($A174&gt;$B$9,"",IF(COUNTIFS(Base!$B$3:$B$5001,H$162,Base!$A$3:$A$5001,"&gt;="&amp;$C$7,Base!$A$3:$A$5001,"&lt;="&amp;$B174,Base!$X$3:$X$5001,"&lt;&gt;")=0,"",SUMIFS(Base!$X$3:$X$5001,Base!$B$3:$B$5001,H$162,Base!$A$3:$A$5001,_xlfn.MAXIFS(Base!$A$3:$A$5001,Base!$B$3:$B$5001,H$162,Base!$A$3:$A$5001,"&gt;="&amp;$C$7,Base!$A$3:$A$5001,"&lt;="&amp;$B174,Base!$X$3:$X$5001,"&lt;&gt;"))))</f>
        <v/>
      </c>
      <c r="I174" t="str">
        <f>IF($A174&gt;$B$9,"",IF(COUNTIFS(Base!$B$3:$B$5001,I$162,Base!$A$3:$A$5001,"&gt;="&amp;$C$7,Base!$A$3:$A$5001,"&lt;="&amp;$B174,Base!$X$3:$X$5001,"&lt;&gt;")=0,"",SUMIFS(Base!$X$3:$X$5001,Base!$B$3:$B$5001,I$162,Base!$A$3:$A$5001,_xlfn.MAXIFS(Base!$A$3:$A$5001,Base!$B$3:$B$5001,I$162,Base!$A$3:$A$5001,"&gt;="&amp;$C$7,Base!$A$3:$A$5001,"&lt;="&amp;$B174,Base!$X$3:$X$5001,"&lt;&gt;"))))</f>
        <v/>
      </c>
      <c r="J174" t="str">
        <f>IF($A174&gt;$B$9,"",IF(COUNTIFS(Base!$B$3:$B$5001,J$162,Base!$A$3:$A$5001,"&gt;="&amp;$C$7,Base!$A$3:$A$5001,"&lt;="&amp;$B174,Base!$X$3:$X$5001,"&lt;&gt;")=0,"",SUMIFS(Base!$X$3:$X$5001,Base!$B$3:$B$5001,J$162,Base!$A$3:$A$5001,_xlfn.MAXIFS(Base!$A$3:$A$5001,Base!$B$3:$B$5001,J$162,Base!$A$3:$A$5001,"&gt;="&amp;$C$7,Base!$A$3:$A$5001,"&lt;="&amp;$B174,Base!$X$3:$X$5001,"&lt;&gt;"))))</f>
        <v/>
      </c>
      <c r="K174" t="str">
        <f>IF($A174&gt;$B$9,"",IF(COUNTIFS(Base!$B$3:$B$5001,K$162,Base!$A$3:$A$5001,"&gt;="&amp;$C$7,Base!$A$3:$A$5001,"&lt;="&amp;$B174,Base!$X$3:$X$5001,"&lt;&gt;")=0,"",SUMIFS(Base!$X$3:$X$5001,Base!$B$3:$B$5001,K$162,Base!$A$3:$A$5001,_xlfn.MAXIFS(Base!$A$3:$A$5001,Base!$B$3:$B$5001,K$162,Base!$A$3:$A$5001,"&gt;="&amp;$C$7,Base!$A$3:$A$5001,"&lt;="&amp;$B174,Base!$X$3:$X$5001,"&lt;&gt;"))))</f>
        <v/>
      </c>
    </row>
    <row r="175">
      <c r="A175">
        <v>13</v>
      </c>
      <c r="B175" s="152">
        <f>$B$24</f>
        <v>46278</v>
      </c>
      <c r="C175" t="str">
        <f>IF($A175&gt;$B$9,"",IF(COUNTIFS(Base!$B$3:$B$5001,C$162,Base!$A$3:$A$5001,"&gt;="&amp;$C$7,Base!$A$3:$A$5001,"&lt;="&amp;$B175,Base!$X$3:$X$5001,"&lt;&gt;")=0,"",SUMIFS(Base!$X$3:$X$5001,Base!$B$3:$B$5001,C$162,Base!$A$3:$A$5001,_xlfn.MAXIFS(Base!$A$3:$A$5001,Base!$B$3:$B$5001,C$162,Base!$A$3:$A$5001,"&gt;="&amp;$C$7,Base!$A$3:$A$5001,"&lt;="&amp;$B175,Base!$X$3:$X$5001,"&lt;&gt;"))))</f>
        <v/>
      </c>
      <c r="D175" t="str">
        <f>IF($A175&gt;$B$9,"",IF(COUNTIFS(Base!$B$3:$B$5001,D$162,Base!$A$3:$A$5001,"&gt;="&amp;$C$7,Base!$A$3:$A$5001,"&lt;="&amp;$B175,Base!$X$3:$X$5001,"&lt;&gt;")=0,"",SUMIFS(Base!$X$3:$X$5001,Base!$B$3:$B$5001,D$162,Base!$A$3:$A$5001,_xlfn.MAXIFS(Base!$A$3:$A$5001,Base!$B$3:$B$5001,D$162,Base!$A$3:$A$5001,"&gt;="&amp;$C$7,Base!$A$3:$A$5001,"&lt;="&amp;$B175,Base!$X$3:$X$5001,"&lt;&gt;"))))</f>
        <v/>
      </c>
      <c r="E175" t="str">
        <f>IF($A175&gt;$B$9,"",IF(COUNTIFS(Base!$B$3:$B$5001,E$162,Base!$A$3:$A$5001,"&gt;="&amp;$C$7,Base!$A$3:$A$5001,"&lt;="&amp;$B175,Base!$X$3:$X$5001,"&lt;&gt;")=0,"",SUMIFS(Base!$X$3:$X$5001,Base!$B$3:$B$5001,E$162,Base!$A$3:$A$5001,_xlfn.MAXIFS(Base!$A$3:$A$5001,Base!$B$3:$B$5001,E$162,Base!$A$3:$A$5001,"&gt;="&amp;$C$7,Base!$A$3:$A$5001,"&lt;="&amp;$B175,Base!$X$3:$X$5001,"&lt;&gt;"))))</f>
        <v/>
      </c>
      <c r="F175" t="str">
        <f>IF($A175&gt;$B$9,"",IF(COUNTIFS(Base!$B$3:$B$5001,F$162,Base!$A$3:$A$5001,"&gt;="&amp;$C$7,Base!$A$3:$A$5001,"&lt;="&amp;$B175,Base!$X$3:$X$5001,"&lt;&gt;")=0,"",SUMIFS(Base!$X$3:$X$5001,Base!$B$3:$B$5001,F$162,Base!$A$3:$A$5001,_xlfn.MAXIFS(Base!$A$3:$A$5001,Base!$B$3:$B$5001,F$162,Base!$A$3:$A$5001,"&gt;="&amp;$C$7,Base!$A$3:$A$5001,"&lt;="&amp;$B175,Base!$X$3:$X$5001,"&lt;&gt;"))))</f>
        <v/>
      </c>
      <c r="G175" t="str">
        <f>IF($A175&gt;$B$9,"",IF(COUNTIFS(Base!$B$3:$B$5001,G$162,Base!$A$3:$A$5001,"&gt;="&amp;$C$7,Base!$A$3:$A$5001,"&lt;="&amp;$B175,Base!$X$3:$X$5001,"&lt;&gt;")=0,"",SUMIFS(Base!$X$3:$X$5001,Base!$B$3:$B$5001,G$162,Base!$A$3:$A$5001,_xlfn.MAXIFS(Base!$A$3:$A$5001,Base!$B$3:$B$5001,G$162,Base!$A$3:$A$5001,"&gt;="&amp;$C$7,Base!$A$3:$A$5001,"&lt;="&amp;$B175,Base!$X$3:$X$5001,"&lt;&gt;"))))</f>
        <v/>
      </c>
      <c r="H175" t="str">
        <f>IF($A175&gt;$B$9,"",IF(COUNTIFS(Base!$B$3:$B$5001,H$162,Base!$A$3:$A$5001,"&gt;="&amp;$C$7,Base!$A$3:$A$5001,"&lt;="&amp;$B175,Base!$X$3:$X$5001,"&lt;&gt;")=0,"",SUMIFS(Base!$X$3:$X$5001,Base!$B$3:$B$5001,H$162,Base!$A$3:$A$5001,_xlfn.MAXIFS(Base!$A$3:$A$5001,Base!$B$3:$B$5001,H$162,Base!$A$3:$A$5001,"&gt;="&amp;$C$7,Base!$A$3:$A$5001,"&lt;="&amp;$B175,Base!$X$3:$X$5001,"&lt;&gt;"))))</f>
        <v/>
      </c>
      <c r="I175" t="str">
        <f>IF($A175&gt;$B$9,"",IF(COUNTIFS(Base!$B$3:$B$5001,I$162,Base!$A$3:$A$5001,"&gt;="&amp;$C$7,Base!$A$3:$A$5001,"&lt;="&amp;$B175,Base!$X$3:$X$5001,"&lt;&gt;")=0,"",SUMIFS(Base!$X$3:$X$5001,Base!$B$3:$B$5001,I$162,Base!$A$3:$A$5001,_xlfn.MAXIFS(Base!$A$3:$A$5001,Base!$B$3:$B$5001,I$162,Base!$A$3:$A$5001,"&gt;="&amp;$C$7,Base!$A$3:$A$5001,"&lt;="&amp;$B175,Base!$X$3:$X$5001,"&lt;&gt;"))))</f>
        <v/>
      </c>
      <c r="J175" t="str">
        <f>IF($A175&gt;$B$9,"",IF(COUNTIFS(Base!$B$3:$B$5001,J$162,Base!$A$3:$A$5001,"&gt;="&amp;$C$7,Base!$A$3:$A$5001,"&lt;="&amp;$B175,Base!$X$3:$X$5001,"&lt;&gt;")=0,"",SUMIFS(Base!$X$3:$X$5001,Base!$B$3:$B$5001,J$162,Base!$A$3:$A$5001,_xlfn.MAXIFS(Base!$A$3:$A$5001,Base!$B$3:$B$5001,J$162,Base!$A$3:$A$5001,"&gt;="&amp;$C$7,Base!$A$3:$A$5001,"&lt;="&amp;$B175,Base!$X$3:$X$5001,"&lt;&gt;"))))</f>
        <v/>
      </c>
      <c r="K175" t="str">
        <f>IF($A175&gt;$B$9,"",IF(COUNTIFS(Base!$B$3:$B$5001,K$162,Base!$A$3:$A$5001,"&gt;="&amp;$C$7,Base!$A$3:$A$5001,"&lt;="&amp;$B175,Base!$X$3:$X$5001,"&lt;&gt;")=0,"",SUMIFS(Base!$X$3:$X$5001,Base!$B$3:$B$5001,K$162,Base!$A$3:$A$5001,_xlfn.MAXIFS(Base!$A$3:$A$5001,Base!$B$3:$B$5001,K$162,Base!$A$3:$A$5001,"&gt;="&amp;$C$7,Base!$A$3:$A$5001,"&lt;="&amp;$B175,Base!$X$3:$X$5001,"&lt;&gt;"))))</f>
        <v/>
      </c>
    </row>
    <row r="176">
      <c r="A176">
        <v>14</v>
      </c>
      <c r="B176" s="152">
        <f>$B$25</f>
        <v>46279</v>
      </c>
      <c r="C176" t="str">
        <f>IF($A176&gt;$B$9,"",IF(COUNTIFS(Base!$B$3:$B$5001,C$162,Base!$A$3:$A$5001,"&gt;="&amp;$C$7,Base!$A$3:$A$5001,"&lt;="&amp;$B176,Base!$X$3:$X$5001,"&lt;&gt;")=0,"",SUMIFS(Base!$X$3:$X$5001,Base!$B$3:$B$5001,C$162,Base!$A$3:$A$5001,_xlfn.MAXIFS(Base!$A$3:$A$5001,Base!$B$3:$B$5001,C$162,Base!$A$3:$A$5001,"&gt;="&amp;$C$7,Base!$A$3:$A$5001,"&lt;="&amp;$B176,Base!$X$3:$X$5001,"&lt;&gt;"))))</f>
        <v/>
      </c>
      <c r="D176" t="str">
        <f>IF($A176&gt;$B$9,"",IF(COUNTIFS(Base!$B$3:$B$5001,D$162,Base!$A$3:$A$5001,"&gt;="&amp;$C$7,Base!$A$3:$A$5001,"&lt;="&amp;$B176,Base!$X$3:$X$5001,"&lt;&gt;")=0,"",SUMIFS(Base!$X$3:$X$5001,Base!$B$3:$B$5001,D$162,Base!$A$3:$A$5001,_xlfn.MAXIFS(Base!$A$3:$A$5001,Base!$B$3:$B$5001,D$162,Base!$A$3:$A$5001,"&gt;="&amp;$C$7,Base!$A$3:$A$5001,"&lt;="&amp;$B176,Base!$X$3:$X$5001,"&lt;&gt;"))))</f>
        <v/>
      </c>
      <c r="E176" t="str">
        <f>IF($A176&gt;$B$9,"",IF(COUNTIFS(Base!$B$3:$B$5001,E$162,Base!$A$3:$A$5001,"&gt;="&amp;$C$7,Base!$A$3:$A$5001,"&lt;="&amp;$B176,Base!$X$3:$X$5001,"&lt;&gt;")=0,"",SUMIFS(Base!$X$3:$X$5001,Base!$B$3:$B$5001,E$162,Base!$A$3:$A$5001,_xlfn.MAXIFS(Base!$A$3:$A$5001,Base!$B$3:$B$5001,E$162,Base!$A$3:$A$5001,"&gt;="&amp;$C$7,Base!$A$3:$A$5001,"&lt;="&amp;$B176,Base!$X$3:$X$5001,"&lt;&gt;"))))</f>
        <v/>
      </c>
      <c r="F176" t="str">
        <f>IF($A176&gt;$B$9,"",IF(COUNTIFS(Base!$B$3:$B$5001,F$162,Base!$A$3:$A$5001,"&gt;="&amp;$C$7,Base!$A$3:$A$5001,"&lt;="&amp;$B176,Base!$X$3:$X$5001,"&lt;&gt;")=0,"",SUMIFS(Base!$X$3:$X$5001,Base!$B$3:$B$5001,F$162,Base!$A$3:$A$5001,_xlfn.MAXIFS(Base!$A$3:$A$5001,Base!$B$3:$B$5001,F$162,Base!$A$3:$A$5001,"&gt;="&amp;$C$7,Base!$A$3:$A$5001,"&lt;="&amp;$B176,Base!$X$3:$X$5001,"&lt;&gt;"))))</f>
        <v/>
      </c>
      <c r="G176" t="str">
        <f>IF($A176&gt;$B$9,"",IF(COUNTIFS(Base!$B$3:$B$5001,G$162,Base!$A$3:$A$5001,"&gt;="&amp;$C$7,Base!$A$3:$A$5001,"&lt;="&amp;$B176,Base!$X$3:$X$5001,"&lt;&gt;")=0,"",SUMIFS(Base!$X$3:$X$5001,Base!$B$3:$B$5001,G$162,Base!$A$3:$A$5001,_xlfn.MAXIFS(Base!$A$3:$A$5001,Base!$B$3:$B$5001,G$162,Base!$A$3:$A$5001,"&gt;="&amp;$C$7,Base!$A$3:$A$5001,"&lt;="&amp;$B176,Base!$X$3:$X$5001,"&lt;&gt;"))))</f>
        <v/>
      </c>
      <c r="H176" t="str">
        <f>IF($A176&gt;$B$9,"",IF(COUNTIFS(Base!$B$3:$B$5001,H$162,Base!$A$3:$A$5001,"&gt;="&amp;$C$7,Base!$A$3:$A$5001,"&lt;="&amp;$B176,Base!$X$3:$X$5001,"&lt;&gt;")=0,"",SUMIFS(Base!$X$3:$X$5001,Base!$B$3:$B$5001,H$162,Base!$A$3:$A$5001,_xlfn.MAXIFS(Base!$A$3:$A$5001,Base!$B$3:$B$5001,H$162,Base!$A$3:$A$5001,"&gt;="&amp;$C$7,Base!$A$3:$A$5001,"&lt;="&amp;$B176,Base!$X$3:$X$5001,"&lt;&gt;"))))</f>
        <v/>
      </c>
      <c r="I176" t="str">
        <f>IF($A176&gt;$B$9,"",IF(COUNTIFS(Base!$B$3:$B$5001,I$162,Base!$A$3:$A$5001,"&gt;="&amp;$C$7,Base!$A$3:$A$5001,"&lt;="&amp;$B176,Base!$X$3:$X$5001,"&lt;&gt;")=0,"",SUMIFS(Base!$X$3:$X$5001,Base!$B$3:$B$5001,I$162,Base!$A$3:$A$5001,_xlfn.MAXIFS(Base!$A$3:$A$5001,Base!$B$3:$B$5001,I$162,Base!$A$3:$A$5001,"&gt;="&amp;$C$7,Base!$A$3:$A$5001,"&lt;="&amp;$B176,Base!$X$3:$X$5001,"&lt;&gt;"))))</f>
        <v/>
      </c>
      <c r="J176" t="str">
        <f>IF($A176&gt;$B$9,"",IF(COUNTIFS(Base!$B$3:$B$5001,J$162,Base!$A$3:$A$5001,"&gt;="&amp;$C$7,Base!$A$3:$A$5001,"&lt;="&amp;$B176,Base!$X$3:$X$5001,"&lt;&gt;")=0,"",SUMIFS(Base!$X$3:$X$5001,Base!$B$3:$B$5001,J$162,Base!$A$3:$A$5001,_xlfn.MAXIFS(Base!$A$3:$A$5001,Base!$B$3:$B$5001,J$162,Base!$A$3:$A$5001,"&gt;="&amp;$C$7,Base!$A$3:$A$5001,"&lt;="&amp;$B176,Base!$X$3:$X$5001,"&lt;&gt;"))))</f>
        <v/>
      </c>
      <c r="K176" t="str">
        <f>IF($A176&gt;$B$9,"",IF(COUNTIFS(Base!$B$3:$B$5001,K$162,Base!$A$3:$A$5001,"&gt;="&amp;$C$7,Base!$A$3:$A$5001,"&lt;="&amp;$B176,Base!$X$3:$X$5001,"&lt;&gt;")=0,"",SUMIFS(Base!$X$3:$X$5001,Base!$B$3:$B$5001,K$162,Base!$A$3:$A$5001,_xlfn.MAXIFS(Base!$A$3:$A$5001,Base!$B$3:$B$5001,K$162,Base!$A$3:$A$5001,"&gt;="&amp;$C$7,Base!$A$3:$A$5001,"&lt;="&amp;$B176,Base!$X$3:$X$5001,"&lt;&gt;"))))</f>
        <v/>
      </c>
    </row>
    <row r="177">
      <c r="A177">
        <v>15</v>
      </c>
      <c r="B177" s="152">
        <f>$B$26</f>
        <v>46280</v>
      </c>
      <c r="C177" t="str">
        <f>IF($A177&gt;$B$9,"",IF(COUNTIFS(Base!$B$3:$B$5001,C$162,Base!$A$3:$A$5001,"&gt;="&amp;$C$7,Base!$A$3:$A$5001,"&lt;="&amp;$B177,Base!$X$3:$X$5001,"&lt;&gt;")=0,"",SUMIFS(Base!$X$3:$X$5001,Base!$B$3:$B$5001,C$162,Base!$A$3:$A$5001,_xlfn.MAXIFS(Base!$A$3:$A$5001,Base!$B$3:$B$5001,C$162,Base!$A$3:$A$5001,"&gt;="&amp;$C$7,Base!$A$3:$A$5001,"&lt;="&amp;$B177,Base!$X$3:$X$5001,"&lt;&gt;"))))</f>
        <v/>
      </c>
      <c r="D177" t="str">
        <f>IF($A177&gt;$B$9,"",IF(COUNTIFS(Base!$B$3:$B$5001,D$162,Base!$A$3:$A$5001,"&gt;="&amp;$C$7,Base!$A$3:$A$5001,"&lt;="&amp;$B177,Base!$X$3:$X$5001,"&lt;&gt;")=0,"",SUMIFS(Base!$X$3:$X$5001,Base!$B$3:$B$5001,D$162,Base!$A$3:$A$5001,_xlfn.MAXIFS(Base!$A$3:$A$5001,Base!$B$3:$B$5001,D$162,Base!$A$3:$A$5001,"&gt;="&amp;$C$7,Base!$A$3:$A$5001,"&lt;="&amp;$B177,Base!$X$3:$X$5001,"&lt;&gt;"))))</f>
        <v/>
      </c>
      <c r="E177" t="str">
        <f>IF($A177&gt;$B$9,"",IF(COUNTIFS(Base!$B$3:$B$5001,E$162,Base!$A$3:$A$5001,"&gt;="&amp;$C$7,Base!$A$3:$A$5001,"&lt;="&amp;$B177,Base!$X$3:$X$5001,"&lt;&gt;")=0,"",SUMIFS(Base!$X$3:$X$5001,Base!$B$3:$B$5001,E$162,Base!$A$3:$A$5001,_xlfn.MAXIFS(Base!$A$3:$A$5001,Base!$B$3:$B$5001,E$162,Base!$A$3:$A$5001,"&gt;="&amp;$C$7,Base!$A$3:$A$5001,"&lt;="&amp;$B177,Base!$X$3:$X$5001,"&lt;&gt;"))))</f>
        <v/>
      </c>
      <c r="F177" t="str">
        <f>IF($A177&gt;$B$9,"",IF(COUNTIFS(Base!$B$3:$B$5001,F$162,Base!$A$3:$A$5001,"&gt;="&amp;$C$7,Base!$A$3:$A$5001,"&lt;="&amp;$B177,Base!$X$3:$X$5001,"&lt;&gt;")=0,"",SUMIFS(Base!$X$3:$X$5001,Base!$B$3:$B$5001,F$162,Base!$A$3:$A$5001,_xlfn.MAXIFS(Base!$A$3:$A$5001,Base!$B$3:$B$5001,F$162,Base!$A$3:$A$5001,"&gt;="&amp;$C$7,Base!$A$3:$A$5001,"&lt;="&amp;$B177,Base!$X$3:$X$5001,"&lt;&gt;"))))</f>
        <v/>
      </c>
      <c r="G177" t="str">
        <f>IF($A177&gt;$B$9,"",IF(COUNTIFS(Base!$B$3:$B$5001,G$162,Base!$A$3:$A$5001,"&gt;="&amp;$C$7,Base!$A$3:$A$5001,"&lt;="&amp;$B177,Base!$X$3:$X$5001,"&lt;&gt;")=0,"",SUMIFS(Base!$X$3:$X$5001,Base!$B$3:$B$5001,G$162,Base!$A$3:$A$5001,_xlfn.MAXIFS(Base!$A$3:$A$5001,Base!$B$3:$B$5001,G$162,Base!$A$3:$A$5001,"&gt;="&amp;$C$7,Base!$A$3:$A$5001,"&lt;="&amp;$B177,Base!$X$3:$X$5001,"&lt;&gt;"))))</f>
        <v/>
      </c>
      <c r="H177" t="str">
        <f>IF($A177&gt;$B$9,"",IF(COUNTIFS(Base!$B$3:$B$5001,H$162,Base!$A$3:$A$5001,"&gt;="&amp;$C$7,Base!$A$3:$A$5001,"&lt;="&amp;$B177,Base!$X$3:$X$5001,"&lt;&gt;")=0,"",SUMIFS(Base!$X$3:$X$5001,Base!$B$3:$B$5001,H$162,Base!$A$3:$A$5001,_xlfn.MAXIFS(Base!$A$3:$A$5001,Base!$B$3:$B$5001,H$162,Base!$A$3:$A$5001,"&gt;="&amp;$C$7,Base!$A$3:$A$5001,"&lt;="&amp;$B177,Base!$X$3:$X$5001,"&lt;&gt;"))))</f>
        <v/>
      </c>
      <c r="I177" t="str">
        <f>IF($A177&gt;$B$9,"",IF(COUNTIFS(Base!$B$3:$B$5001,I$162,Base!$A$3:$A$5001,"&gt;="&amp;$C$7,Base!$A$3:$A$5001,"&lt;="&amp;$B177,Base!$X$3:$X$5001,"&lt;&gt;")=0,"",SUMIFS(Base!$X$3:$X$5001,Base!$B$3:$B$5001,I$162,Base!$A$3:$A$5001,_xlfn.MAXIFS(Base!$A$3:$A$5001,Base!$B$3:$B$5001,I$162,Base!$A$3:$A$5001,"&gt;="&amp;$C$7,Base!$A$3:$A$5001,"&lt;="&amp;$B177,Base!$X$3:$X$5001,"&lt;&gt;"))))</f>
        <v/>
      </c>
      <c r="J177" t="str">
        <f>IF($A177&gt;$B$9,"",IF(COUNTIFS(Base!$B$3:$B$5001,J$162,Base!$A$3:$A$5001,"&gt;="&amp;$C$7,Base!$A$3:$A$5001,"&lt;="&amp;$B177,Base!$X$3:$X$5001,"&lt;&gt;")=0,"",SUMIFS(Base!$X$3:$X$5001,Base!$B$3:$B$5001,J$162,Base!$A$3:$A$5001,_xlfn.MAXIFS(Base!$A$3:$A$5001,Base!$B$3:$B$5001,J$162,Base!$A$3:$A$5001,"&gt;="&amp;$C$7,Base!$A$3:$A$5001,"&lt;="&amp;$B177,Base!$X$3:$X$5001,"&lt;&gt;"))))</f>
        <v/>
      </c>
      <c r="K177" t="str">
        <f>IF($A177&gt;$B$9,"",IF(COUNTIFS(Base!$B$3:$B$5001,K$162,Base!$A$3:$A$5001,"&gt;="&amp;$C$7,Base!$A$3:$A$5001,"&lt;="&amp;$B177,Base!$X$3:$X$5001,"&lt;&gt;")=0,"",SUMIFS(Base!$X$3:$X$5001,Base!$B$3:$B$5001,K$162,Base!$A$3:$A$5001,_xlfn.MAXIFS(Base!$A$3:$A$5001,Base!$B$3:$B$5001,K$162,Base!$A$3:$A$5001,"&gt;="&amp;$C$7,Base!$A$3:$A$5001,"&lt;="&amp;$B177,Base!$X$3:$X$5001,"&lt;&gt;"))))</f>
        <v/>
      </c>
    </row>
    <row r="178">
      <c r="A178">
        <v>16</v>
      </c>
      <c r="B178" s="152">
        <f>$B$27</f>
        <v>46281</v>
      </c>
      <c r="C178" t="str">
        <f>IF($A178&gt;$B$9,"",IF(COUNTIFS(Base!$B$3:$B$5001,C$162,Base!$A$3:$A$5001,"&gt;="&amp;$C$7,Base!$A$3:$A$5001,"&lt;="&amp;$B178,Base!$X$3:$X$5001,"&lt;&gt;")=0,"",SUMIFS(Base!$X$3:$X$5001,Base!$B$3:$B$5001,C$162,Base!$A$3:$A$5001,_xlfn.MAXIFS(Base!$A$3:$A$5001,Base!$B$3:$B$5001,C$162,Base!$A$3:$A$5001,"&gt;="&amp;$C$7,Base!$A$3:$A$5001,"&lt;="&amp;$B178,Base!$X$3:$X$5001,"&lt;&gt;"))))</f>
        <v/>
      </c>
      <c r="D178" t="str">
        <f>IF($A178&gt;$B$9,"",IF(COUNTIFS(Base!$B$3:$B$5001,D$162,Base!$A$3:$A$5001,"&gt;="&amp;$C$7,Base!$A$3:$A$5001,"&lt;="&amp;$B178,Base!$X$3:$X$5001,"&lt;&gt;")=0,"",SUMIFS(Base!$X$3:$X$5001,Base!$B$3:$B$5001,D$162,Base!$A$3:$A$5001,_xlfn.MAXIFS(Base!$A$3:$A$5001,Base!$B$3:$B$5001,D$162,Base!$A$3:$A$5001,"&gt;="&amp;$C$7,Base!$A$3:$A$5001,"&lt;="&amp;$B178,Base!$X$3:$X$5001,"&lt;&gt;"))))</f>
        <v/>
      </c>
      <c r="E178" t="str">
        <f>IF($A178&gt;$B$9,"",IF(COUNTIFS(Base!$B$3:$B$5001,E$162,Base!$A$3:$A$5001,"&gt;="&amp;$C$7,Base!$A$3:$A$5001,"&lt;="&amp;$B178,Base!$X$3:$X$5001,"&lt;&gt;")=0,"",SUMIFS(Base!$X$3:$X$5001,Base!$B$3:$B$5001,E$162,Base!$A$3:$A$5001,_xlfn.MAXIFS(Base!$A$3:$A$5001,Base!$B$3:$B$5001,E$162,Base!$A$3:$A$5001,"&gt;="&amp;$C$7,Base!$A$3:$A$5001,"&lt;="&amp;$B178,Base!$X$3:$X$5001,"&lt;&gt;"))))</f>
        <v/>
      </c>
      <c r="F178" t="str">
        <f>IF($A178&gt;$B$9,"",IF(COUNTIFS(Base!$B$3:$B$5001,F$162,Base!$A$3:$A$5001,"&gt;="&amp;$C$7,Base!$A$3:$A$5001,"&lt;="&amp;$B178,Base!$X$3:$X$5001,"&lt;&gt;")=0,"",SUMIFS(Base!$X$3:$X$5001,Base!$B$3:$B$5001,F$162,Base!$A$3:$A$5001,_xlfn.MAXIFS(Base!$A$3:$A$5001,Base!$B$3:$B$5001,F$162,Base!$A$3:$A$5001,"&gt;="&amp;$C$7,Base!$A$3:$A$5001,"&lt;="&amp;$B178,Base!$X$3:$X$5001,"&lt;&gt;"))))</f>
        <v/>
      </c>
      <c r="G178" t="str">
        <f>IF($A178&gt;$B$9,"",IF(COUNTIFS(Base!$B$3:$B$5001,G$162,Base!$A$3:$A$5001,"&gt;="&amp;$C$7,Base!$A$3:$A$5001,"&lt;="&amp;$B178,Base!$X$3:$X$5001,"&lt;&gt;")=0,"",SUMIFS(Base!$X$3:$X$5001,Base!$B$3:$B$5001,G$162,Base!$A$3:$A$5001,_xlfn.MAXIFS(Base!$A$3:$A$5001,Base!$B$3:$B$5001,G$162,Base!$A$3:$A$5001,"&gt;="&amp;$C$7,Base!$A$3:$A$5001,"&lt;="&amp;$B178,Base!$X$3:$X$5001,"&lt;&gt;"))))</f>
        <v/>
      </c>
      <c r="H178" t="str">
        <f>IF($A178&gt;$B$9,"",IF(COUNTIFS(Base!$B$3:$B$5001,H$162,Base!$A$3:$A$5001,"&gt;="&amp;$C$7,Base!$A$3:$A$5001,"&lt;="&amp;$B178,Base!$X$3:$X$5001,"&lt;&gt;")=0,"",SUMIFS(Base!$X$3:$X$5001,Base!$B$3:$B$5001,H$162,Base!$A$3:$A$5001,_xlfn.MAXIFS(Base!$A$3:$A$5001,Base!$B$3:$B$5001,H$162,Base!$A$3:$A$5001,"&gt;="&amp;$C$7,Base!$A$3:$A$5001,"&lt;="&amp;$B178,Base!$X$3:$X$5001,"&lt;&gt;"))))</f>
        <v/>
      </c>
      <c r="I178" t="str">
        <f>IF($A178&gt;$B$9,"",IF(COUNTIFS(Base!$B$3:$B$5001,I$162,Base!$A$3:$A$5001,"&gt;="&amp;$C$7,Base!$A$3:$A$5001,"&lt;="&amp;$B178,Base!$X$3:$X$5001,"&lt;&gt;")=0,"",SUMIFS(Base!$X$3:$X$5001,Base!$B$3:$B$5001,I$162,Base!$A$3:$A$5001,_xlfn.MAXIFS(Base!$A$3:$A$5001,Base!$B$3:$B$5001,I$162,Base!$A$3:$A$5001,"&gt;="&amp;$C$7,Base!$A$3:$A$5001,"&lt;="&amp;$B178,Base!$X$3:$X$5001,"&lt;&gt;"))))</f>
        <v/>
      </c>
      <c r="J178" t="str">
        <f>IF($A178&gt;$B$9,"",IF(COUNTIFS(Base!$B$3:$B$5001,J$162,Base!$A$3:$A$5001,"&gt;="&amp;$C$7,Base!$A$3:$A$5001,"&lt;="&amp;$B178,Base!$X$3:$X$5001,"&lt;&gt;")=0,"",SUMIFS(Base!$X$3:$X$5001,Base!$B$3:$B$5001,J$162,Base!$A$3:$A$5001,_xlfn.MAXIFS(Base!$A$3:$A$5001,Base!$B$3:$B$5001,J$162,Base!$A$3:$A$5001,"&gt;="&amp;$C$7,Base!$A$3:$A$5001,"&lt;="&amp;$B178,Base!$X$3:$X$5001,"&lt;&gt;"))))</f>
        <v/>
      </c>
      <c r="K178" t="str">
        <f>IF($A178&gt;$B$9,"",IF(COUNTIFS(Base!$B$3:$B$5001,K$162,Base!$A$3:$A$5001,"&gt;="&amp;$C$7,Base!$A$3:$A$5001,"&lt;="&amp;$B178,Base!$X$3:$X$5001,"&lt;&gt;")=0,"",SUMIFS(Base!$X$3:$X$5001,Base!$B$3:$B$5001,K$162,Base!$A$3:$A$5001,_xlfn.MAXIFS(Base!$A$3:$A$5001,Base!$B$3:$B$5001,K$162,Base!$A$3:$A$5001,"&gt;="&amp;$C$7,Base!$A$3:$A$5001,"&lt;="&amp;$B178,Base!$X$3:$X$5001,"&lt;&gt;"))))</f>
        <v/>
      </c>
    </row>
    <row r="179">
      <c r="A179">
        <v>17</v>
      </c>
      <c r="B179" s="152">
        <f>$B$28</f>
        <v>46282</v>
      </c>
      <c r="C179" t="str">
        <f>IF($A179&gt;$B$9,"",IF(COUNTIFS(Base!$B$3:$B$5001,C$162,Base!$A$3:$A$5001,"&gt;="&amp;$C$7,Base!$A$3:$A$5001,"&lt;="&amp;$B179,Base!$X$3:$X$5001,"&lt;&gt;")=0,"",SUMIFS(Base!$X$3:$X$5001,Base!$B$3:$B$5001,C$162,Base!$A$3:$A$5001,_xlfn.MAXIFS(Base!$A$3:$A$5001,Base!$B$3:$B$5001,C$162,Base!$A$3:$A$5001,"&gt;="&amp;$C$7,Base!$A$3:$A$5001,"&lt;="&amp;$B179,Base!$X$3:$X$5001,"&lt;&gt;"))))</f>
        <v/>
      </c>
      <c r="D179" t="str">
        <f>IF($A179&gt;$B$9,"",IF(COUNTIFS(Base!$B$3:$B$5001,D$162,Base!$A$3:$A$5001,"&gt;="&amp;$C$7,Base!$A$3:$A$5001,"&lt;="&amp;$B179,Base!$X$3:$X$5001,"&lt;&gt;")=0,"",SUMIFS(Base!$X$3:$X$5001,Base!$B$3:$B$5001,D$162,Base!$A$3:$A$5001,_xlfn.MAXIFS(Base!$A$3:$A$5001,Base!$B$3:$B$5001,D$162,Base!$A$3:$A$5001,"&gt;="&amp;$C$7,Base!$A$3:$A$5001,"&lt;="&amp;$B179,Base!$X$3:$X$5001,"&lt;&gt;"))))</f>
        <v/>
      </c>
      <c r="E179" t="str">
        <f>IF($A179&gt;$B$9,"",IF(COUNTIFS(Base!$B$3:$B$5001,E$162,Base!$A$3:$A$5001,"&gt;="&amp;$C$7,Base!$A$3:$A$5001,"&lt;="&amp;$B179,Base!$X$3:$X$5001,"&lt;&gt;")=0,"",SUMIFS(Base!$X$3:$X$5001,Base!$B$3:$B$5001,E$162,Base!$A$3:$A$5001,_xlfn.MAXIFS(Base!$A$3:$A$5001,Base!$B$3:$B$5001,E$162,Base!$A$3:$A$5001,"&gt;="&amp;$C$7,Base!$A$3:$A$5001,"&lt;="&amp;$B179,Base!$X$3:$X$5001,"&lt;&gt;"))))</f>
        <v/>
      </c>
      <c r="F179" t="str">
        <f>IF($A179&gt;$B$9,"",IF(COUNTIFS(Base!$B$3:$B$5001,F$162,Base!$A$3:$A$5001,"&gt;="&amp;$C$7,Base!$A$3:$A$5001,"&lt;="&amp;$B179,Base!$X$3:$X$5001,"&lt;&gt;")=0,"",SUMIFS(Base!$X$3:$X$5001,Base!$B$3:$B$5001,F$162,Base!$A$3:$A$5001,_xlfn.MAXIFS(Base!$A$3:$A$5001,Base!$B$3:$B$5001,F$162,Base!$A$3:$A$5001,"&gt;="&amp;$C$7,Base!$A$3:$A$5001,"&lt;="&amp;$B179,Base!$X$3:$X$5001,"&lt;&gt;"))))</f>
        <v/>
      </c>
      <c r="G179" t="str">
        <f>IF($A179&gt;$B$9,"",IF(COUNTIFS(Base!$B$3:$B$5001,G$162,Base!$A$3:$A$5001,"&gt;="&amp;$C$7,Base!$A$3:$A$5001,"&lt;="&amp;$B179,Base!$X$3:$X$5001,"&lt;&gt;")=0,"",SUMIFS(Base!$X$3:$X$5001,Base!$B$3:$B$5001,G$162,Base!$A$3:$A$5001,_xlfn.MAXIFS(Base!$A$3:$A$5001,Base!$B$3:$B$5001,G$162,Base!$A$3:$A$5001,"&gt;="&amp;$C$7,Base!$A$3:$A$5001,"&lt;="&amp;$B179,Base!$X$3:$X$5001,"&lt;&gt;"))))</f>
        <v/>
      </c>
      <c r="H179" t="str">
        <f>IF($A179&gt;$B$9,"",IF(COUNTIFS(Base!$B$3:$B$5001,H$162,Base!$A$3:$A$5001,"&gt;="&amp;$C$7,Base!$A$3:$A$5001,"&lt;="&amp;$B179,Base!$X$3:$X$5001,"&lt;&gt;")=0,"",SUMIFS(Base!$X$3:$X$5001,Base!$B$3:$B$5001,H$162,Base!$A$3:$A$5001,_xlfn.MAXIFS(Base!$A$3:$A$5001,Base!$B$3:$B$5001,H$162,Base!$A$3:$A$5001,"&gt;="&amp;$C$7,Base!$A$3:$A$5001,"&lt;="&amp;$B179,Base!$X$3:$X$5001,"&lt;&gt;"))))</f>
        <v/>
      </c>
      <c r="I179" t="str">
        <f>IF($A179&gt;$B$9,"",IF(COUNTIFS(Base!$B$3:$B$5001,I$162,Base!$A$3:$A$5001,"&gt;="&amp;$C$7,Base!$A$3:$A$5001,"&lt;="&amp;$B179,Base!$X$3:$X$5001,"&lt;&gt;")=0,"",SUMIFS(Base!$X$3:$X$5001,Base!$B$3:$B$5001,I$162,Base!$A$3:$A$5001,_xlfn.MAXIFS(Base!$A$3:$A$5001,Base!$B$3:$B$5001,I$162,Base!$A$3:$A$5001,"&gt;="&amp;$C$7,Base!$A$3:$A$5001,"&lt;="&amp;$B179,Base!$X$3:$X$5001,"&lt;&gt;"))))</f>
        <v/>
      </c>
      <c r="J179" t="str">
        <f>IF($A179&gt;$B$9,"",IF(COUNTIFS(Base!$B$3:$B$5001,J$162,Base!$A$3:$A$5001,"&gt;="&amp;$C$7,Base!$A$3:$A$5001,"&lt;="&amp;$B179,Base!$X$3:$X$5001,"&lt;&gt;")=0,"",SUMIFS(Base!$X$3:$X$5001,Base!$B$3:$B$5001,J$162,Base!$A$3:$A$5001,_xlfn.MAXIFS(Base!$A$3:$A$5001,Base!$B$3:$B$5001,J$162,Base!$A$3:$A$5001,"&gt;="&amp;$C$7,Base!$A$3:$A$5001,"&lt;="&amp;$B179,Base!$X$3:$X$5001,"&lt;&gt;"))))</f>
        <v/>
      </c>
      <c r="K179" t="str">
        <f>IF($A179&gt;$B$9,"",IF(COUNTIFS(Base!$B$3:$B$5001,K$162,Base!$A$3:$A$5001,"&gt;="&amp;$C$7,Base!$A$3:$A$5001,"&lt;="&amp;$B179,Base!$X$3:$X$5001,"&lt;&gt;")=0,"",SUMIFS(Base!$X$3:$X$5001,Base!$B$3:$B$5001,K$162,Base!$A$3:$A$5001,_xlfn.MAXIFS(Base!$A$3:$A$5001,Base!$B$3:$B$5001,K$162,Base!$A$3:$A$5001,"&gt;="&amp;$C$7,Base!$A$3:$A$5001,"&lt;="&amp;$B179,Base!$X$3:$X$5001,"&lt;&gt;"))))</f>
        <v/>
      </c>
    </row>
    <row r="180">
      <c r="A180">
        <v>18</v>
      </c>
      <c r="B180" s="152">
        <f>$B$29</f>
        <v>46283</v>
      </c>
      <c r="C180" t="str">
        <f>IF($A180&gt;$B$9,"",IF(COUNTIFS(Base!$B$3:$B$5001,C$162,Base!$A$3:$A$5001,"&gt;="&amp;$C$7,Base!$A$3:$A$5001,"&lt;="&amp;$B180,Base!$X$3:$X$5001,"&lt;&gt;")=0,"",SUMIFS(Base!$X$3:$X$5001,Base!$B$3:$B$5001,C$162,Base!$A$3:$A$5001,_xlfn.MAXIFS(Base!$A$3:$A$5001,Base!$B$3:$B$5001,C$162,Base!$A$3:$A$5001,"&gt;="&amp;$C$7,Base!$A$3:$A$5001,"&lt;="&amp;$B180,Base!$X$3:$X$5001,"&lt;&gt;"))))</f>
        <v/>
      </c>
      <c r="D180" t="str">
        <f>IF($A180&gt;$B$9,"",IF(COUNTIFS(Base!$B$3:$B$5001,D$162,Base!$A$3:$A$5001,"&gt;="&amp;$C$7,Base!$A$3:$A$5001,"&lt;="&amp;$B180,Base!$X$3:$X$5001,"&lt;&gt;")=0,"",SUMIFS(Base!$X$3:$X$5001,Base!$B$3:$B$5001,D$162,Base!$A$3:$A$5001,_xlfn.MAXIFS(Base!$A$3:$A$5001,Base!$B$3:$B$5001,D$162,Base!$A$3:$A$5001,"&gt;="&amp;$C$7,Base!$A$3:$A$5001,"&lt;="&amp;$B180,Base!$X$3:$X$5001,"&lt;&gt;"))))</f>
        <v/>
      </c>
      <c r="E180" t="str">
        <f>IF($A180&gt;$B$9,"",IF(COUNTIFS(Base!$B$3:$B$5001,E$162,Base!$A$3:$A$5001,"&gt;="&amp;$C$7,Base!$A$3:$A$5001,"&lt;="&amp;$B180,Base!$X$3:$X$5001,"&lt;&gt;")=0,"",SUMIFS(Base!$X$3:$X$5001,Base!$B$3:$B$5001,E$162,Base!$A$3:$A$5001,_xlfn.MAXIFS(Base!$A$3:$A$5001,Base!$B$3:$B$5001,E$162,Base!$A$3:$A$5001,"&gt;="&amp;$C$7,Base!$A$3:$A$5001,"&lt;="&amp;$B180,Base!$X$3:$X$5001,"&lt;&gt;"))))</f>
        <v/>
      </c>
      <c r="F180" t="str">
        <f>IF($A180&gt;$B$9,"",IF(COUNTIFS(Base!$B$3:$B$5001,F$162,Base!$A$3:$A$5001,"&gt;="&amp;$C$7,Base!$A$3:$A$5001,"&lt;="&amp;$B180,Base!$X$3:$X$5001,"&lt;&gt;")=0,"",SUMIFS(Base!$X$3:$X$5001,Base!$B$3:$B$5001,F$162,Base!$A$3:$A$5001,_xlfn.MAXIFS(Base!$A$3:$A$5001,Base!$B$3:$B$5001,F$162,Base!$A$3:$A$5001,"&gt;="&amp;$C$7,Base!$A$3:$A$5001,"&lt;="&amp;$B180,Base!$X$3:$X$5001,"&lt;&gt;"))))</f>
        <v/>
      </c>
      <c r="G180" t="str">
        <f>IF($A180&gt;$B$9,"",IF(COUNTIFS(Base!$B$3:$B$5001,G$162,Base!$A$3:$A$5001,"&gt;="&amp;$C$7,Base!$A$3:$A$5001,"&lt;="&amp;$B180,Base!$X$3:$X$5001,"&lt;&gt;")=0,"",SUMIFS(Base!$X$3:$X$5001,Base!$B$3:$B$5001,G$162,Base!$A$3:$A$5001,_xlfn.MAXIFS(Base!$A$3:$A$5001,Base!$B$3:$B$5001,G$162,Base!$A$3:$A$5001,"&gt;="&amp;$C$7,Base!$A$3:$A$5001,"&lt;="&amp;$B180,Base!$X$3:$X$5001,"&lt;&gt;"))))</f>
        <v/>
      </c>
      <c r="H180" t="str">
        <f>IF($A180&gt;$B$9,"",IF(COUNTIFS(Base!$B$3:$B$5001,H$162,Base!$A$3:$A$5001,"&gt;="&amp;$C$7,Base!$A$3:$A$5001,"&lt;="&amp;$B180,Base!$X$3:$X$5001,"&lt;&gt;")=0,"",SUMIFS(Base!$X$3:$X$5001,Base!$B$3:$B$5001,H$162,Base!$A$3:$A$5001,_xlfn.MAXIFS(Base!$A$3:$A$5001,Base!$B$3:$B$5001,H$162,Base!$A$3:$A$5001,"&gt;="&amp;$C$7,Base!$A$3:$A$5001,"&lt;="&amp;$B180,Base!$X$3:$X$5001,"&lt;&gt;"))))</f>
        <v/>
      </c>
      <c r="I180" t="str">
        <f>IF($A180&gt;$B$9,"",IF(COUNTIFS(Base!$B$3:$B$5001,I$162,Base!$A$3:$A$5001,"&gt;="&amp;$C$7,Base!$A$3:$A$5001,"&lt;="&amp;$B180,Base!$X$3:$X$5001,"&lt;&gt;")=0,"",SUMIFS(Base!$X$3:$X$5001,Base!$B$3:$B$5001,I$162,Base!$A$3:$A$5001,_xlfn.MAXIFS(Base!$A$3:$A$5001,Base!$B$3:$B$5001,I$162,Base!$A$3:$A$5001,"&gt;="&amp;$C$7,Base!$A$3:$A$5001,"&lt;="&amp;$B180,Base!$X$3:$X$5001,"&lt;&gt;"))))</f>
        <v/>
      </c>
      <c r="J180" t="str">
        <f>IF($A180&gt;$B$9,"",IF(COUNTIFS(Base!$B$3:$B$5001,J$162,Base!$A$3:$A$5001,"&gt;="&amp;$C$7,Base!$A$3:$A$5001,"&lt;="&amp;$B180,Base!$X$3:$X$5001,"&lt;&gt;")=0,"",SUMIFS(Base!$X$3:$X$5001,Base!$B$3:$B$5001,J$162,Base!$A$3:$A$5001,_xlfn.MAXIFS(Base!$A$3:$A$5001,Base!$B$3:$B$5001,J$162,Base!$A$3:$A$5001,"&gt;="&amp;$C$7,Base!$A$3:$A$5001,"&lt;="&amp;$B180,Base!$X$3:$X$5001,"&lt;&gt;"))))</f>
        <v/>
      </c>
      <c r="K180" t="str">
        <f>IF($A180&gt;$B$9,"",IF(COUNTIFS(Base!$B$3:$B$5001,K$162,Base!$A$3:$A$5001,"&gt;="&amp;$C$7,Base!$A$3:$A$5001,"&lt;="&amp;$B180,Base!$X$3:$X$5001,"&lt;&gt;")=0,"",SUMIFS(Base!$X$3:$X$5001,Base!$B$3:$B$5001,K$162,Base!$A$3:$A$5001,_xlfn.MAXIFS(Base!$A$3:$A$5001,Base!$B$3:$B$5001,K$162,Base!$A$3:$A$5001,"&gt;="&amp;$C$7,Base!$A$3:$A$5001,"&lt;="&amp;$B180,Base!$X$3:$X$5001,"&lt;&gt;"))))</f>
        <v/>
      </c>
    </row>
    <row r="181">
      <c r="A181">
        <v>19</v>
      </c>
      <c r="B181" s="152">
        <f>$B$30</f>
        <v>46284</v>
      </c>
      <c r="C181" t="str">
        <f>IF($A181&gt;$B$9,"",IF(COUNTIFS(Base!$B$3:$B$5001,C$162,Base!$A$3:$A$5001,"&gt;="&amp;$C$7,Base!$A$3:$A$5001,"&lt;="&amp;$B181,Base!$X$3:$X$5001,"&lt;&gt;")=0,"",SUMIFS(Base!$X$3:$X$5001,Base!$B$3:$B$5001,C$162,Base!$A$3:$A$5001,_xlfn.MAXIFS(Base!$A$3:$A$5001,Base!$B$3:$B$5001,C$162,Base!$A$3:$A$5001,"&gt;="&amp;$C$7,Base!$A$3:$A$5001,"&lt;="&amp;$B181,Base!$X$3:$X$5001,"&lt;&gt;"))))</f>
        <v/>
      </c>
      <c r="D181" t="str">
        <f>IF($A181&gt;$B$9,"",IF(COUNTIFS(Base!$B$3:$B$5001,D$162,Base!$A$3:$A$5001,"&gt;="&amp;$C$7,Base!$A$3:$A$5001,"&lt;="&amp;$B181,Base!$X$3:$X$5001,"&lt;&gt;")=0,"",SUMIFS(Base!$X$3:$X$5001,Base!$B$3:$B$5001,D$162,Base!$A$3:$A$5001,_xlfn.MAXIFS(Base!$A$3:$A$5001,Base!$B$3:$B$5001,D$162,Base!$A$3:$A$5001,"&gt;="&amp;$C$7,Base!$A$3:$A$5001,"&lt;="&amp;$B181,Base!$X$3:$X$5001,"&lt;&gt;"))))</f>
        <v/>
      </c>
      <c r="E181" t="str">
        <f>IF($A181&gt;$B$9,"",IF(COUNTIFS(Base!$B$3:$B$5001,E$162,Base!$A$3:$A$5001,"&gt;="&amp;$C$7,Base!$A$3:$A$5001,"&lt;="&amp;$B181,Base!$X$3:$X$5001,"&lt;&gt;")=0,"",SUMIFS(Base!$X$3:$X$5001,Base!$B$3:$B$5001,E$162,Base!$A$3:$A$5001,_xlfn.MAXIFS(Base!$A$3:$A$5001,Base!$B$3:$B$5001,E$162,Base!$A$3:$A$5001,"&gt;="&amp;$C$7,Base!$A$3:$A$5001,"&lt;="&amp;$B181,Base!$X$3:$X$5001,"&lt;&gt;"))))</f>
        <v/>
      </c>
      <c r="F181" t="str">
        <f>IF($A181&gt;$B$9,"",IF(COUNTIFS(Base!$B$3:$B$5001,F$162,Base!$A$3:$A$5001,"&gt;="&amp;$C$7,Base!$A$3:$A$5001,"&lt;="&amp;$B181,Base!$X$3:$X$5001,"&lt;&gt;")=0,"",SUMIFS(Base!$X$3:$X$5001,Base!$B$3:$B$5001,F$162,Base!$A$3:$A$5001,_xlfn.MAXIFS(Base!$A$3:$A$5001,Base!$B$3:$B$5001,F$162,Base!$A$3:$A$5001,"&gt;="&amp;$C$7,Base!$A$3:$A$5001,"&lt;="&amp;$B181,Base!$X$3:$X$5001,"&lt;&gt;"))))</f>
        <v/>
      </c>
      <c r="G181" t="str">
        <f>IF($A181&gt;$B$9,"",IF(COUNTIFS(Base!$B$3:$B$5001,G$162,Base!$A$3:$A$5001,"&gt;="&amp;$C$7,Base!$A$3:$A$5001,"&lt;="&amp;$B181,Base!$X$3:$X$5001,"&lt;&gt;")=0,"",SUMIFS(Base!$X$3:$X$5001,Base!$B$3:$B$5001,G$162,Base!$A$3:$A$5001,_xlfn.MAXIFS(Base!$A$3:$A$5001,Base!$B$3:$B$5001,G$162,Base!$A$3:$A$5001,"&gt;="&amp;$C$7,Base!$A$3:$A$5001,"&lt;="&amp;$B181,Base!$X$3:$X$5001,"&lt;&gt;"))))</f>
        <v/>
      </c>
      <c r="H181" t="str">
        <f>IF($A181&gt;$B$9,"",IF(COUNTIFS(Base!$B$3:$B$5001,H$162,Base!$A$3:$A$5001,"&gt;="&amp;$C$7,Base!$A$3:$A$5001,"&lt;="&amp;$B181,Base!$X$3:$X$5001,"&lt;&gt;")=0,"",SUMIFS(Base!$X$3:$X$5001,Base!$B$3:$B$5001,H$162,Base!$A$3:$A$5001,_xlfn.MAXIFS(Base!$A$3:$A$5001,Base!$B$3:$B$5001,H$162,Base!$A$3:$A$5001,"&gt;="&amp;$C$7,Base!$A$3:$A$5001,"&lt;="&amp;$B181,Base!$X$3:$X$5001,"&lt;&gt;"))))</f>
        <v/>
      </c>
      <c r="I181" t="str">
        <f>IF($A181&gt;$B$9,"",IF(COUNTIFS(Base!$B$3:$B$5001,I$162,Base!$A$3:$A$5001,"&gt;="&amp;$C$7,Base!$A$3:$A$5001,"&lt;="&amp;$B181,Base!$X$3:$X$5001,"&lt;&gt;")=0,"",SUMIFS(Base!$X$3:$X$5001,Base!$B$3:$B$5001,I$162,Base!$A$3:$A$5001,_xlfn.MAXIFS(Base!$A$3:$A$5001,Base!$B$3:$B$5001,I$162,Base!$A$3:$A$5001,"&gt;="&amp;$C$7,Base!$A$3:$A$5001,"&lt;="&amp;$B181,Base!$X$3:$X$5001,"&lt;&gt;"))))</f>
        <v/>
      </c>
      <c r="J181" t="str">
        <f>IF($A181&gt;$B$9,"",IF(COUNTIFS(Base!$B$3:$B$5001,J$162,Base!$A$3:$A$5001,"&gt;="&amp;$C$7,Base!$A$3:$A$5001,"&lt;="&amp;$B181,Base!$X$3:$X$5001,"&lt;&gt;")=0,"",SUMIFS(Base!$X$3:$X$5001,Base!$B$3:$B$5001,J$162,Base!$A$3:$A$5001,_xlfn.MAXIFS(Base!$A$3:$A$5001,Base!$B$3:$B$5001,J$162,Base!$A$3:$A$5001,"&gt;="&amp;$C$7,Base!$A$3:$A$5001,"&lt;="&amp;$B181,Base!$X$3:$X$5001,"&lt;&gt;"))))</f>
        <v/>
      </c>
      <c r="K181" t="str">
        <f>IF($A181&gt;$B$9,"",IF(COUNTIFS(Base!$B$3:$B$5001,K$162,Base!$A$3:$A$5001,"&gt;="&amp;$C$7,Base!$A$3:$A$5001,"&lt;="&amp;$B181,Base!$X$3:$X$5001,"&lt;&gt;")=0,"",SUMIFS(Base!$X$3:$X$5001,Base!$B$3:$B$5001,K$162,Base!$A$3:$A$5001,_xlfn.MAXIFS(Base!$A$3:$A$5001,Base!$B$3:$B$5001,K$162,Base!$A$3:$A$5001,"&gt;="&amp;$C$7,Base!$A$3:$A$5001,"&lt;="&amp;$B181,Base!$X$3:$X$5001,"&lt;&gt;"))))</f>
        <v/>
      </c>
    </row>
    <row r="182">
      <c r="A182">
        <v>20</v>
      </c>
      <c r="B182" s="152">
        <f>$B$31</f>
        <v>46285</v>
      </c>
      <c r="C182" t="str">
        <f>IF($A182&gt;$B$9,"",IF(COUNTIFS(Base!$B$3:$B$5001,C$162,Base!$A$3:$A$5001,"&gt;="&amp;$C$7,Base!$A$3:$A$5001,"&lt;="&amp;$B182,Base!$X$3:$X$5001,"&lt;&gt;")=0,"",SUMIFS(Base!$X$3:$X$5001,Base!$B$3:$B$5001,C$162,Base!$A$3:$A$5001,_xlfn.MAXIFS(Base!$A$3:$A$5001,Base!$B$3:$B$5001,C$162,Base!$A$3:$A$5001,"&gt;="&amp;$C$7,Base!$A$3:$A$5001,"&lt;="&amp;$B182,Base!$X$3:$X$5001,"&lt;&gt;"))))</f>
        <v/>
      </c>
      <c r="D182" t="str">
        <f>IF($A182&gt;$B$9,"",IF(COUNTIFS(Base!$B$3:$B$5001,D$162,Base!$A$3:$A$5001,"&gt;="&amp;$C$7,Base!$A$3:$A$5001,"&lt;="&amp;$B182,Base!$X$3:$X$5001,"&lt;&gt;")=0,"",SUMIFS(Base!$X$3:$X$5001,Base!$B$3:$B$5001,D$162,Base!$A$3:$A$5001,_xlfn.MAXIFS(Base!$A$3:$A$5001,Base!$B$3:$B$5001,D$162,Base!$A$3:$A$5001,"&gt;="&amp;$C$7,Base!$A$3:$A$5001,"&lt;="&amp;$B182,Base!$X$3:$X$5001,"&lt;&gt;"))))</f>
        <v/>
      </c>
      <c r="E182" t="str">
        <f>IF($A182&gt;$B$9,"",IF(COUNTIFS(Base!$B$3:$B$5001,E$162,Base!$A$3:$A$5001,"&gt;="&amp;$C$7,Base!$A$3:$A$5001,"&lt;="&amp;$B182,Base!$X$3:$X$5001,"&lt;&gt;")=0,"",SUMIFS(Base!$X$3:$X$5001,Base!$B$3:$B$5001,E$162,Base!$A$3:$A$5001,_xlfn.MAXIFS(Base!$A$3:$A$5001,Base!$B$3:$B$5001,E$162,Base!$A$3:$A$5001,"&gt;="&amp;$C$7,Base!$A$3:$A$5001,"&lt;="&amp;$B182,Base!$X$3:$X$5001,"&lt;&gt;"))))</f>
        <v/>
      </c>
      <c r="F182" t="str">
        <f>IF($A182&gt;$B$9,"",IF(COUNTIFS(Base!$B$3:$B$5001,F$162,Base!$A$3:$A$5001,"&gt;="&amp;$C$7,Base!$A$3:$A$5001,"&lt;="&amp;$B182,Base!$X$3:$X$5001,"&lt;&gt;")=0,"",SUMIFS(Base!$X$3:$X$5001,Base!$B$3:$B$5001,F$162,Base!$A$3:$A$5001,_xlfn.MAXIFS(Base!$A$3:$A$5001,Base!$B$3:$B$5001,F$162,Base!$A$3:$A$5001,"&gt;="&amp;$C$7,Base!$A$3:$A$5001,"&lt;="&amp;$B182,Base!$X$3:$X$5001,"&lt;&gt;"))))</f>
        <v/>
      </c>
      <c r="G182" t="str">
        <f>IF($A182&gt;$B$9,"",IF(COUNTIFS(Base!$B$3:$B$5001,G$162,Base!$A$3:$A$5001,"&gt;="&amp;$C$7,Base!$A$3:$A$5001,"&lt;="&amp;$B182,Base!$X$3:$X$5001,"&lt;&gt;")=0,"",SUMIFS(Base!$X$3:$X$5001,Base!$B$3:$B$5001,G$162,Base!$A$3:$A$5001,_xlfn.MAXIFS(Base!$A$3:$A$5001,Base!$B$3:$B$5001,G$162,Base!$A$3:$A$5001,"&gt;="&amp;$C$7,Base!$A$3:$A$5001,"&lt;="&amp;$B182,Base!$X$3:$X$5001,"&lt;&gt;"))))</f>
        <v/>
      </c>
      <c r="H182" t="str">
        <f>IF($A182&gt;$B$9,"",IF(COUNTIFS(Base!$B$3:$B$5001,H$162,Base!$A$3:$A$5001,"&gt;="&amp;$C$7,Base!$A$3:$A$5001,"&lt;="&amp;$B182,Base!$X$3:$X$5001,"&lt;&gt;")=0,"",SUMIFS(Base!$X$3:$X$5001,Base!$B$3:$B$5001,H$162,Base!$A$3:$A$5001,_xlfn.MAXIFS(Base!$A$3:$A$5001,Base!$B$3:$B$5001,H$162,Base!$A$3:$A$5001,"&gt;="&amp;$C$7,Base!$A$3:$A$5001,"&lt;="&amp;$B182,Base!$X$3:$X$5001,"&lt;&gt;"))))</f>
        <v/>
      </c>
      <c r="I182" t="str">
        <f>IF($A182&gt;$B$9,"",IF(COUNTIFS(Base!$B$3:$B$5001,I$162,Base!$A$3:$A$5001,"&gt;="&amp;$C$7,Base!$A$3:$A$5001,"&lt;="&amp;$B182,Base!$X$3:$X$5001,"&lt;&gt;")=0,"",SUMIFS(Base!$X$3:$X$5001,Base!$B$3:$B$5001,I$162,Base!$A$3:$A$5001,_xlfn.MAXIFS(Base!$A$3:$A$5001,Base!$B$3:$B$5001,I$162,Base!$A$3:$A$5001,"&gt;="&amp;$C$7,Base!$A$3:$A$5001,"&lt;="&amp;$B182,Base!$X$3:$X$5001,"&lt;&gt;"))))</f>
        <v/>
      </c>
      <c r="J182" t="str">
        <f>IF($A182&gt;$B$9,"",IF(COUNTIFS(Base!$B$3:$B$5001,J$162,Base!$A$3:$A$5001,"&gt;="&amp;$C$7,Base!$A$3:$A$5001,"&lt;="&amp;$B182,Base!$X$3:$X$5001,"&lt;&gt;")=0,"",SUMIFS(Base!$X$3:$X$5001,Base!$B$3:$B$5001,J$162,Base!$A$3:$A$5001,_xlfn.MAXIFS(Base!$A$3:$A$5001,Base!$B$3:$B$5001,J$162,Base!$A$3:$A$5001,"&gt;="&amp;$C$7,Base!$A$3:$A$5001,"&lt;="&amp;$B182,Base!$X$3:$X$5001,"&lt;&gt;"))))</f>
        <v/>
      </c>
      <c r="K182" t="str">
        <f>IF($A182&gt;$B$9,"",IF(COUNTIFS(Base!$B$3:$B$5001,K$162,Base!$A$3:$A$5001,"&gt;="&amp;$C$7,Base!$A$3:$A$5001,"&lt;="&amp;$B182,Base!$X$3:$X$5001,"&lt;&gt;")=0,"",SUMIFS(Base!$X$3:$X$5001,Base!$B$3:$B$5001,K$162,Base!$A$3:$A$5001,_xlfn.MAXIFS(Base!$A$3:$A$5001,Base!$B$3:$B$5001,K$162,Base!$A$3:$A$5001,"&gt;="&amp;$C$7,Base!$A$3:$A$5001,"&lt;="&amp;$B182,Base!$X$3:$X$5001,"&lt;&gt;"))))</f>
        <v/>
      </c>
    </row>
    <row r="183">
      <c r="A183">
        <v>21</v>
      </c>
      <c r="B183" s="152">
        <f>$B$32</f>
        <v>46286</v>
      </c>
      <c r="C183" t="str">
        <f>IF($A183&gt;$B$9,"",IF(COUNTIFS(Base!$B$3:$B$5001,C$162,Base!$A$3:$A$5001,"&gt;="&amp;$C$7,Base!$A$3:$A$5001,"&lt;="&amp;$B183,Base!$X$3:$X$5001,"&lt;&gt;")=0,"",SUMIFS(Base!$X$3:$X$5001,Base!$B$3:$B$5001,C$162,Base!$A$3:$A$5001,_xlfn.MAXIFS(Base!$A$3:$A$5001,Base!$B$3:$B$5001,C$162,Base!$A$3:$A$5001,"&gt;="&amp;$C$7,Base!$A$3:$A$5001,"&lt;="&amp;$B183,Base!$X$3:$X$5001,"&lt;&gt;"))))</f>
        <v/>
      </c>
      <c r="D183" t="str">
        <f>IF($A183&gt;$B$9,"",IF(COUNTIFS(Base!$B$3:$B$5001,D$162,Base!$A$3:$A$5001,"&gt;="&amp;$C$7,Base!$A$3:$A$5001,"&lt;="&amp;$B183,Base!$X$3:$X$5001,"&lt;&gt;")=0,"",SUMIFS(Base!$X$3:$X$5001,Base!$B$3:$B$5001,D$162,Base!$A$3:$A$5001,_xlfn.MAXIFS(Base!$A$3:$A$5001,Base!$B$3:$B$5001,D$162,Base!$A$3:$A$5001,"&gt;="&amp;$C$7,Base!$A$3:$A$5001,"&lt;="&amp;$B183,Base!$X$3:$X$5001,"&lt;&gt;"))))</f>
        <v/>
      </c>
      <c r="E183" t="str">
        <f>IF($A183&gt;$B$9,"",IF(COUNTIFS(Base!$B$3:$B$5001,E$162,Base!$A$3:$A$5001,"&gt;="&amp;$C$7,Base!$A$3:$A$5001,"&lt;="&amp;$B183,Base!$X$3:$X$5001,"&lt;&gt;")=0,"",SUMIFS(Base!$X$3:$X$5001,Base!$B$3:$B$5001,E$162,Base!$A$3:$A$5001,_xlfn.MAXIFS(Base!$A$3:$A$5001,Base!$B$3:$B$5001,E$162,Base!$A$3:$A$5001,"&gt;="&amp;$C$7,Base!$A$3:$A$5001,"&lt;="&amp;$B183,Base!$X$3:$X$5001,"&lt;&gt;"))))</f>
        <v/>
      </c>
      <c r="F183" t="str">
        <f>IF($A183&gt;$B$9,"",IF(COUNTIFS(Base!$B$3:$B$5001,F$162,Base!$A$3:$A$5001,"&gt;="&amp;$C$7,Base!$A$3:$A$5001,"&lt;="&amp;$B183,Base!$X$3:$X$5001,"&lt;&gt;")=0,"",SUMIFS(Base!$X$3:$X$5001,Base!$B$3:$B$5001,F$162,Base!$A$3:$A$5001,_xlfn.MAXIFS(Base!$A$3:$A$5001,Base!$B$3:$B$5001,F$162,Base!$A$3:$A$5001,"&gt;="&amp;$C$7,Base!$A$3:$A$5001,"&lt;="&amp;$B183,Base!$X$3:$X$5001,"&lt;&gt;"))))</f>
        <v/>
      </c>
      <c r="G183" t="str">
        <f>IF($A183&gt;$B$9,"",IF(COUNTIFS(Base!$B$3:$B$5001,G$162,Base!$A$3:$A$5001,"&gt;="&amp;$C$7,Base!$A$3:$A$5001,"&lt;="&amp;$B183,Base!$X$3:$X$5001,"&lt;&gt;")=0,"",SUMIFS(Base!$X$3:$X$5001,Base!$B$3:$B$5001,G$162,Base!$A$3:$A$5001,_xlfn.MAXIFS(Base!$A$3:$A$5001,Base!$B$3:$B$5001,G$162,Base!$A$3:$A$5001,"&gt;="&amp;$C$7,Base!$A$3:$A$5001,"&lt;="&amp;$B183,Base!$X$3:$X$5001,"&lt;&gt;"))))</f>
        <v/>
      </c>
      <c r="H183" t="str">
        <f>IF($A183&gt;$B$9,"",IF(COUNTIFS(Base!$B$3:$B$5001,H$162,Base!$A$3:$A$5001,"&gt;="&amp;$C$7,Base!$A$3:$A$5001,"&lt;="&amp;$B183,Base!$X$3:$X$5001,"&lt;&gt;")=0,"",SUMIFS(Base!$X$3:$X$5001,Base!$B$3:$B$5001,H$162,Base!$A$3:$A$5001,_xlfn.MAXIFS(Base!$A$3:$A$5001,Base!$B$3:$B$5001,H$162,Base!$A$3:$A$5001,"&gt;="&amp;$C$7,Base!$A$3:$A$5001,"&lt;="&amp;$B183,Base!$X$3:$X$5001,"&lt;&gt;"))))</f>
        <v/>
      </c>
      <c r="I183" t="str">
        <f>IF($A183&gt;$B$9,"",IF(COUNTIFS(Base!$B$3:$B$5001,I$162,Base!$A$3:$A$5001,"&gt;="&amp;$C$7,Base!$A$3:$A$5001,"&lt;="&amp;$B183,Base!$X$3:$X$5001,"&lt;&gt;")=0,"",SUMIFS(Base!$X$3:$X$5001,Base!$B$3:$B$5001,I$162,Base!$A$3:$A$5001,_xlfn.MAXIFS(Base!$A$3:$A$5001,Base!$B$3:$B$5001,I$162,Base!$A$3:$A$5001,"&gt;="&amp;$C$7,Base!$A$3:$A$5001,"&lt;="&amp;$B183,Base!$X$3:$X$5001,"&lt;&gt;"))))</f>
        <v/>
      </c>
      <c r="J183" t="str">
        <f>IF($A183&gt;$B$9,"",IF(COUNTIFS(Base!$B$3:$B$5001,J$162,Base!$A$3:$A$5001,"&gt;="&amp;$C$7,Base!$A$3:$A$5001,"&lt;="&amp;$B183,Base!$X$3:$X$5001,"&lt;&gt;")=0,"",SUMIFS(Base!$X$3:$X$5001,Base!$B$3:$B$5001,J$162,Base!$A$3:$A$5001,_xlfn.MAXIFS(Base!$A$3:$A$5001,Base!$B$3:$B$5001,J$162,Base!$A$3:$A$5001,"&gt;="&amp;$C$7,Base!$A$3:$A$5001,"&lt;="&amp;$B183,Base!$X$3:$X$5001,"&lt;&gt;"))))</f>
        <v/>
      </c>
      <c r="K183" t="str">
        <f>IF($A183&gt;$B$9,"",IF(COUNTIFS(Base!$B$3:$B$5001,K$162,Base!$A$3:$A$5001,"&gt;="&amp;$C$7,Base!$A$3:$A$5001,"&lt;="&amp;$B183,Base!$X$3:$X$5001,"&lt;&gt;")=0,"",SUMIFS(Base!$X$3:$X$5001,Base!$B$3:$B$5001,K$162,Base!$A$3:$A$5001,_xlfn.MAXIFS(Base!$A$3:$A$5001,Base!$B$3:$B$5001,K$162,Base!$A$3:$A$5001,"&gt;="&amp;$C$7,Base!$A$3:$A$5001,"&lt;="&amp;$B183,Base!$X$3:$X$5001,"&lt;&gt;"))))</f>
        <v/>
      </c>
    </row>
    <row r="184">
      <c r="A184">
        <v>22</v>
      </c>
      <c r="B184" s="152">
        <f>$B$33</f>
        <v>46287</v>
      </c>
      <c r="C184" t="str">
        <f>IF($A184&gt;$B$9,"",IF(COUNTIFS(Base!$B$3:$B$5001,C$162,Base!$A$3:$A$5001,"&gt;="&amp;$C$7,Base!$A$3:$A$5001,"&lt;="&amp;$B184,Base!$X$3:$X$5001,"&lt;&gt;")=0,"",SUMIFS(Base!$X$3:$X$5001,Base!$B$3:$B$5001,C$162,Base!$A$3:$A$5001,_xlfn.MAXIFS(Base!$A$3:$A$5001,Base!$B$3:$B$5001,C$162,Base!$A$3:$A$5001,"&gt;="&amp;$C$7,Base!$A$3:$A$5001,"&lt;="&amp;$B184,Base!$X$3:$X$5001,"&lt;&gt;"))))</f>
        <v/>
      </c>
      <c r="D184" t="str">
        <f>IF($A184&gt;$B$9,"",IF(COUNTIFS(Base!$B$3:$B$5001,D$162,Base!$A$3:$A$5001,"&gt;="&amp;$C$7,Base!$A$3:$A$5001,"&lt;="&amp;$B184,Base!$X$3:$X$5001,"&lt;&gt;")=0,"",SUMIFS(Base!$X$3:$X$5001,Base!$B$3:$B$5001,D$162,Base!$A$3:$A$5001,_xlfn.MAXIFS(Base!$A$3:$A$5001,Base!$B$3:$B$5001,D$162,Base!$A$3:$A$5001,"&gt;="&amp;$C$7,Base!$A$3:$A$5001,"&lt;="&amp;$B184,Base!$X$3:$X$5001,"&lt;&gt;"))))</f>
        <v/>
      </c>
      <c r="E184" t="str">
        <f>IF($A184&gt;$B$9,"",IF(COUNTIFS(Base!$B$3:$B$5001,E$162,Base!$A$3:$A$5001,"&gt;="&amp;$C$7,Base!$A$3:$A$5001,"&lt;="&amp;$B184,Base!$X$3:$X$5001,"&lt;&gt;")=0,"",SUMIFS(Base!$X$3:$X$5001,Base!$B$3:$B$5001,E$162,Base!$A$3:$A$5001,_xlfn.MAXIFS(Base!$A$3:$A$5001,Base!$B$3:$B$5001,E$162,Base!$A$3:$A$5001,"&gt;="&amp;$C$7,Base!$A$3:$A$5001,"&lt;="&amp;$B184,Base!$X$3:$X$5001,"&lt;&gt;"))))</f>
        <v/>
      </c>
      <c r="F184" t="str">
        <f>IF($A184&gt;$B$9,"",IF(COUNTIFS(Base!$B$3:$B$5001,F$162,Base!$A$3:$A$5001,"&gt;="&amp;$C$7,Base!$A$3:$A$5001,"&lt;="&amp;$B184,Base!$X$3:$X$5001,"&lt;&gt;")=0,"",SUMIFS(Base!$X$3:$X$5001,Base!$B$3:$B$5001,F$162,Base!$A$3:$A$5001,_xlfn.MAXIFS(Base!$A$3:$A$5001,Base!$B$3:$B$5001,F$162,Base!$A$3:$A$5001,"&gt;="&amp;$C$7,Base!$A$3:$A$5001,"&lt;="&amp;$B184,Base!$X$3:$X$5001,"&lt;&gt;"))))</f>
        <v/>
      </c>
      <c r="G184" t="str">
        <f>IF($A184&gt;$B$9,"",IF(COUNTIFS(Base!$B$3:$B$5001,G$162,Base!$A$3:$A$5001,"&gt;="&amp;$C$7,Base!$A$3:$A$5001,"&lt;="&amp;$B184,Base!$X$3:$X$5001,"&lt;&gt;")=0,"",SUMIFS(Base!$X$3:$X$5001,Base!$B$3:$B$5001,G$162,Base!$A$3:$A$5001,_xlfn.MAXIFS(Base!$A$3:$A$5001,Base!$B$3:$B$5001,G$162,Base!$A$3:$A$5001,"&gt;="&amp;$C$7,Base!$A$3:$A$5001,"&lt;="&amp;$B184,Base!$X$3:$X$5001,"&lt;&gt;"))))</f>
        <v/>
      </c>
      <c r="H184" t="str">
        <f>IF($A184&gt;$B$9,"",IF(COUNTIFS(Base!$B$3:$B$5001,H$162,Base!$A$3:$A$5001,"&gt;="&amp;$C$7,Base!$A$3:$A$5001,"&lt;="&amp;$B184,Base!$X$3:$X$5001,"&lt;&gt;")=0,"",SUMIFS(Base!$X$3:$X$5001,Base!$B$3:$B$5001,H$162,Base!$A$3:$A$5001,_xlfn.MAXIFS(Base!$A$3:$A$5001,Base!$B$3:$B$5001,H$162,Base!$A$3:$A$5001,"&gt;="&amp;$C$7,Base!$A$3:$A$5001,"&lt;="&amp;$B184,Base!$X$3:$X$5001,"&lt;&gt;"))))</f>
        <v/>
      </c>
      <c r="I184" t="str">
        <f>IF($A184&gt;$B$9,"",IF(COUNTIFS(Base!$B$3:$B$5001,I$162,Base!$A$3:$A$5001,"&gt;="&amp;$C$7,Base!$A$3:$A$5001,"&lt;="&amp;$B184,Base!$X$3:$X$5001,"&lt;&gt;")=0,"",SUMIFS(Base!$X$3:$X$5001,Base!$B$3:$B$5001,I$162,Base!$A$3:$A$5001,_xlfn.MAXIFS(Base!$A$3:$A$5001,Base!$B$3:$B$5001,I$162,Base!$A$3:$A$5001,"&gt;="&amp;$C$7,Base!$A$3:$A$5001,"&lt;="&amp;$B184,Base!$X$3:$X$5001,"&lt;&gt;"))))</f>
        <v/>
      </c>
      <c r="J184" t="str">
        <f>IF($A184&gt;$B$9,"",IF(COUNTIFS(Base!$B$3:$B$5001,J$162,Base!$A$3:$A$5001,"&gt;="&amp;$C$7,Base!$A$3:$A$5001,"&lt;="&amp;$B184,Base!$X$3:$X$5001,"&lt;&gt;")=0,"",SUMIFS(Base!$X$3:$X$5001,Base!$B$3:$B$5001,J$162,Base!$A$3:$A$5001,_xlfn.MAXIFS(Base!$A$3:$A$5001,Base!$B$3:$B$5001,J$162,Base!$A$3:$A$5001,"&gt;="&amp;$C$7,Base!$A$3:$A$5001,"&lt;="&amp;$B184,Base!$X$3:$X$5001,"&lt;&gt;"))))</f>
        <v/>
      </c>
      <c r="K184" t="str">
        <f>IF($A184&gt;$B$9,"",IF(COUNTIFS(Base!$B$3:$B$5001,K$162,Base!$A$3:$A$5001,"&gt;="&amp;$C$7,Base!$A$3:$A$5001,"&lt;="&amp;$B184,Base!$X$3:$X$5001,"&lt;&gt;")=0,"",SUMIFS(Base!$X$3:$X$5001,Base!$B$3:$B$5001,K$162,Base!$A$3:$A$5001,_xlfn.MAXIFS(Base!$A$3:$A$5001,Base!$B$3:$B$5001,K$162,Base!$A$3:$A$5001,"&gt;="&amp;$C$7,Base!$A$3:$A$5001,"&lt;="&amp;$B184,Base!$X$3:$X$5001,"&lt;&gt;"))))</f>
        <v/>
      </c>
    </row>
    <row r="185">
      <c r="A185">
        <v>23</v>
      </c>
      <c r="B185" s="152">
        <f>$B$34</f>
        <v>46288</v>
      </c>
      <c r="C185" t="str">
        <f>IF($A185&gt;$B$9,"",IF(COUNTIFS(Base!$B$3:$B$5001,C$162,Base!$A$3:$A$5001,"&gt;="&amp;$C$7,Base!$A$3:$A$5001,"&lt;="&amp;$B185,Base!$X$3:$X$5001,"&lt;&gt;")=0,"",SUMIFS(Base!$X$3:$X$5001,Base!$B$3:$B$5001,C$162,Base!$A$3:$A$5001,_xlfn.MAXIFS(Base!$A$3:$A$5001,Base!$B$3:$B$5001,C$162,Base!$A$3:$A$5001,"&gt;="&amp;$C$7,Base!$A$3:$A$5001,"&lt;="&amp;$B185,Base!$X$3:$X$5001,"&lt;&gt;"))))</f>
        <v/>
      </c>
      <c r="D185" t="str">
        <f>IF($A185&gt;$B$9,"",IF(COUNTIFS(Base!$B$3:$B$5001,D$162,Base!$A$3:$A$5001,"&gt;="&amp;$C$7,Base!$A$3:$A$5001,"&lt;="&amp;$B185,Base!$X$3:$X$5001,"&lt;&gt;")=0,"",SUMIFS(Base!$X$3:$X$5001,Base!$B$3:$B$5001,D$162,Base!$A$3:$A$5001,_xlfn.MAXIFS(Base!$A$3:$A$5001,Base!$B$3:$B$5001,D$162,Base!$A$3:$A$5001,"&gt;="&amp;$C$7,Base!$A$3:$A$5001,"&lt;="&amp;$B185,Base!$X$3:$X$5001,"&lt;&gt;"))))</f>
        <v/>
      </c>
      <c r="E185" t="str">
        <f>IF($A185&gt;$B$9,"",IF(COUNTIFS(Base!$B$3:$B$5001,E$162,Base!$A$3:$A$5001,"&gt;="&amp;$C$7,Base!$A$3:$A$5001,"&lt;="&amp;$B185,Base!$X$3:$X$5001,"&lt;&gt;")=0,"",SUMIFS(Base!$X$3:$X$5001,Base!$B$3:$B$5001,E$162,Base!$A$3:$A$5001,_xlfn.MAXIFS(Base!$A$3:$A$5001,Base!$B$3:$B$5001,E$162,Base!$A$3:$A$5001,"&gt;="&amp;$C$7,Base!$A$3:$A$5001,"&lt;="&amp;$B185,Base!$X$3:$X$5001,"&lt;&gt;"))))</f>
        <v/>
      </c>
      <c r="F185" t="str">
        <f>IF($A185&gt;$B$9,"",IF(COUNTIFS(Base!$B$3:$B$5001,F$162,Base!$A$3:$A$5001,"&gt;="&amp;$C$7,Base!$A$3:$A$5001,"&lt;="&amp;$B185,Base!$X$3:$X$5001,"&lt;&gt;")=0,"",SUMIFS(Base!$X$3:$X$5001,Base!$B$3:$B$5001,F$162,Base!$A$3:$A$5001,_xlfn.MAXIFS(Base!$A$3:$A$5001,Base!$B$3:$B$5001,F$162,Base!$A$3:$A$5001,"&gt;="&amp;$C$7,Base!$A$3:$A$5001,"&lt;="&amp;$B185,Base!$X$3:$X$5001,"&lt;&gt;"))))</f>
        <v/>
      </c>
      <c r="G185" t="str">
        <f>IF($A185&gt;$B$9,"",IF(COUNTIFS(Base!$B$3:$B$5001,G$162,Base!$A$3:$A$5001,"&gt;="&amp;$C$7,Base!$A$3:$A$5001,"&lt;="&amp;$B185,Base!$X$3:$X$5001,"&lt;&gt;")=0,"",SUMIFS(Base!$X$3:$X$5001,Base!$B$3:$B$5001,G$162,Base!$A$3:$A$5001,_xlfn.MAXIFS(Base!$A$3:$A$5001,Base!$B$3:$B$5001,G$162,Base!$A$3:$A$5001,"&gt;="&amp;$C$7,Base!$A$3:$A$5001,"&lt;="&amp;$B185,Base!$X$3:$X$5001,"&lt;&gt;"))))</f>
        <v/>
      </c>
      <c r="H185" t="str">
        <f>IF($A185&gt;$B$9,"",IF(COUNTIFS(Base!$B$3:$B$5001,H$162,Base!$A$3:$A$5001,"&gt;="&amp;$C$7,Base!$A$3:$A$5001,"&lt;="&amp;$B185,Base!$X$3:$X$5001,"&lt;&gt;")=0,"",SUMIFS(Base!$X$3:$X$5001,Base!$B$3:$B$5001,H$162,Base!$A$3:$A$5001,_xlfn.MAXIFS(Base!$A$3:$A$5001,Base!$B$3:$B$5001,H$162,Base!$A$3:$A$5001,"&gt;="&amp;$C$7,Base!$A$3:$A$5001,"&lt;="&amp;$B185,Base!$X$3:$X$5001,"&lt;&gt;"))))</f>
        <v/>
      </c>
      <c r="I185" t="str">
        <f>IF($A185&gt;$B$9,"",IF(COUNTIFS(Base!$B$3:$B$5001,I$162,Base!$A$3:$A$5001,"&gt;="&amp;$C$7,Base!$A$3:$A$5001,"&lt;="&amp;$B185,Base!$X$3:$X$5001,"&lt;&gt;")=0,"",SUMIFS(Base!$X$3:$X$5001,Base!$B$3:$B$5001,I$162,Base!$A$3:$A$5001,_xlfn.MAXIFS(Base!$A$3:$A$5001,Base!$B$3:$B$5001,I$162,Base!$A$3:$A$5001,"&gt;="&amp;$C$7,Base!$A$3:$A$5001,"&lt;="&amp;$B185,Base!$X$3:$X$5001,"&lt;&gt;"))))</f>
        <v/>
      </c>
      <c r="J185" t="str">
        <f>IF($A185&gt;$B$9,"",IF(COUNTIFS(Base!$B$3:$B$5001,J$162,Base!$A$3:$A$5001,"&gt;="&amp;$C$7,Base!$A$3:$A$5001,"&lt;="&amp;$B185,Base!$X$3:$X$5001,"&lt;&gt;")=0,"",SUMIFS(Base!$X$3:$X$5001,Base!$B$3:$B$5001,J$162,Base!$A$3:$A$5001,_xlfn.MAXIFS(Base!$A$3:$A$5001,Base!$B$3:$B$5001,J$162,Base!$A$3:$A$5001,"&gt;="&amp;$C$7,Base!$A$3:$A$5001,"&lt;="&amp;$B185,Base!$X$3:$X$5001,"&lt;&gt;"))))</f>
        <v/>
      </c>
      <c r="K185" t="str">
        <f>IF($A185&gt;$B$9,"",IF(COUNTIFS(Base!$B$3:$B$5001,K$162,Base!$A$3:$A$5001,"&gt;="&amp;$C$7,Base!$A$3:$A$5001,"&lt;="&amp;$B185,Base!$X$3:$X$5001,"&lt;&gt;")=0,"",SUMIFS(Base!$X$3:$X$5001,Base!$B$3:$B$5001,K$162,Base!$A$3:$A$5001,_xlfn.MAXIFS(Base!$A$3:$A$5001,Base!$B$3:$B$5001,K$162,Base!$A$3:$A$5001,"&gt;="&amp;$C$7,Base!$A$3:$A$5001,"&lt;="&amp;$B185,Base!$X$3:$X$5001,"&lt;&gt;"))))</f>
        <v/>
      </c>
    </row>
    <row r="186">
      <c r="A186">
        <v>24</v>
      </c>
      <c r="B186" s="152">
        <f>$B$35</f>
        <v>46289</v>
      </c>
      <c r="C186" t="str">
        <f>IF($A186&gt;$B$9,"",IF(COUNTIFS(Base!$B$3:$B$5001,C$162,Base!$A$3:$A$5001,"&gt;="&amp;$C$7,Base!$A$3:$A$5001,"&lt;="&amp;$B186,Base!$X$3:$X$5001,"&lt;&gt;")=0,"",SUMIFS(Base!$X$3:$X$5001,Base!$B$3:$B$5001,C$162,Base!$A$3:$A$5001,_xlfn.MAXIFS(Base!$A$3:$A$5001,Base!$B$3:$B$5001,C$162,Base!$A$3:$A$5001,"&gt;="&amp;$C$7,Base!$A$3:$A$5001,"&lt;="&amp;$B186,Base!$X$3:$X$5001,"&lt;&gt;"))))</f>
        <v/>
      </c>
      <c r="D186" t="str">
        <f>IF($A186&gt;$B$9,"",IF(COUNTIFS(Base!$B$3:$B$5001,D$162,Base!$A$3:$A$5001,"&gt;="&amp;$C$7,Base!$A$3:$A$5001,"&lt;="&amp;$B186,Base!$X$3:$X$5001,"&lt;&gt;")=0,"",SUMIFS(Base!$X$3:$X$5001,Base!$B$3:$B$5001,D$162,Base!$A$3:$A$5001,_xlfn.MAXIFS(Base!$A$3:$A$5001,Base!$B$3:$B$5001,D$162,Base!$A$3:$A$5001,"&gt;="&amp;$C$7,Base!$A$3:$A$5001,"&lt;="&amp;$B186,Base!$X$3:$X$5001,"&lt;&gt;"))))</f>
        <v/>
      </c>
      <c r="E186" t="str">
        <f>IF($A186&gt;$B$9,"",IF(COUNTIFS(Base!$B$3:$B$5001,E$162,Base!$A$3:$A$5001,"&gt;="&amp;$C$7,Base!$A$3:$A$5001,"&lt;="&amp;$B186,Base!$X$3:$X$5001,"&lt;&gt;")=0,"",SUMIFS(Base!$X$3:$X$5001,Base!$B$3:$B$5001,E$162,Base!$A$3:$A$5001,_xlfn.MAXIFS(Base!$A$3:$A$5001,Base!$B$3:$B$5001,E$162,Base!$A$3:$A$5001,"&gt;="&amp;$C$7,Base!$A$3:$A$5001,"&lt;="&amp;$B186,Base!$X$3:$X$5001,"&lt;&gt;"))))</f>
        <v/>
      </c>
      <c r="F186" t="str">
        <f>IF($A186&gt;$B$9,"",IF(COUNTIFS(Base!$B$3:$B$5001,F$162,Base!$A$3:$A$5001,"&gt;="&amp;$C$7,Base!$A$3:$A$5001,"&lt;="&amp;$B186,Base!$X$3:$X$5001,"&lt;&gt;")=0,"",SUMIFS(Base!$X$3:$X$5001,Base!$B$3:$B$5001,F$162,Base!$A$3:$A$5001,_xlfn.MAXIFS(Base!$A$3:$A$5001,Base!$B$3:$B$5001,F$162,Base!$A$3:$A$5001,"&gt;="&amp;$C$7,Base!$A$3:$A$5001,"&lt;="&amp;$B186,Base!$X$3:$X$5001,"&lt;&gt;"))))</f>
        <v/>
      </c>
      <c r="G186" t="str">
        <f>IF($A186&gt;$B$9,"",IF(COUNTIFS(Base!$B$3:$B$5001,G$162,Base!$A$3:$A$5001,"&gt;="&amp;$C$7,Base!$A$3:$A$5001,"&lt;="&amp;$B186,Base!$X$3:$X$5001,"&lt;&gt;")=0,"",SUMIFS(Base!$X$3:$X$5001,Base!$B$3:$B$5001,G$162,Base!$A$3:$A$5001,_xlfn.MAXIFS(Base!$A$3:$A$5001,Base!$B$3:$B$5001,G$162,Base!$A$3:$A$5001,"&gt;="&amp;$C$7,Base!$A$3:$A$5001,"&lt;="&amp;$B186,Base!$X$3:$X$5001,"&lt;&gt;"))))</f>
        <v/>
      </c>
      <c r="H186" t="str">
        <f>IF($A186&gt;$B$9,"",IF(COUNTIFS(Base!$B$3:$B$5001,H$162,Base!$A$3:$A$5001,"&gt;="&amp;$C$7,Base!$A$3:$A$5001,"&lt;="&amp;$B186,Base!$X$3:$X$5001,"&lt;&gt;")=0,"",SUMIFS(Base!$X$3:$X$5001,Base!$B$3:$B$5001,H$162,Base!$A$3:$A$5001,_xlfn.MAXIFS(Base!$A$3:$A$5001,Base!$B$3:$B$5001,H$162,Base!$A$3:$A$5001,"&gt;="&amp;$C$7,Base!$A$3:$A$5001,"&lt;="&amp;$B186,Base!$X$3:$X$5001,"&lt;&gt;"))))</f>
        <v/>
      </c>
      <c r="I186" t="str">
        <f>IF($A186&gt;$B$9,"",IF(COUNTIFS(Base!$B$3:$B$5001,I$162,Base!$A$3:$A$5001,"&gt;="&amp;$C$7,Base!$A$3:$A$5001,"&lt;="&amp;$B186,Base!$X$3:$X$5001,"&lt;&gt;")=0,"",SUMIFS(Base!$X$3:$X$5001,Base!$B$3:$B$5001,I$162,Base!$A$3:$A$5001,_xlfn.MAXIFS(Base!$A$3:$A$5001,Base!$B$3:$B$5001,I$162,Base!$A$3:$A$5001,"&gt;="&amp;$C$7,Base!$A$3:$A$5001,"&lt;="&amp;$B186,Base!$X$3:$X$5001,"&lt;&gt;"))))</f>
        <v/>
      </c>
      <c r="J186" t="str">
        <f>IF($A186&gt;$B$9,"",IF(COUNTIFS(Base!$B$3:$B$5001,J$162,Base!$A$3:$A$5001,"&gt;="&amp;$C$7,Base!$A$3:$A$5001,"&lt;="&amp;$B186,Base!$X$3:$X$5001,"&lt;&gt;")=0,"",SUMIFS(Base!$X$3:$X$5001,Base!$B$3:$B$5001,J$162,Base!$A$3:$A$5001,_xlfn.MAXIFS(Base!$A$3:$A$5001,Base!$B$3:$B$5001,J$162,Base!$A$3:$A$5001,"&gt;="&amp;$C$7,Base!$A$3:$A$5001,"&lt;="&amp;$B186,Base!$X$3:$X$5001,"&lt;&gt;"))))</f>
        <v/>
      </c>
      <c r="K186" t="str">
        <f>IF($A186&gt;$B$9,"",IF(COUNTIFS(Base!$B$3:$B$5001,K$162,Base!$A$3:$A$5001,"&gt;="&amp;$C$7,Base!$A$3:$A$5001,"&lt;="&amp;$B186,Base!$X$3:$X$5001,"&lt;&gt;")=0,"",SUMIFS(Base!$X$3:$X$5001,Base!$B$3:$B$5001,K$162,Base!$A$3:$A$5001,_xlfn.MAXIFS(Base!$A$3:$A$5001,Base!$B$3:$B$5001,K$162,Base!$A$3:$A$5001,"&gt;="&amp;$C$7,Base!$A$3:$A$5001,"&lt;="&amp;$B186,Base!$X$3:$X$5001,"&lt;&gt;"))))</f>
        <v/>
      </c>
    </row>
    <row r="187">
      <c r="A187">
        <v>25</v>
      </c>
      <c r="B187" s="152">
        <f>$B$36</f>
        <v>46290</v>
      </c>
      <c r="C187" t="str">
        <f>IF($A187&gt;$B$9,"",IF(COUNTIFS(Base!$B$3:$B$5001,C$162,Base!$A$3:$A$5001,"&gt;="&amp;$C$7,Base!$A$3:$A$5001,"&lt;="&amp;$B187,Base!$X$3:$X$5001,"&lt;&gt;")=0,"",SUMIFS(Base!$X$3:$X$5001,Base!$B$3:$B$5001,C$162,Base!$A$3:$A$5001,_xlfn.MAXIFS(Base!$A$3:$A$5001,Base!$B$3:$B$5001,C$162,Base!$A$3:$A$5001,"&gt;="&amp;$C$7,Base!$A$3:$A$5001,"&lt;="&amp;$B187,Base!$X$3:$X$5001,"&lt;&gt;"))))</f>
        <v/>
      </c>
      <c r="D187" t="str">
        <f>IF($A187&gt;$B$9,"",IF(COUNTIFS(Base!$B$3:$B$5001,D$162,Base!$A$3:$A$5001,"&gt;="&amp;$C$7,Base!$A$3:$A$5001,"&lt;="&amp;$B187,Base!$X$3:$X$5001,"&lt;&gt;")=0,"",SUMIFS(Base!$X$3:$X$5001,Base!$B$3:$B$5001,D$162,Base!$A$3:$A$5001,_xlfn.MAXIFS(Base!$A$3:$A$5001,Base!$B$3:$B$5001,D$162,Base!$A$3:$A$5001,"&gt;="&amp;$C$7,Base!$A$3:$A$5001,"&lt;="&amp;$B187,Base!$X$3:$X$5001,"&lt;&gt;"))))</f>
        <v/>
      </c>
      <c r="E187" t="str">
        <f>IF($A187&gt;$B$9,"",IF(COUNTIFS(Base!$B$3:$B$5001,E$162,Base!$A$3:$A$5001,"&gt;="&amp;$C$7,Base!$A$3:$A$5001,"&lt;="&amp;$B187,Base!$X$3:$X$5001,"&lt;&gt;")=0,"",SUMIFS(Base!$X$3:$X$5001,Base!$B$3:$B$5001,E$162,Base!$A$3:$A$5001,_xlfn.MAXIFS(Base!$A$3:$A$5001,Base!$B$3:$B$5001,E$162,Base!$A$3:$A$5001,"&gt;="&amp;$C$7,Base!$A$3:$A$5001,"&lt;="&amp;$B187,Base!$X$3:$X$5001,"&lt;&gt;"))))</f>
        <v/>
      </c>
      <c r="F187" t="str">
        <f>IF($A187&gt;$B$9,"",IF(COUNTIFS(Base!$B$3:$B$5001,F$162,Base!$A$3:$A$5001,"&gt;="&amp;$C$7,Base!$A$3:$A$5001,"&lt;="&amp;$B187,Base!$X$3:$X$5001,"&lt;&gt;")=0,"",SUMIFS(Base!$X$3:$X$5001,Base!$B$3:$B$5001,F$162,Base!$A$3:$A$5001,_xlfn.MAXIFS(Base!$A$3:$A$5001,Base!$B$3:$B$5001,F$162,Base!$A$3:$A$5001,"&gt;="&amp;$C$7,Base!$A$3:$A$5001,"&lt;="&amp;$B187,Base!$X$3:$X$5001,"&lt;&gt;"))))</f>
        <v/>
      </c>
      <c r="G187" t="str">
        <f>IF($A187&gt;$B$9,"",IF(COUNTIFS(Base!$B$3:$B$5001,G$162,Base!$A$3:$A$5001,"&gt;="&amp;$C$7,Base!$A$3:$A$5001,"&lt;="&amp;$B187,Base!$X$3:$X$5001,"&lt;&gt;")=0,"",SUMIFS(Base!$X$3:$X$5001,Base!$B$3:$B$5001,G$162,Base!$A$3:$A$5001,_xlfn.MAXIFS(Base!$A$3:$A$5001,Base!$B$3:$B$5001,G$162,Base!$A$3:$A$5001,"&gt;="&amp;$C$7,Base!$A$3:$A$5001,"&lt;="&amp;$B187,Base!$X$3:$X$5001,"&lt;&gt;"))))</f>
        <v/>
      </c>
      <c r="H187" t="str">
        <f>IF($A187&gt;$B$9,"",IF(COUNTIFS(Base!$B$3:$B$5001,H$162,Base!$A$3:$A$5001,"&gt;="&amp;$C$7,Base!$A$3:$A$5001,"&lt;="&amp;$B187,Base!$X$3:$X$5001,"&lt;&gt;")=0,"",SUMIFS(Base!$X$3:$X$5001,Base!$B$3:$B$5001,H$162,Base!$A$3:$A$5001,_xlfn.MAXIFS(Base!$A$3:$A$5001,Base!$B$3:$B$5001,H$162,Base!$A$3:$A$5001,"&gt;="&amp;$C$7,Base!$A$3:$A$5001,"&lt;="&amp;$B187,Base!$X$3:$X$5001,"&lt;&gt;"))))</f>
        <v/>
      </c>
      <c r="I187" t="str">
        <f>IF($A187&gt;$B$9,"",IF(COUNTIFS(Base!$B$3:$B$5001,I$162,Base!$A$3:$A$5001,"&gt;="&amp;$C$7,Base!$A$3:$A$5001,"&lt;="&amp;$B187,Base!$X$3:$X$5001,"&lt;&gt;")=0,"",SUMIFS(Base!$X$3:$X$5001,Base!$B$3:$B$5001,I$162,Base!$A$3:$A$5001,_xlfn.MAXIFS(Base!$A$3:$A$5001,Base!$B$3:$B$5001,I$162,Base!$A$3:$A$5001,"&gt;="&amp;$C$7,Base!$A$3:$A$5001,"&lt;="&amp;$B187,Base!$X$3:$X$5001,"&lt;&gt;"))))</f>
        <v/>
      </c>
      <c r="J187" t="str">
        <f>IF($A187&gt;$B$9,"",IF(COUNTIFS(Base!$B$3:$B$5001,J$162,Base!$A$3:$A$5001,"&gt;="&amp;$C$7,Base!$A$3:$A$5001,"&lt;="&amp;$B187,Base!$X$3:$X$5001,"&lt;&gt;")=0,"",SUMIFS(Base!$X$3:$X$5001,Base!$B$3:$B$5001,J$162,Base!$A$3:$A$5001,_xlfn.MAXIFS(Base!$A$3:$A$5001,Base!$B$3:$B$5001,J$162,Base!$A$3:$A$5001,"&gt;="&amp;$C$7,Base!$A$3:$A$5001,"&lt;="&amp;$B187,Base!$X$3:$X$5001,"&lt;&gt;"))))</f>
        <v/>
      </c>
      <c r="K187" t="str">
        <f>IF($A187&gt;$B$9,"",IF(COUNTIFS(Base!$B$3:$B$5001,K$162,Base!$A$3:$A$5001,"&gt;="&amp;$C$7,Base!$A$3:$A$5001,"&lt;="&amp;$B187,Base!$X$3:$X$5001,"&lt;&gt;")=0,"",SUMIFS(Base!$X$3:$X$5001,Base!$B$3:$B$5001,K$162,Base!$A$3:$A$5001,_xlfn.MAXIFS(Base!$A$3:$A$5001,Base!$B$3:$B$5001,K$162,Base!$A$3:$A$5001,"&gt;="&amp;$C$7,Base!$A$3:$A$5001,"&lt;="&amp;$B187,Base!$X$3:$X$5001,"&lt;&gt;"))))</f>
        <v/>
      </c>
    </row>
    <row r="188">
      <c r="A188">
        <v>26</v>
      </c>
      <c r="B188" s="152">
        <f>$B$37</f>
        <v>46291</v>
      </c>
      <c r="C188" t="str">
        <f>IF($A188&gt;$B$9,"",IF(COUNTIFS(Base!$B$3:$B$5001,C$162,Base!$A$3:$A$5001,"&gt;="&amp;$C$7,Base!$A$3:$A$5001,"&lt;="&amp;$B188,Base!$X$3:$X$5001,"&lt;&gt;")=0,"",SUMIFS(Base!$X$3:$X$5001,Base!$B$3:$B$5001,C$162,Base!$A$3:$A$5001,_xlfn.MAXIFS(Base!$A$3:$A$5001,Base!$B$3:$B$5001,C$162,Base!$A$3:$A$5001,"&gt;="&amp;$C$7,Base!$A$3:$A$5001,"&lt;="&amp;$B188,Base!$X$3:$X$5001,"&lt;&gt;"))))</f>
        <v/>
      </c>
      <c r="D188" t="str">
        <f>IF($A188&gt;$B$9,"",IF(COUNTIFS(Base!$B$3:$B$5001,D$162,Base!$A$3:$A$5001,"&gt;="&amp;$C$7,Base!$A$3:$A$5001,"&lt;="&amp;$B188,Base!$X$3:$X$5001,"&lt;&gt;")=0,"",SUMIFS(Base!$X$3:$X$5001,Base!$B$3:$B$5001,D$162,Base!$A$3:$A$5001,_xlfn.MAXIFS(Base!$A$3:$A$5001,Base!$B$3:$B$5001,D$162,Base!$A$3:$A$5001,"&gt;="&amp;$C$7,Base!$A$3:$A$5001,"&lt;="&amp;$B188,Base!$X$3:$X$5001,"&lt;&gt;"))))</f>
        <v/>
      </c>
      <c r="E188" t="str">
        <f>IF($A188&gt;$B$9,"",IF(COUNTIFS(Base!$B$3:$B$5001,E$162,Base!$A$3:$A$5001,"&gt;="&amp;$C$7,Base!$A$3:$A$5001,"&lt;="&amp;$B188,Base!$X$3:$X$5001,"&lt;&gt;")=0,"",SUMIFS(Base!$X$3:$X$5001,Base!$B$3:$B$5001,E$162,Base!$A$3:$A$5001,_xlfn.MAXIFS(Base!$A$3:$A$5001,Base!$B$3:$B$5001,E$162,Base!$A$3:$A$5001,"&gt;="&amp;$C$7,Base!$A$3:$A$5001,"&lt;="&amp;$B188,Base!$X$3:$X$5001,"&lt;&gt;"))))</f>
        <v/>
      </c>
      <c r="F188" t="str">
        <f>IF($A188&gt;$B$9,"",IF(COUNTIFS(Base!$B$3:$B$5001,F$162,Base!$A$3:$A$5001,"&gt;="&amp;$C$7,Base!$A$3:$A$5001,"&lt;="&amp;$B188,Base!$X$3:$X$5001,"&lt;&gt;")=0,"",SUMIFS(Base!$X$3:$X$5001,Base!$B$3:$B$5001,F$162,Base!$A$3:$A$5001,_xlfn.MAXIFS(Base!$A$3:$A$5001,Base!$B$3:$B$5001,F$162,Base!$A$3:$A$5001,"&gt;="&amp;$C$7,Base!$A$3:$A$5001,"&lt;="&amp;$B188,Base!$X$3:$X$5001,"&lt;&gt;"))))</f>
        <v/>
      </c>
      <c r="G188" t="str">
        <f>IF($A188&gt;$B$9,"",IF(COUNTIFS(Base!$B$3:$B$5001,G$162,Base!$A$3:$A$5001,"&gt;="&amp;$C$7,Base!$A$3:$A$5001,"&lt;="&amp;$B188,Base!$X$3:$X$5001,"&lt;&gt;")=0,"",SUMIFS(Base!$X$3:$X$5001,Base!$B$3:$B$5001,G$162,Base!$A$3:$A$5001,_xlfn.MAXIFS(Base!$A$3:$A$5001,Base!$B$3:$B$5001,G$162,Base!$A$3:$A$5001,"&gt;="&amp;$C$7,Base!$A$3:$A$5001,"&lt;="&amp;$B188,Base!$X$3:$X$5001,"&lt;&gt;"))))</f>
        <v/>
      </c>
      <c r="H188" t="str">
        <f>IF($A188&gt;$B$9,"",IF(COUNTIFS(Base!$B$3:$B$5001,H$162,Base!$A$3:$A$5001,"&gt;="&amp;$C$7,Base!$A$3:$A$5001,"&lt;="&amp;$B188,Base!$X$3:$X$5001,"&lt;&gt;")=0,"",SUMIFS(Base!$X$3:$X$5001,Base!$B$3:$B$5001,H$162,Base!$A$3:$A$5001,_xlfn.MAXIFS(Base!$A$3:$A$5001,Base!$B$3:$B$5001,H$162,Base!$A$3:$A$5001,"&gt;="&amp;$C$7,Base!$A$3:$A$5001,"&lt;="&amp;$B188,Base!$X$3:$X$5001,"&lt;&gt;"))))</f>
        <v/>
      </c>
      <c r="I188" t="str">
        <f>IF($A188&gt;$B$9,"",IF(COUNTIFS(Base!$B$3:$B$5001,I$162,Base!$A$3:$A$5001,"&gt;="&amp;$C$7,Base!$A$3:$A$5001,"&lt;="&amp;$B188,Base!$X$3:$X$5001,"&lt;&gt;")=0,"",SUMIFS(Base!$X$3:$X$5001,Base!$B$3:$B$5001,I$162,Base!$A$3:$A$5001,_xlfn.MAXIFS(Base!$A$3:$A$5001,Base!$B$3:$B$5001,I$162,Base!$A$3:$A$5001,"&gt;="&amp;$C$7,Base!$A$3:$A$5001,"&lt;="&amp;$B188,Base!$X$3:$X$5001,"&lt;&gt;"))))</f>
        <v/>
      </c>
      <c r="J188" t="str">
        <f>IF($A188&gt;$B$9,"",IF(COUNTIFS(Base!$B$3:$B$5001,J$162,Base!$A$3:$A$5001,"&gt;="&amp;$C$7,Base!$A$3:$A$5001,"&lt;="&amp;$B188,Base!$X$3:$X$5001,"&lt;&gt;")=0,"",SUMIFS(Base!$X$3:$X$5001,Base!$B$3:$B$5001,J$162,Base!$A$3:$A$5001,_xlfn.MAXIFS(Base!$A$3:$A$5001,Base!$B$3:$B$5001,J$162,Base!$A$3:$A$5001,"&gt;="&amp;$C$7,Base!$A$3:$A$5001,"&lt;="&amp;$B188,Base!$X$3:$X$5001,"&lt;&gt;"))))</f>
        <v/>
      </c>
      <c r="K188" t="str">
        <f>IF($A188&gt;$B$9,"",IF(COUNTIFS(Base!$B$3:$B$5001,K$162,Base!$A$3:$A$5001,"&gt;="&amp;$C$7,Base!$A$3:$A$5001,"&lt;="&amp;$B188,Base!$X$3:$X$5001,"&lt;&gt;")=0,"",SUMIFS(Base!$X$3:$X$5001,Base!$B$3:$B$5001,K$162,Base!$A$3:$A$5001,_xlfn.MAXIFS(Base!$A$3:$A$5001,Base!$B$3:$B$5001,K$162,Base!$A$3:$A$5001,"&gt;="&amp;$C$7,Base!$A$3:$A$5001,"&lt;="&amp;$B188,Base!$X$3:$X$5001,"&lt;&gt;"))))</f>
        <v/>
      </c>
    </row>
    <row r="189">
      <c r="A189">
        <v>27</v>
      </c>
      <c r="B189" s="152">
        <f>$B$38</f>
        <v>46292</v>
      </c>
      <c r="C189" t="str">
        <f>IF($A189&gt;$B$9,"",IF(COUNTIFS(Base!$B$3:$B$5001,C$162,Base!$A$3:$A$5001,"&gt;="&amp;$C$7,Base!$A$3:$A$5001,"&lt;="&amp;$B189,Base!$X$3:$X$5001,"&lt;&gt;")=0,"",SUMIFS(Base!$X$3:$X$5001,Base!$B$3:$B$5001,C$162,Base!$A$3:$A$5001,_xlfn.MAXIFS(Base!$A$3:$A$5001,Base!$B$3:$B$5001,C$162,Base!$A$3:$A$5001,"&gt;="&amp;$C$7,Base!$A$3:$A$5001,"&lt;="&amp;$B189,Base!$X$3:$X$5001,"&lt;&gt;"))))</f>
        <v/>
      </c>
      <c r="D189" t="str">
        <f>IF($A189&gt;$B$9,"",IF(COUNTIFS(Base!$B$3:$B$5001,D$162,Base!$A$3:$A$5001,"&gt;="&amp;$C$7,Base!$A$3:$A$5001,"&lt;="&amp;$B189,Base!$X$3:$X$5001,"&lt;&gt;")=0,"",SUMIFS(Base!$X$3:$X$5001,Base!$B$3:$B$5001,D$162,Base!$A$3:$A$5001,_xlfn.MAXIFS(Base!$A$3:$A$5001,Base!$B$3:$B$5001,D$162,Base!$A$3:$A$5001,"&gt;="&amp;$C$7,Base!$A$3:$A$5001,"&lt;="&amp;$B189,Base!$X$3:$X$5001,"&lt;&gt;"))))</f>
        <v/>
      </c>
      <c r="E189" t="str">
        <f>IF($A189&gt;$B$9,"",IF(COUNTIFS(Base!$B$3:$B$5001,E$162,Base!$A$3:$A$5001,"&gt;="&amp;$C$7,Base!$A$3:$A$5001,"&lt;="&amp;$B189,Base!$X$3:$X$5001,"&lt;&gt;")=0,"",SUMIFS(Base!$X$3:$X$5001,Base!$B$3:$B$5001,E$162,Base!$A$3:$A$5001,_xlfn.MAXIFS(Base!$A$3:$A$5001,Base!$B$3:$B$5001,E$162,Base!$A$3:$A$5001,"&gt;="&amp;$C$7,Base!$A$3:$A$5001,"&lt;="&amp;$B189,Base!$X$3:$X$5001,"&lt;&gt;"))))</f>
        <v/>
      </c>
      <c r="F189" t="str">
        <f>IF($A189&gt;$B$9,"",IF(COUNTIFS(Base!$B$3:$B$5001,F$162,Base!$A$3:$A$5001,"&gt;="&amp;$C$7,Base!$A$3:$A$5001,"&lt;="&amp;$B189,Base!$X$3:$X$5001,"&lt;&gt;")=0,"",SUMIFS(Base!$X$3:$X$5001,Base!$B$3:$B$5001,F$162,Base!$A$3:$A$5001,_xlfn.MAXIFS(Base!$A$3:$A$5001,Base!$B$3:$B$5001,F$162,Base!$A$3:$A$5001,"&gt;="&amp;$C$7,Base!$A$3:$A$5001,"&lt;="&amp;$B189,Base!$X$3:$X$5001,"&lt;&gt;"))))</f>
        <v/>
      </c>
      <c r="G189" t="str">
        <f>IF($A189&gt;$B$9,"",IF(COUNTIFS(Base!$B$3:$B$5001,G$162,Base!$A$3:$A$5001,"&gt;="&amp;$C$7,Base!$A$3:$A$5001,"&lt;="&amp;$B189,Base!$X$3:$X$5001,"&lt;&gt;")=0,"",SUMIFS(Base!$X$3:$X$5001,Base!$B$3:$B$5001,G$162,Base!$A$3:$A$5001,_xlfn.MAXIFS(Base!$A$3:$A$5001,Base!$B$3:$B$5001,G$162,Base!$A$3:$A$5001,"&gt;="&amp;$C$7,Base!$A$3:$A$5001,"&lt;="&amp;$B189,Base!$X$3:$X$5001,"&lt;&gt;"))))</f>
        <v/>
      </c>
      <c r="H189" t="str">
        <f>IF($A189&gt;$B$9,"",IF(COUNTIFS(Base!$B$3:$B$5001,H$162,Base!$A$3:$A$5001,"&gt;="&amp;$C$7,Base!$A$3:$A$5001,"&lt;="&amp;$B189,Base!$X$3:$X$5001,"&lt;&gt;")=0,"",SUMIFS(Base!$X$3:$X$5001,Base!$B$3:$B$5001,H$162,Base!$A$3:$A$5001,_xlfn.MAXIFS(Base!$A$3:$A$5001,Base!$B$3:$B$5001,H$162,Base!$A$3:$A$5001,"&gt;="&amp;$C$7,Base!$A$3:$A$5001,"&lt;="&amp;$B189,Base!$X$3:$X$5001,"&lt;&gt;"))))</f>
        <v/>
      </c>
      <c r="I189" t="str">
        <f>IF($A189&gt;$B$9,"",IF(COUNTIFS(Base!$B$3:$B$5001,I$162,Base!$A$3:$A$5001,"&gt;="&amp;$C$7,Base!$A$3:$A$5001,"&lt;="&amp;$B189,Base!$X$3:$X$5001,"&lt;&gt;")=0,"",SUMIFS(Base!$X$3:$X$5001,Base!$B$3:$B$5001,I$162,Base!$A$3:$A$5001,_xlfn.MAXIFS(Base!$A$3:$A$5001,Base!$B$3:$B$5001,I$162,Base!$A$3:$A$5001,"&gt;="&amp;$C$7,Base!$A$3:$A$5001,"&lt;="&amp;$B189,Base!$X$3:$X$5001,"&lt;&gt;"))))</f>
        <v/>
      </c>
      <c r="J189" t="str">
        <f>IF($A189&gt;$B$9,"",IF(COUNTIFS(Base!$B$3:$B$5001,J$162,Base!$A$3:$A$5001,"&gt;="&amp;$C$7,Base!$A$3:$A$5001,"&lt;="&amp;$B189,Base!$X$3:$X$5001,"&lt;&gt;")=0,"",SUMIFS(Base!$X$3:$X$5001,Base!$B$3:$B$5001,J$162,Base!$A$3:$A$5001,_xlfn.MAXIFS(Base!$A$3:$A$5001,Base!$B$3:$B$5001,J$162,Base!$A$3:$A$5001,"&gt;="&amp;$C$7,Base!$A$3:$A$5001,"&lt;="&amp;$B189,Base!$X$3:$X$5001,"&lt;&gt;"))))</f>
        <v/>
      </c>
      <c r="K189" t="str">
        <f>IF($A189&gt;$B$9,"",IF(COUNTIFS(Base!$B$3:$B$5001,K$162,Base!$A$3:$A$5001,"&gt;="&amp;$C$7,Base!$A$3:$A$5001,"&lt;="&amp;$B189,Base!$X$3:$X$5001,"&lt;&gt;")=0,"",SUMIFS(Base!$X$3:$X$5001,Base!$B$3:$B$5001,K$162,Base!$A$3:$A$5001,_xlfn.MAXIFS(Base!$A$3:$A$5001,Base!$B$3:$B$5001,K$162,Base!$A$3:$A$5001,"&gt;="&amp;$C$7,Base!$A$3:$A$5001,"&lt;="&amp;$B189,Base!$X$3:$X$5001,"&lt;&gt;"))))</f>
        <v/>
      </c>
    </row>
    <row r="190">
      <c r="A190">
        <v>28</v>
      </c>
      <c r="B190" s="152">
        <f>$B$39</f>
        <v>46293</v>
      </c>
      <c r="C190" t="str">
        <f>IF($A190&gt;$B$9,"",IF(COUNTIFS(Base!$B$3:$B$5001,C$162,Base!$A$3:$A$5001,"&gt;="&amp;$C$7,Base!$A$3:$A$5001,"&lt;="&amp;$B190,Base!$X$3:$X$5001,"&lt;&gt;")=0,"",SUMIFS(Base!$X$3:$X$5001,Base!$B$3:$B$5001,C$162,Base!$A$3:$A$5001,_xlfn.MAXIFS(Base!$A$3:$A$5001,Base!$B$3:$B$5001,C$162,Base!$A$3:$A$5001,"&gt;="&amp;$C$7,Base!$A$3:$A$5001,"&lt;="&amp;$B190,Base!$X$3:$X$5001,"&lt;&gt;"))))</f>
        <v/>
      </c>
      <c r="D190" t="str">
        <f>IF($A190&gt;$B$9,"",IF(COUNTIFS(Base!$B$3:$B$5001,D$162,Base!$A$3:$A$5001,"&gt;="&amp;$C$7,Base!$A$3:$A$5001,"&lt;="&amp;$B190,Base!$X$3:$X$5001,"&lt;&gt;")=0,"",SUMIFS(Base!$X$3:$X$5001,Base!$B$3:$B$5001,D$162,Base!$A$3:$A$5001,_xlfn.MAXIFS(Base!$A$3:$A$5001,Base!$B$3:$B$5001,D$162,Base!$A$3:$A$5001,"&gt;="&amp;$C$7,Base!$A$3:$A$5001,"&lt;="&amp;$B190,Base!$X$3:$X$5001,"&lt;&gt;"))))</f>
        <v/>
      </c>
      <c r="E190" t="str">
        <f>IF($A190&gt;$B$9,"",IF(COUNTIFS(Base!$B$3:$B$5001,E$162,Base!$A$3:$A$5001,"&gt;="&amp;$C$7,Base!$A$3:$A$5001,"&lt;="&amp;$B190,Base!$X$3:$X$5001,"&lt;&gt;")=0,"",SUMIFS(Base!$X$3:$X$5001,Base!$B$3:$B$5001,E$162,Base!$A$3:$A$5001,_xlfn.MAXIFS(Base!$A$3:$A$5001,Base!$B$3:$B$5001,E$162,Base!$A$3:$A$5001,"&gt;="&amp;$C$7,Base!$A$3:$A$5001,"&lt;="&amp;$B190,Base!$X$3:$X$5001,"&lt;&gt;"))))</f>
        <v/>
      </c>
      <c r="F190" t="str">
        <f>IF($A190&gt;$B$9,"",IF(COUNTIFS(Base!$B$3:$B$5001,F$162,Base!$A$3:$A$5001,"&gt;="&amp;$C$7,Base!$A$3:$A$5001,"&lt;="&amp;$B190,Base!$X$3:$X$5001,"&lt;&gt;")=0,"",SUMIFS(Base!$X$3:$X$5001,Base!$B$3:$B$5001,F$162,Base!$A$3:$A$5001,_xlfn.MAXIFS(Base!$A$3:$A$5001,Base!$B$3:$B$5001,F$162,Base!$A$3:$A$5001,"&gt;="&amp;$C$7,Base!$A$3:$A$5001,"&lt;="&amp;$B190,Base!$X$3:$X$5001,"&lt;&gt;"))))</f>
        <v/>
      </c>
      <c r="G190" t="str">
        <f>IF($A190&gt;$B$9,"",IF(COUNTIFS(Base!$B$3:$B$5001,G$162,Base!$A$3:$A$5001,"&gt;="&amp;$C$7,Base!$A$3:$A$5001,"&lt;="&amp;$B190,Base!$X$3:$X$5001,"&lt;&gt;")=0,"",SUMIFS(Base!$X$3:$X$5001,Base!$B$3:$B$5001,G$162,Base!$A$3:$A$5001,_xlfn.MAXIFS(Base!$A$3:$A$5001,Base!$B$3:$B$5001,G$162,Base!$A$3:$A$5001,"&gt;="&amp;$C$7,Base!$A$3:$A$5001,"&lt;="&amp;$B190,Base!$X$3:$X$5001,"&lt;&gt;"))))</f>
        <v/>
      </c>
      <c r="H190" t="str">
        <f>IF($A190&gt;$B$9,"",IF(COUNTIFS(Base!$B$3:$B$5001,H$162,Base!$A$3:$A$5001,"&gt;="&amp;$C$7,Base!$A$3:$A$5001,"&lt;="&amp;$B190,Base!$X$3:$X$5001,"&lt;&gt;")=0,"",SUMIFS(Base!$X$3:$X$5001,Base!$B$3:$B$5001,H$162,Base!$A$3:$A$5001,_xlfn.MAXIFS(Base!$A$3:$A$5001,Base!$B$3:$B$5001,H$162,Base!$A$3:$A$5001,"&gt;="&amp;$C$7,Base!$A$3:$A$5001,"&lt;="&amp;$B190,Base!$X$3:$X$5001,"&lt;&gt;"))))</f>
        <v/>
      </c>
      <c r="I190" t="str">
        <f>IF($A190&gt;$B$9,"",IF(COUNTIFS(Base!$B$3:$B$5001,I$162,Base!$A$3:$A$5001,"&gt;="&amp;$C$7,Base!$A$3:$A$5001,"&lt;="&amp;$B190,Base!$X$3:$X$5001,"&lt;&gt;")=0,"",SUMIFS(Base!$X$3:$X$5001,Base!$B$3:$B$5001,I$162,Base!$A$3:$A$5001,_xlfn.MAXIFS(Base!$A$3:$A$5001,Base!$B$3:$B$5001,I$162,Base!$A$3:$A$5001,"&gt;="&amp;$C$7,Base!$A$3:$A$5001,"&lt;="&amp;$B190,Base!$X$3:$X$5001,"&lt;&gt;"))))</f>
        <v/>
      </c>
      <c r="J190" t="str">
        <f>IF($A190&gt;$B$9,"",IF(COUNTIFS(Base!$B$3:$B$5001,J$162,Base!$A$3:$A$5001,"&gt;="&amp;$C$7,Base!$A$3:$A$5001,"&lt;="&amp;$B190,Base!$X$3:$X$5001,"&lt;&gt;")=0,"",SUMIFS(Base!$X$3:$X$5001,Base!$B$3:$B$5001,J$162,Base!$A$3:$A$5001,_xlfn.MAXIFS(Base!$A$3:$A$5001,Base!$B$3:$B$5001,J$162,Base!$A$3:$A$5001,"&gt;="&amp;$C$7,Base!$A$3:$A$5001,"&lt;="&amp;$B190,Base!$X$3:$X$5001,"&lt;&gt;"))))</f>
        <v/>
      </c>
      <c r="K190" t="str">
        <f>IF($A190&gt;$B$9,"",IF(COUNTIFS(Base!$B$3:$B$5001,K$162,Base!$A$3:$A$5001,"&gt;="&amp;$C$7,Base!$A$3:$A$5001,"&lt;="&amp;$B190,Base!$X$3:$X$5001,"&lt;&gt;")=0,"",SUMIFS(Base!$X$3:$X$5001,Base!$B$3:$B$5001,K$162,Base!$A$3:$A$5001,_xlfn.MAXIFS(Base!$A$3:$A$5001,Base!$B$3:$B$5001,K$162,Base!$A$3:$A$5001,"&gt;="&amp;$C$7,Base!$A$3:$A$5001,"&lt;="&amp;$B190,Base!$X$3:$X$5001,"&lt;&gt;"))))</f>
        <v/>
      </c>
    </row>
    <row r="191">
      <c r="A191">
        <v>29</v>
      </c>
      <c r="B191" s="152">
        <f>$B$40</f>
        <v>46294</v>
      </c>
      <c r="C191" t="str">
        <f>IF($A191&gt;$B$9,"",IF(COUNTIFS(Base!$B$3:$B$5001,C$162,Base!$A$3:$A$5001,"&gt;="&amp;$C$7,Base!$A$3:$A$5001,"&lt;="&amp;$B191,Base!$X$3:$X$5001,"&lt;&gt;")=0,"",SUMIFS(Base!$X$3:$X$5001,Base!$B$3:$B$5001,C$162,Base!$A$3:$A$5001,_xlfn.MAXIFS(Base!$A$3:$A$5001,Base!$B$3:$B$5001,C$162,Base!$A$3:$A$5001,"&gt;="&amp;$C$7,Base!$A$3:$A$5001,"&lt;="&amp;$B191,Base!$X$3:$X$5001,"&lt;&gt;"))))</f>
        <v/>
      </c>
      <c r="D191" t="str">
        <f>IF($A191&gt;$B$9,"",IF(COUNTIFS(Base!$B$3:$B$5001,D$162,Base!$A$3:$A$5001,"&gt;="&amp;$C$7,Base!$A$3:$A$5001,"&lt;="&amp;$B191,Base!$X$3:$X$5001,"&lt;&gt;")=0,"",SUMIFS(Base!$X$3:$X$5001,Base!$B$3:$B$5001,D$162,Base!$A$3:$A$5001,_xlfn.MAXIFS(Base!$A$3:$A$5001,Base!$B$3:$B$5001,D$162,Base!$A$3:$A$5001,"&gt;="&amp;$C$7,Base!$A$3:$A$5001,"&lt;="&amp;$B191,Base!$X$3:$X$5001,"&lt;&gt;"))))</f>
        <v/>
      </c>
      <c r="E191" t="str">
        <f>IF($A191&gt;$B$9,"",IF(COUNTIFS(Base!$B$3:$B$5001,E$162,Base!$A$3:$A$5001,"&gt;="&amp;$C$7,Base!$A$3:$A$5001,"&lt;="&amp;$B191,Base!$X$3:$X$5001,"&lt;&gt;")=0,"",SUMIFS(Base!$X$3:$X$5001,Base!$B$3:$B$5001,E$162,Base!$A$3:$A$5001,_xlfn.MAXIFS(Base!$A$3:$A$5001,Base!$B$3:$B$5001,E$162,Base!$A$3:$A$5001,"&gt;="&amp;$C$7,Base!$A$3:$A$5001,"&lt;="&amp;$B191,Base!$X$3:$X$5001,"&lt;&gt;"))))</f>
        <v/>
      </c>
      <c r="F191" t="str">
        <f>IF($A191&gt;$B$9,"",IF(COUNTIFS(Base!$B$3:$B$5001,F$162,Base!$A$3:$A$5001,"&gt;="&amp;$C$7,Base!$A$3:$A$5001,"&lt;="&amp;$B191,Base!$X$3:$X$5001,"&lt;&gt;")=0,"",SUMIFS(Base!$X$3:$X$5001,Base!$B$3:$B$5001,F$162,Base!$A$3:$A$5001,_xlfn.MAXIFS(Base!$A$3:$A$5001,Base!$B$3:$B$5001,F$162,Base!$A$3:$A$5001,"&gt;="&amp;$C$7,Base!$A$3:$A$5001,"&lt;="&amp;$B191,Base!$X$3:$X$5001,"&lt;&gt;"))))</f>
        <v/>
      </c>
      <c r="G191" t="str">
        <f>IF($A191&gt;$B$9,"",IF(COUNTIFS(Base!$B$3:$B$5001,G$162,Base!$A$3:$A$5001,"&gt;="&amp;$C$7,Base!$A$3:$A$5001,"&lt;="&amp;$B191,Base!$X$3:$X$5001,"&lt;&gt;")=0,"",SUMIFS(Base!$X$3:$X$5001,Base!$B$3:$B$5001,G$162,Base!$A$3:$A$5001,_xlfn.MAXIFS(Base!$A$3:$A$5001,Base!$B$3:$B$5001,G$162,Base!$A$3:$A$5001,"&gt;="&amp;$C$7,Base!$A$3:$A$5001,"&lt;="&amp;$B191,Base!$X$3:$X$5001,"&lt;&gt;"))))</f>
        <v/>
      </c>
      <c r="H191" t="str">
        <f>IF($A191&gt;$B$9,"",IF(COUNTIFS(Base!$B$3:$B$5001,H$162,Base!$A$3:$A$5001,"&gt;="&amp;$C$7,Base!$A$3:$A$5001,"&lt;="&amp;$B191,Base!$X$3:$X$5001,"&lt;&gt;")=0,"",SUMIFS(Base!$X$3:$X$5001,Base!$B$3:$B$5001,H$162,Base!$A$3:$A$5001,_xlfn.MAXIFS(Base!$A$3:$A$5001,Base!$B$3:$B$5001,H$162,Base!$A$3:$A$5001,"&gt;="&amp;$C$7,Base!$A$3:$A$5001,"&lt;="&amp;$B191,Base!$X$3:$X$5001,"&lt;&gt;"))))</f>
        <v/>
      </c>
      <c r="I191" t="str">
        <f>IF($A191&gt;$B$9,"",IF(COUNTIFS(Base!$B$3:$B$5001,I$162,Base!$A$3:$A$5001,"&gt;="&amp;$C$7,Base!$A$3:$A$5001,"&lt;="&amp;$B191,Base!$X$3:$X$5001,"&lt;&gt;")=0,"",SUMIFS(Base!$X$3:$X$5001,Base!$B$3:$B$5001,I$162,Base!$A$3:$A$5001,_xlfn.MAXIFS(Base!$A$3:$A$5001,Base!$B$3:$B$5001,I$162,Base!$A$3:$A$5001,"&gt;="&amp;$C$7,Base!$A$3:$A$5001,"&lt;="&amp;$B191,Base!$X$3:$X$5001,"&lt;&gt;"))))</f>
        <v/>
      </c>
      <c r="J191" t="str">
        <f>IF($A191&gt;$B$9,"",IF(COUNTIFS(Base!$B$3:$B$5001,J$162,Base!$A$3:$A$5001,"&gt;="&amp;$C$7,Base!$A$3:$A$5001,"&lt;="&amp;$B191,Base!$X$3:$X$5001,"&lt;&gt;")=0,"",SUMIFS(Base!$X$3:$X$5001,Base!$B$3:$B$5001,J$162,Base!$A$3:$A$5001,_xlfn.MAXIFS(Base!$A$3:$A$5001,Base!$B$3:$B$5001,J$162,Base!$A$3:$A$5001,"&gt;="&amp;$C$7,Base!$A$3:$A$5001,"&lt;="&amp;$B191,Base!$X$3:$X$5001,"&lt;&gt;"))))</f>
        <v/>
      </c>
      <c r="K191" t="str">
        <f>IF($A191&gt;$B$9,"",IF(COUNTIFS(Base!$B$3:$B$5001,K$162,Base!$A$3:$A$5001,"&gt;="&amp;$C$7,Base!$A$3:$A$5001,"&lt;="&amp;$B191,Base!$X$3:$X$5001,"&lt;&gt;")=0,"",SUMIFS(Base!$X$3:$X$5001,Base!$B$3:$B$5001,K$162,Base!$A$3:$A$5001,_xlfn.MAXIFS(Base!$A$3:$A$5001,Base!$B$3:$B$5001,K$162,Base!$A$3:$A$5001,"&gt;="&amp;$C$7,Base!$A$3:$A$5001,"&lt;="&amp;$B191,Base!$X$3:$X$5001,"&lt;&gt;"))))</f>
        <v/>
      </c>
    </row>
    <row r="192">
      <c r="A192">
        <v>30</v>
      </c>
      <c r="B192" s="152">
        <f>$B$41</f>
        <v>46295</v>
      </c>
      <c r="C192" t="str">
        <f>IF($A192&gt;$B$9,"",IF(COUNTIFS(Base!$B$3:$B$5001,C$162,Base!$A$3:$A$5001,"&gt;="&amp;$C$7,Base!$A$3:$A$5001,"&lt;="&amp;$B192,Base!$X$3:$X$5001,"&lt;&gt;")=0,"",SUMIFS(Base!$X$3:$X$5001,Base!$B$3:$B$5001,C$162,Base!$A$3:$A$5001,_xlfn.MAXIFS(Base!$A$3:$A$5001,Base!$B$3:$B$5001,C$162,Base!$A$3:$A$5001,"&gt;="&amp;$C$7,Base!$A$3:$A$5001,"&lt;="&amp;$B192,Base!$X$3:$X$5001,"&lt;&gt;"))))</f>
        <v/>
      </c>
      <c r="D192" t="str">
        <f>IF($A192&gt;$B$9,"",IF(COUNTIFS(Base!$B$3:$B$5001,D$162,Base!$A$3:$A$5001,"&gt;="&amp;$C$7,Base!$A$3:$A$5001,"&lt;="&amp;$B192,Base!$X$3:$X$5001,"&lt;&gt;")=0,"",SUMIFS(Base!$X$3:$X$5001,Base!$B$3:$B$5001,D$162,Base!$A$3:$A$5001,_xlfn.MAXIFS(Base!$A$3:$A$5001,Base!$B$3:$B$5001,D$162,Base!$A$3:$A$5001,"&gt;="&amp;$C$7,Base!$A$3:$A$5001,"&lt;="&amp;$B192,Base!$X$3:$X$5001,"&lt;&gt;"))))</f>
        <v/>
      </c>
      <c r="E192" t="str">
        <f>IF($A192&gt;$B$9,"",IF(COUNTIFS(Base!$B$3:$B$5001,E$162,Base!$A$3:$A$5001,"&gt;="&amp;$C$7,Base!$A$3:$A$5001,"&lt;="&amp;$B192,Base!$X$3:$X$5001,"&lt;&gt;")=0,"",SUMIFS(Base!$X$3:$X$5001,Base!$B$3:$B$5001,E$162,Base!$A$3:$A$5001,_xlfn.MAXIFS(Base!$A$3:$A$5001,Base!$B$3:$B$5001,E$162,Base!$A$3:$A$5001,"&gt;="&amp;$C$7,Base!$A$3:$A$5001,"&lt;="&amp;$B192,Base!$X$3:$X$5001,"&lt;&gt;"))))</f>
        <v/>
      </c>
      <c r="F192" t="str">
        <f>IF($A192&gt;$B$9,"",IF(COUNTIFS(Base!$B$3:$B$5001,F$162,Base!$A$3:$A$5001,"&gt;="&amp;$C$7,Base!$A$3:$A$5001,"&lt;="&amp;$B192,Base!$X$3:$X$5001,"&lt;&gt;")=0,"",SUMIFS(Base!$X$3:$X$5001,Base!$B$3:$B$5001,F$162,Base!$A$3:$A$5001,_xlfn.MAXIFS(Base!$A$3:$A$5001,Base!$B$3:$B$5001,F$162,Base!$A$3:$A$5001,"&gt;="&amp;$C$7,Base!$A$3:$A$5001,"&lt;="&amp;$B192,Base!$X$3:$X$5001,"&lt;&gt;"))))</f>
        <v/>
      </c>
      <c r="G192" t="str">
        <f>IF($A192&gt;$B$9,"",IF(COUNTIFS(Base!$B$3:$B$5001,G$162,Base!$A$3:$A$5001,"&gt;="&amp;$C$7,Base!$A$3:$A$5001,"&lt;="&amp;$B192,Base!$X$3:$X$5001,"&lt;&gt;")=0,"",SUMIFS(Base!$X$3:$X$5001,Base!$B$3:$B$5001,G$162,Base!$A$3:$A$5001,_xlfn.MAXIFS(Base!$A$3:$A$5001,Base!$B$3:$B$5001,G$162,Base!$A$3:$A$5001,"&gt;="&amp;$C$7,Base!$A$3:$A$5001,"&lt;="&amp;$B192,Base!$X$3:$X$5001,"&lt;&gt;"))))</f>
        <v/>
      </c>
      <c r="H192" t="str">
        <f>IF($A192&gt;$B$9,"",IF(COUNTIFS(Base!$B$3:$B$5001,H$162,Base!$A$3:$A$5001,"&gt;="&amp;$C$7,Base!$A$3:$A$5001,"&lt;="&amp;$B192,Base!$X$3:$X$5001,"&lt;&gt;")=0,"",SUMIFS(Base!$X$3:$X$5001,Base!$B$3:$B$5001,H$162,Base!$A$3:$A$5001,_xlfn.MAXIFS(Base!$A$3:$A$5001,Base!$B$3:$B$5001,H$162,Base!$A$3:$A$5001,"&gt;="&amp;$C$7,Base!$A$3:$A$5001,"&lt;="&amp;$B192,Base!$X$3:$X$5001,"&lt;&gt;"))))</f>
        <v/>
      </c>
      <c r="I192" t="str">
        <f>IF($A192&gt;$B$9,"",IF(COUNTIFS(Base!$B$3:$B$5001,I$162,Base!$A$3:$A$5001,"&gt;="&amp;$C$7,Base!$A$3:$A$5001,"&lt;="&amp;$B192,Base!$X$3:$X$5001,"&lt;&gt;")=0,"",SUMIFS(Base!$X$3:$X$5001,Base!$B$3:$B$5001,I$162,Base!$A$3:$A$5001,_xlfn.MAXIFS(Base!$A$3:$A$5001,Base!$B$3:$B$5001,I$162,Base!$A$3:$A$5001,"&gt;="&amp;$C$7,Base!$A$3:$A$5001,"&lt;="&amp;$B192,Base!$X$3:$X$5001,"&lt;&gt;"))))</f>
        <v/>
      </c>
      <c r="J192" t="str">
        <f>IF($A192&gt;$B$9,"",IF(COUNTIFS(Base!$B$3:$B$5001,J$162,Base!$A$3:$A$5001,"&gt;="&amp;$C$7,Base!$A$3:$A$5001,"&lt;="&amp;$B192,Base!$X$3:$X$5001,"&lt;&gt;")=0,"",SUMIFS(Base!$X$3:$X$5001,Base!$B$3:$B$5001,J$162,Base!$A$3:$A$5001,_xlfn.MAXIFS(Base!$A$3:$A$5001,Base!$B$3:$B$5001,J$162,Base!$A$3:$A$5001,"&gt;="&amp;$C$7,Base!$A$3:$A$5001,"&lt;="&amp;$B192,Base!$X$3:$X$5001,"&lt;&gt;"))))</f>
        <v/>
      </c>
      <c r="K192" t="str">
        <f>IF($A192&gt;$B$9,"",IF(COUNTIFS(Base!$B$3:$B$5001,K$162,Base!$A$3:$A$5001,"&gt;="&amp;$C$7,Base!$A$3:$A$5001,"&lt;="&amp;$B192,Base!$X$3:$X$5001,"&lt;&gt;")=0,"",SUMIFS(Base!$X$3:$X$5001,Base!$B$3:$B$5001,K$162,Base!$A$3:$A$5001,_xlfn.MAXIFS(Base!$A$3:$A$5001,Base!$B$3:$B$5001,K$162,Base!$A$3:$A$5001,"&gt;="&amp;$C$7,Base!$A$3:$A$5001,"&lt;="&amp;$B192,Base!$X$3:$X$5001,"&lt;&gt;"))))</f>
        <v/>
      </c>
    </row>
    <row r="193">
      <c r="A193">
        <v>31</v>
      </c>
      <c r="B193" s="152" t="str">
        <f>$B$42</f>
        <v/>
      </c>
      <c r="C193" t="str">
        <f>IF($A193&gt;$B$9,"",IF(COUNTIFS(Base!$B$3:$B$5001,C$162,Base!$A$3:$A$5001,"&gt;="&amp;$C$7,Base!$A$3:$A$5001,"&lt;="&amp;$B193,Base!$X$3:$X$5001,"&lt;&gt;")=0,"",SUMIFS(Base!$X$3:$X$5001,Base!$B$3:$B$5001,C$162,Base!$A$3:$A$5001,_xlfn.MAXIFS(Base!$A$3:$A$5001,Base!$B$3:$B$5001,C$162,Base!$A$3:$A$5001,"&gt;="&amp;$C$7,Base!$A$3:$A$5001,"&lt;="&amp;$B193,Base!$X$3:$X$5001,"&lt;&gt;"))))</f>
        <v/>
      </c>
      <c r="D193" t="str">
        <f>IF($A193&gt;$B$9,"",IF(COUNTIFS(Base!$B$3:$B$5001,D$162,Base!$A$3:$A$5001,"&gt;="&amp;$C$7,Base!$A$3:$A$5001,"&lt;="&amp;$B193,Base!$X$3:$X$5001,"&lt;&gt;")=0,"",SUMIFS(Base!$X$3:$X$5001,Base!$B$3:$B$5001,D$162,Base!$A$3:$A$5001,_xlfn.MAXIFS(Base!$A$3:$A$5001,Base!$B$3:$B$5001,D$162,Base!$A$3:$A$5001,"&gt;="&amp;$C$7,Base!$A$3:$A$5001,"&lt;="&amp;$B193,Base!$X$3:$X$5001,"&lt;&gt;"))))</f>
        <v/>
      </c>
      <c r="E193" t="str">
        <f>IF($A193&gt;$B$9,"",IF(COUNTIFS(Base!$B$3:$B$5001,E$162,Base!$A$3:$A$5001,"&gt;="&amp;$C$7,Base!$A$3:$A$5001,"&lt;="&amp;$B193,Base!$X$3:$X$5001,"&lt;&gt;")=0,"",SUMIFS(Base!$X$3:$X$5001,Base!$B$3:$B$5001,E$162,Base!$A$3:$A$5001,_xlfn.MAXIFS(Base!$A$3:$A$5001,Base!$B$3:$B$5001,E$162,Base!$A$3:$A$5001,"&gt;="&amp;$C$7,Base!$A$3:$A$5001,"&lt;="&amp;$B193,Base!$X$3:$X$5001,"&lt;&gt;"))))</f>
        <v/>
      </c>
      <c r="F193" t="str">
        <f>IF($A193&gt;$B$9,"",IF(COUNTIFS(Base!$B$3:$B$5001,F$162,Base!$A$3:$A$5001,"&gt;="&amp;$C$7,Base!$A$3:$A$5001,"&lt;="&amp;$B193,Base!$X$3:$X$5001,"&lt;&gt;")=0,"",SUMIFS(Base!$X$3:$X$5001,Base!$B$3:$B$5001,F$162,Base!$A$3:$A$5001,_xlfn.MAXIFS(Base!$A$3:$A$5001,Base!$B$3:$B$5001,F$162,Base!$A$3:$A$5001,"&gt;="&amp;$C$7,Base!$A$3:$A$5001,"&lt;="&amp;$B193,Base!$X$3:$X$5001,"&lt;&gt;"))))</f>
        <v/>
      </c>
      <c r="G193" t="str">
        <f>IF($A193&gt;$B$9,"",IF(COUNTIFS(Base!$B$3:$B$5001,G$162,Base!$A$3:$A$5001,"&gt;="&amp;$C$7,Base!$A$3:$A$5001,"&lt;="&amp;$B193,Base!$X$3:$X$5001,"&lt;&gt;")=0,"",SUMIFS(Base!$X$3:$X$5001,Base!$B$3:$B$5001,G$162,Base!$A$3:$A$5001,_xlfn.MAXIFS(Base!$A$3:$A$5001,Base!$B$3:$B$5001,G$162,Base!$A$3:$A$5001,"&gt;="&amp;$C$7,Base!$A$3:$A$5001,"&lt;="&amp;$B193,Base!$X$3:$X$5001,"&lt;&gt;"))))</f>
        <v/>
      </c>
      <c r="H193" t="str">
        <f>IF($A193&gt;$B$9,"",IF(COUNTIFS(Base!$B$3:$B$5001,H$162,Base!$A$3:$A$5001,"&gt;="&amp;$C$7,Base!$A$3:$A$5001,"&lt;="&amp;$B193,Base!$X$3:$X$5001,"&lt;&gt;")=0,"",SUMIFS(Base!$X$3:$X$5001,Base!$B$3:$B$5001,H$162,Base!$A$3:$A$5001,_xlfn.MAXIFS(Base!$A$3:$A$5001,Base!$B$3:$B$5001,H$162,Base!$A$3:$A$5001,"&gt;="&amp;$C$7,Base!$A$3:$A$5001,"&lt;="&amp;$B193,Base!$X$3:$X$5001,"&lt;&gt;"))))</f>
        <v/>
      </c>
      <c r="I193" t="str">
        <f>IF($A193&gt;$B$9,"",IF(COUNTIFS(Base!$B$3:$B$5001,I$162,Base!$A$3:$A$5001,"&gt;="&amp;$C$7,Base!$A$3:$A$5001,"&lt;="&amp;$B193,Base!$X$3:$X$5001,"&lt;&gt;")=0,"",SUMIFS(Base!$X$3:$X$5001,Base!$B$3:$B$5001,I$162,Base!$A$3:$A$5001,_xlfn.MAXIFS(Base!$A$3:$A$5001,Base!$B$3:$B$5001,I$162,Base!$A$3:$A$5001,"&gt;="&amp;$C$7,Base!$A$3:$A$5001,"&lt;="&amp;$B193,Base!$X$3:$X$5001,"&lt;&gt;"))))</f>
        <v/>
      </c>
      <c r="J193" t="str">
        <f>IF($A193&gt;$B$9,"",IF(COUNTIFS(Base!$B$3:$B$5001,J$162,Base!$A$3:$A$5001,"&gt;="&amp;$C$7,Base!$A$3:$A$5001,"&lt;="&amp;$B193,Base!$X$3:$X$5001,"&lt;&gt;")=0,"",SUMIFS(Base!$X$3:$X$5001,Base!$B$3:$B$5001,J$162,Base!$A$3:$A$5001,_xlfn.MAXIFS(Base!$A$3:$A$5001,Base!$B$3:$B$5001,J$162,Base!$A$3:$A$5001,"&gt;="&amp;$C$7,Base!$A$3:$A$5001,"&lt;="&amp;$B193,Base!$X$3:$X$5001,"&lt;&gt;"))))</f>
        <v/>
      </c>
      <c r="K193" t="str">
        <f>IF($A193&gt;$B$9,"",IF(COUNTIFS(Base!$B$3:$B$5001,K$162,Base!$A$3:$A$5001,"&gt;="&amp;$C$7,Base!$A$3:$A$5001,"&lt;="&amp;$B193,Base!$X$3:$X$5001,"&lt;&gt;")=0,"",SUMIFS(Base!$X$3:$X$5001,Base!$B$3:$B$5001,K$162,Base!$A$3:$A$5001,_xlfn.MAXIFS(Base!$A$3:$A$5001,Base!$B$3:$B$5001,K$162,Base!$A$3:$A$5001,"&gt;="&amp;$C$7,Base!$A$3:$A$5001,"&lt;="&amp;$B193,Base!$X$3:$X$5001,"&lt;&gt;"))))</f>
        <v/>
      </c>
    </row>
    <row r="194">
      <c r="A194" t="inlineStr">
        <is>
          <t xml:space="preserve">Mês anterior (último)</t>
        </is>
      </c>
      <c r="C194" t="str">
        <f>IF(COUNTIFS(Base!$B$3:$B$5001,C$162,Base!$A$3:$A$5001,"&gt;="&amp;$C$8,Base!$A$3:$A$5001,"&lt;="&amp;$D$8,Base!$X$3:$X$5001,"&lt;&gt;")=0,"",SUMIFS(Base!$X$3:$X$5001,Base!$B$3:$B$5001,C$162,Base!$A$3:$A$5001,_xlfn.MAXIFS(Base!$A$3:$A$5001,Base!$B$3:$B$5001,C$162,Base!$A$3:$A$5001,"&gt;="&amp;$C$8,Base!$A$3:$A$5001,"&lt;="&amp;$D$8,Base!$X$3:$X$5001,"&lt;&gt;")))</f>
        <v/>
      </c>
      <c r="D194" t="str">
        <f>IF(COUNTIFS(Base!$B$3:$B$5001,D$162,Base!$A$3:$A$5001,"&gt;="&amp;$C$8,Base!$A$3:$A$5001,"&lt;="&amp;$D$8,Base!$X$3:$X$5001,"&lt;&gt;")=0,"",SUMIFS(Base!$X$3:$X$5001,Base!$B$3:$B$5001,D$162,Base!$A$3:$A$5001,_xlfn.MAXIFS(Base!$A$3:$A$5001,Base!$B$3:$B$5001,D$162,Base!$A$3:$A$5001,"&gt;="&amp;$C$8,Base!$A$3:$A$5001,"&lt;="&amp;$D$8,Base!$X$3:$X$5001,"&lt;&gt;")))</f>
        <v/>
      </c>
      <c r="E194" t="str">
        <f>IF(COUNTIFS(Base!$B$3:$B$5001,E$162,Base!$A$3:$A$5001,"&gt;="&amp;$C$8,Base!$A$3:$A$5001,"&lt;="&amp;$D$8,Base!$X$3:$X$5001,"&lt;&gt;")=0,"",SUMIFS(Base!$X$3:$X$5001,Base!$B$3:$B$5001,E$162,Base!$A$3:$A$5001,_xlfn.MAXIFS(Base!$A$3:$A$5001,Base!$B$3:$B$5001,E$162,Base!$A$3:$A$5001,"&gt;="&amp;$C$8,Base!$A$3:$A$5001,"&lt;="&amp;$D$8,Base!$X$3:$X$5001,"&lt;&gt;")))</f>
        <v/>
      </c>
      <c r="F194" t="str">
        <f>IF(COUNTIFS(Base!$B$3:$B$5001,F$162,Base!$A$3:$A$5001,"&gt;="&amp;$C$8,Base!$A$3:$A$5001,"&lt;="&amp;$D$8,Base!$X$3:$X$5001,"&lt;&gt;")=0,"",SUMIFS(Base!$X$3:$X$5001,Base!$B$3:$B$5001,F$162,Base!$A$3:$A$5001,_xlfn.MAXIFS(Base!$A$3:$A$5001,Base!$B$3:$B$5001,F$162,Base!$A$3:$A$5001,"&gt;="&amp;$C$8,Base!$A$3:$A$5001,"&lt;="&amp;$D$8,Base!$X$3:$X$5001,"&lt;&gt;")))</f>
        <v/>
      </c>
      <c r="G194" t="str">
        <f>IF(COUNTIFS(Base!$B$3:$B$5001,G$162,Base!$A$3:$A$5001,"&gt;="&amp;$C$8,Base!$A$3:$A$5001,"&lt;="&amp;$D$8,Base!$X$3:$X$5001,"&lt;&gt;")=0,"",SUMIFS(Base!$X$3:$X$5001,Base!$B$3:$B$5001,G$162,Base!$A$3:$A$5001,_xlfn.MAXIFS(Base!$A$3:$A$5001,Base!$B$3:$B$5001,G$162,Base!$A$3:$A$5001,"&gt;="&amp;$C$8,Base!$A$3:$A$5001,"&lt;="&amp;$D$8,Base!$X$3:$X$5001,"&lt;&gt;")))</f>
        <v/>
      </c>
      <c r="H194" t="str">
        <f>IF(COUNTIFS(Base!$B$3:$B$5001,H$162,Base!$A$3:$A$5001,"&gt;="&amp;$C$8,Base!$A$3:$A$5001,"&lt;="&amp;$D$8,Base!$X$3:$X$5001,"&lt;&gt;")=0,"",SUMIFS(Base!$X$3:$X$5001,Base!$B$3:$B$5001,H$162,Base!$A$3:$A$5001,_xlfn.MAXIFS(Base!$A$3:$A$5001,Base!$B$3:$B$5001,H$162,Base!$A$3:$A$5001,"&gt;="&amp;$C$8,Base!$A$3:$A$5001,"&lt;="&amp;$D$8,Base!$X$3:$X$5001,"&lt;&gt;")))</f>
        <v/>
      </c>
      <c r="I194" t="str">
        <f>IF(COUNTIFS(Base!$B$3:$B$5001,I$162,Base!$A$3:$A$5001,"&gt;="&amp;$C$8,Base!$A$3:$A$5001,"&lt;="&amp;$D$8,Base!$X$3:$X$5001,"&lt;&gt;")=0,"",SUMIFS(Base!$X$3:$X$5001,Base!$B$3:$B$5001,I$162,Base!$A$3:$A$5001,_xlfn.MAXIFS(Base!$A$3:$A$5001,Base!$B$3:$B$5001,I$162,Base!$A$3:$A$5001,"&gt;="&amp;$C$8,Base!$A$3:$A$5001,"&lt;="&amp;$D$8,Base!$X$3:$X$5001,"&lt;&gt;")))</f>
        <v/>
      </c>
      <c r="J194" t="str">
        <f>IF(COUNTIFS(Base!$B$3:$B$5001,J$162,Base!$A$3:$A$5001,"&gt;="&amp;$C$8,Base!$A$3:$A$5001,"&lt;="&amp;$D$8,Base!$X$3:$X$5001,"&lt;&gt;")=0,"",SUMIFS(Base!$X$3:$X$5001,Base!$B$3:$B$5001,J$162,Base!$A$3:$A$5001,_xlfn.MAXIFS(Base!$A$3:$A$5001,Base!$B$3:$B$5001,J$162,Base!$A$3:$A$5001,"&gt;="&amp;$C$8,Base!$A$3:$A$5001,"&lt;="&amp;$D$8,Base!$X$3:$X$5001,"&lt;&gt;")))</f>
        <v/>
      </c>
      <c r="K194" t="str">
        <f>IF(COUNTIFS(Base!$B$3:$B$5001,K$162,Base!$A$3:$A$5001,"&gt;="&amp;$C$8,Base!$A$3:$A$5001,"&lt;="&amp;$D$8,Base!$X$3:$X$5001,"&lt;&gt;")=0,"",SUMIFS(Base!$X$3:$X$5001,Base!$B$3:$B$5001,K$162,Base!$A$3:$A$5001,_xlfn.MAXIFS(Base!$A$3:$A$5001,Base!$B$3:$B$5001,K$162,Base!$A$3:$A$5001,"&gt;="&amp;$C$8,Base!$A$3:$A$5001,"&lt;="&amp;$D$8,Base!$X$3:$X$5001,"&lt;&gt;")))</f>
        <v/>
      </c>
    </row>
    <row r="197">
      <c r="A197" s="145" t="inlineStr">
        <is>
          <t xml:space="preserve">Posições Ocupadas</t>
        </is>
      </c>
      <c r="B197" s="145" t="inlineStr">
        <is>
          <t xml:space="preserve">Data</t>
        </is>
      </c>
      <c r="C197" s="145" t="inlineStr">
        <is>
          <t xml:space="preserve">BASF</t>
        </is>
      </c>
      <c r="D197" s="145" t="inlineStr">
        <is>
          <t xml:space="preserve">BEAUTYBIZ</t>
        </is>
      </c>
      <c r="E197" s="145" t="inlineStr">
        <is>
          <t xml:space="preserve">BOTICÁRIO</t>
        </is>
      </c>
      <c r="F197" s="145" t="inlineStr">
        <is>
          <t xml:space="preserve">SUPPLY</t>
        </is>
      </c>
      <c r="G197" s="145" t="inlineStr">
        <is>
          <t xml:space="preserve">GE VERNOVA</t>
        </is>
      </c>
      <c r="H197" s="145" t="inlineStr">
        <is>
          <t xml:space="preserve">VESTAS</t>
        </is>
      </c>
      <c r="I197" s="145" t="inlineStr">
        <is>
          <t xml:space="preserve">VEDACIT</t>
        </is>
      </c>
      <c r="J197" s="145" t="inlineStr">
        <is>
          <t xml:space="preserve">OMNLIFE</t>
        </is>
      </c>
      <c r="K197" s="145" t="inlineStr">
        <is>
          <t xml:space="preserve">ALPARGATAS</t>
        </is>
      </c>
    </row>
    <row r="198">
      <c r="A198">
        <v>1</v>
      </c>
      <c r="B198" s="152">
        <f>$B$12</f>
        <v>46266</v>
      </c>
      <c r="C198" t="str">
        <f>IF($A198&gt;$B$9,"",IF(COUNTIFS(Base!$B$3:$B$5001,C$197,Base!$A$3:$A$5001,"&gt;="&amp;$C$7,Base!$A$3:$A$5001,"&lt;="&amp;$B198,Base!$Y$3:$Y$5001,"&lt;&gt;")=0,"",SUMIFS(Base!$Y$3:$Y$5001,Base!$B$3:$B$5001,C$197,Base!$A$3:$A$5001,_xlfn.MAXIFS(Base!$A$3:$A$5001,Base!$B$3:$B$5001,C$197,Base!$A$3:$A$5001,"&gt;="&amp;$C$7,Base!$A$3:$A$5001,"&lt;="&amp;$B198,Base!$Y$3:$Y$5001,"&lt;&gt;"))))</f>
        <v/>
      </c>
      <c r="D198" t="str">
        <f>IF($A198&gt;$B$9,"",IF(COUNTIFS(Base!$B$3:$B$5001,D$197,Base!$A$3:$A$5001,"&gt;="&amp;$C$7,Base!$A$3:$A$5001,"&lt;="&amp;$B198,Base!$Y$3:$Y$5001,"&lt;&gt;")=0,"",SUMIFS(Base!$Y$3:$Y$5001,Base!$B$3:$B$5001,D$197,Base!$A$3:$A$5001,_xlfn.MAXIFS(Base!$A$3:$A$5001,Base!$B$3:$B$5001,D$197,Base!$A$3:$A$5001,"&gt;="&amp;$C$7,Base!$A$3:$A$5001,"&lt;="&amp;$B198,Base!$Y$3:$Y$5001,"&lt;&gt;"))))</f>
        <v/>
      </c>
      <c r="E198" t="str">
        <f>IF($A198&gt;$B$9,"",IF(COUNTIFS(Base!$B$3:$B$5001,E$197,Base!$A$3:$A$5001,"&gt;="&amp;$C$7,Base!$A$3:$A$5001,"&lt;="&amp;$B198,Base!$Y$3:$Y$5001,"&lt;&gt;")=0,"",SUMIFS(Base!$Y$3:$Y$5001,Base!$B$3:$B$5001,E$197,Base!$A$3:$A$5001,_xlfn.MAXIFS(Base!$A$3:$A$5001,Base!$B$3:$B$5001,E$197,Base!$A$3:$A$5001,"&gt;="&amp;$C$7,Base!$A$3:$A$5001,"&lt;="&amp;$B198,Base!$Y$3:$Y$5001,"&lt;&gt;"))))</f>
        <v/>
      </c>
      <c r="F198" t="str">
        <f>IF($A198&gt;$B$9,"",IF(COUNTIFS(Base!$B$3:$B$5001,F$197,Base!$A$3:$A$5001,"&gt;="&amp;$C$7,Base!$A$3:$A$5001,"&lt;="&amp;$B198,Base!$Y$3:$Y$5001,"&lt;&gt;")=0,"",SUMIFS(Base!$Y$3:$Y$5001,Base!$B$3:$B$5001,F$197,Base!$A$3:$A$5001,_xlfn.MAXIFS(Base!$A$3:$A$5001,Base!$B$3:$B$5001,F$197,Base!$A$3:$A$5001,"&gt;="&amp;$C$7,Base!$A$3:$A$5001,"&lt;="&amp;$B198,Base!$Y$3:$Y$5001,"&lt;&gt;"))))</f>
        <v/>
      </c>
      <c r="G198" t="str">
        <f>IF($A198&gt;$B$9,"",IF(COUNTIFS(Base!$B$3:$B$5001,G$197,Base!$A$3:$A$5001,"&gt;="&amp;$C$7,Base!$A$3:$A$5001,"&lt;="&amp;$B198,Base!$Y$3:$Y$5001,"&lt;&gt;")=0,"",SUMIFS(Base!$Y$3:$Y$5001,Base!$B$3:$B$5001,G$197,Base!$A$3:$A$5001,_xlfn.MAXIFS(Base!$A$3:$A$5001,Base!$B$3:$B$5001,G$197,Base!$A$3:$A$5001,"&gt;="&amp;$C$7,Base!$A$3:$A$5001,"&lt;="&amp;$B198,Base!$Y$3:$Y$5001,"&lt;&gt;"))))</f>
        <v/>
      </c>
      <c r="H198" t="str">
        <f>IF($A198&gt;$B$9,"",IF(COUNTIFS(Base!$B$3:$B$5001,H$197,Base!$A$3:$A$5001,"&gt;="&amp;$C$7,Base!$A$3:$A$5001,"&lt;="&amp;$B198,Base!$Y$3:$Y$5001,"&lt;&gt;")=0,"",SUMIFS(Base!$Y$3:$Y$5001,Base!$B$3:$B$5001,H$197,Base!$A$3:$A$5001,_xlfn.MAXIFS(Base!$A$3:$A$5001,Base!$B$3:$B$5001,H$197,Base!$A$3:$A$5001,"&gt;="&amp;$C$7,Base!$A$3:$A$5001,"&lt;="&amp;$B198,Base!$Y$3:$Y$5001,"&lt;&gt;"))))</f>
        <v/>
      </c>
      <c r="I198" t="str">
        <f>IF($A198&gt;$B$9,"",IF(COUNTIFS(Base!$B$3:$B$5001,I$197,Base!$A$3:$A$5001,"&gt;="&amp;$C$7,Base!$A$3:$A$5001,"&lt;="&amp;$B198,Base!$Y$3:$Y$5001,"&lt;&gt;")=0,"",SUMIFS(Base!$Y$3:$Y$5001,Base!$B$3:$B$5001,I$197,Base!$A$3:$A$5001,_xlfn.MAXIFS(Base!$A$3:$A$5001,Base!$B$3:$B$5001,I$197,Base!$A$3:$A$5001,"&gt;="&amp;$C$7,Base!$A$3:$A$5001,"&lt;="&amp;$B198,Base!$Y$3:$Y$5001,"&lt;&gt;"))))</f>
        <v/>
      </c>
      <c r="J198" t="str">
        <f>IF($A198&gt;$B$9,"",IF(COUNTIFS(Base!$B$3:$B$5001,J$197,Base!$A$3:$A$5001,"&gt;="&amp;$C$7,Base!$A$3:$A$5001,"&lt;="&amp;$B198,Base!$Y$3:$Y$5001,"&lt;&gt;")=0,"",SUMIFS(Base!$Y$3:$Y$5001,Base!$B$3:$B$5001,J$197,Base!$A$3:$A$5001,_xlfn.MAXIFS(Base!$A$3:$A$5001,Base!$B$3:$B$5001,J$197,Base!$A$3:$A$5001,"&gt;="&amp;$C$7,Base!$A$3:$A$5001,"&lt;="&amp;$B198,Base!$Y$3:$Y$5001,"&lt;&gt;"))))</f>
        <v/>
      </c>
      <c r="K198" t="str">
        <f>IF($A198&gt;$B$9,"",IF(COUNTIFS(Base!$B$3:$B$5001,K$197,Base!$A$3:$A$5001,"&gt;="&amp;$C$7,Base!$A$3:$A$5001,"&lt;="&amp;$B198,Base!$Y$3:$Y$5001,"&lt;&gt;")=0,"",SUMIFS(Base!$Y$3:$Y$5001,Base!$B$3:$B$5001,K$197,Base!$A$3:$A$5001,_xlfn.MAXIFS(Base!$A$3:$A$5001,Base!$B$3:$B$5001,K$197,Base!$A$3:$A$5001,"&gt;="&amp;$C$7,Base!$A$3:$A$5001,"&lt;="&amp;$B198,Base!$Y$3:$Y$5001,"&lt;&gt;"))))</f>
        <v/>
      </c>
    </row>
    <row r="199">
      <c r="A199">
        <v>2</v>
      </c>
      <c r="B199" s="152">
        <f>$B$13</f>
        <v>46267</v>
      </c>
      <c r="C199" t="str">
        <f>IF($A199&gt;$B$9,"",IF(COUNTIFS(Base!$B$3:$B$5001,C$197,Base!$A$3:$A$5001,"&gt;="&amp;$C$7,Base!$A$3:$A$5001,"&lt;="&amp;$B199,Base!$Y$3:$Y$5001,"&lt;&gt;")=0,"",SUMIFS(Base!$Y$3:$Y$5001,Base!$B$3:$B$5001,C$197,Base!$A$3:$A$5001,_xlfn.MAXIFS(Base!$A$3:$A$5001,Base!$B$3:$B$5001,C$197,Base!$A$3:$A$5001,"&gt;="&amp;$C$7,Base!$A$3:$A$5001,"&lt;="&amp;$B199,Base!$Y$3:$Y$5001,"&lt;&gt;"))))</f>
        <v/>
      </c>
      <c r="D199" t="str">
        <f>IF($A199&gt;$B$9,"",IF(COUNTIFS(Base!$B$3:$B$5001,D$197,Base!$A$3:$A$5001,"&gt;="&amp;$C$7,Base!$A$3:$A$5001,"&lt;="&amp;$B199,Base!$Y$3:$Y$5001,"&lt;&gt;")=0,"",SUMIFS(Base!$Y$3:$Y$5001,Base!$B$3:$B$5001,D$197,Base!$A$3:$A$5001,_xlfn.MAXIFS(Base!$A$3:$A$5001,Base!$B$3:$B$5001,D$197,Base!$A$3:$A$5001,"&gt;="&amp;$C$7,Base!$A$3:$A$5001,"&lt;="&amp;$B199,Base!$Y$3:$Y$5001,"&lt;&gt;"))))</f>
        <v/>
      </c>
      <c r="E199" t="str">
        <f>IF($A199&gt;$B$9,"",IF(COUNTIFS(Base!$B$3:$B$5001,E$197,Base!$A$3:$A$5001,"&gt;="&amp;$C$7,Base!$A$3:$A$5001,"&lt;="&amp;$B199,Base!$Y$3:$Y$5001,"&lt;&gt;")=0,"",SUMIFS(Base!$Y$3:$Y$5001,Base!$B$3:$B$5001,E$197,Base!$A$3:$A$5001,_xlfn.MAXIFS(Base!$A$3:$A$5001,Base!$B$3:$B$5001,E$197,Base!$A$3:$A$5001,"&gt;="&amp;$C$7,Base!$A$3:$A$5001,"&lt;="&amp;$B199,Base!$Y$3:$Y$5001,"&lt;&gt;"))))</f>
        <v/>
      </c>
      <c r="F199" t="str">
        <f>IF($A199&gt;$B$9,"",IF(COUNTIFS(Base!$B$3:$B$5001,F$197,Base!$A$3:$A$5001,"&gt;="&amp;$C$7,Base!$A$3:$A$5001,"&lt;="&amp;$B199,Base!$Y$3:$Y$5001,"&lt;&gt;")=0,"",SUMIFS(Base!$Y$3:$Y$5001,Base!$B$3:$B$5001,F$197,Base!$A$3:$A$5001,_xlfn.MAXIFS(Base!$A$3:$A$5001,Base!$B$3:$B$5001,F$197,Base!$A$3:$A$5001,"&gt;="&amp;$C$7,Base!$A$3:$A$5001,"&lt;="&amp;$B199,Base!$Y$3:$Y$5001,"&lt;&gt;"))))</f>
        <v/>
      </c>
      <c r="G199" t="str">
        <f>IF($A199&gt;$B$9,"",IF(COUNTIFS(Base!$B$3:$B$5001,G$197,Base!$A$3:$A$5001,"&gt;="&amp;$C$7,Base!$A$3:$A$5001,"&lt;="&amp;$B199,Base!$Y$3:$Y$5001,"&lt;&gt;")=0,"",SUMIFS(Base!$Y$3:$Y$5001,Base!$B$3:$B$5001,G$197,Base!$A$3:$A$5001,_xlfn.MAXIFS(Base!$A$3:$A$5001,Base!$B$3:$B$5001,G$197,Base!$A$3:$A$5001,"&gt;="&amp;$C$7,Base!$A$3:$A$5001,"&lt;="&amp;$B199,Base!$Y$3:$Y$5001,"&lt;&gt;"))))</f>
        <v/>
      </c>
      <c r="H199" t="str">
        <f>IF($A199&gt;$B$9,"",IF(COUNTIFS(Base!$B$3:$B$5001,H$197,Base!$A$3:$A$5001,"&gt;="&amp;$C$7,Base!$A$3:$A$5001,"&lt;="&amp;$B199,Base!$Y$3:$Y$5001,"&lt;&gt;")=0,"",SUMIFS(Base!$Y$3:$Y$5001,Base!$B$3:$B$5001,H$197,Base!$A$3:$A$5001,_xlfn.MAXIFS(Base!$A$3:$A$5001,Base!$B$3:$B$5001,H$197,Base!$A$3:$A$5001,"&gt;="&amp;$C$7,Base!$A$3:$A$5001,"&lt;="&amp;$B199,Base!$Y$3:$Y$5001,"&lt;&gt;"))))</f>
        <v/>
      </c>
      <c r="I199" t="str">
        <f>IF($A199&gt;$B$9,"",IF(COUNTIFS(Base!$B$3:$B$5001,I$197,Base!$A$3:$A$5001,"&gt;="&amp;$C$7,Base!$A$3:$A$5001,"&lt;="&amp;$B199,Base!$Y$3:$Y$5001,"&lt;&gt;")=0,"",SUMIFS(Base!$Y$3:$Y$5001,Base!$B$3:$B$5001,I$197,Base!$A$3:$A$5001,_xlfn.MAXIFS(Base!$A$3:$A$5001,Base!$B$3:$B$5001,I$197,Base!$A$3:$A$5001,"&gt;="&amp;$C$7,Base!$A$3:$A$5001,"&lt;="&amp;$B199,Base!$Y$3:$Y$5001,"&lt;&gt;"))))</f>
        <v/>
      </c>
      <c r="J199" t="str">
        <f>IF($A199&gt;$B$9,"",IF(COUNTIFS(Base!$B$3:$B$5001,J$197,Base!$A$3:$A$5001,"&gt;="&amp;$C$7,Base!$A$3:$A$5001,"&lt;="&amp;$B199,Base!$Y$3:$Y$5001,"&lt;&gt;")=0,"",SUMIFS(Base!$Y$3:$Y$5001,Base!$B$3:$B$5001,J$197,Base!$A$3:$A$5001,_xlfn.MAXIFS(Base!$A$3:$A$5001,Base!$B$3:$B$5001,J$197,Base!$A$3:$A$5001,"&gt;="&amp;$C$7,Base!$A$3:$A$5001,"&lt;="&amp;$B199,Base!$Y$3:$Y$5001,"&lt;&gt;"))))</f>
        <v/>
      </c>
      <c r="K199" t="str">
        <f>IF($A199&gt;$B$9,"",IF(COUNTIFS(Base!$B$3:$B$5001,K$197,Base!$A$3:$A$5001,"&gt;="&amp;$C$7,Base!$A$3:$A$5001,"&lt;="&amp;$B199,Base!$Y$3:$Y$5001,"&lt;&gt;")=0,"",SUMIFS(Base!$Y$3:$Y$5001,Base!$B$3:$B$5001,K$197,Base!$A$3:$A$5001,_xlfn.MAXIFS(Base!$A$3:$A$5001,Base!$B$3:$B$5001,K$197,Base!$A$3:$A$5001,"&gt;="&amp;$C$7,Base!$A$3:$A$5001,"&lt;="&amp;$B199,Base!$Y$3:$Y$5001,"&lt;&gt;"))))</f>
        <v/>
      </c>
    </row>
    <row r="200">
      <c r="A200">
        <v>3</v>
      </c>
      <c r="B200" s="152">
        <f>$B$14</f>
        <v>46268</v>
      </c>
      <c r="C200" t="str">
        <f>IF($A200&gt;$B$9,"",IF(COUNTIFS(Base!$B$3:$B$5001,C$197,Base!$A$3:$A$5001,"&gt;="&amp;$C$7,Base!$A$3:$A$5001,"&lt;="&amp;$B200,Base!$Y$3:$Y$5001,"&lt;&gt;")=0,"",SUMIFS(Base!$Y$3:$Y$5001,Base!$B$3:$B$5001,C$197,Base!$A$3:$A$5001,_xlfn.MAXIFS(Base!$A$3:$A$5001,Base!$B$3:$B$5001,C$197,Base!$A$3:$A$5001,"&gt;="&amp;$C$7,Base!$A$3:$A$5001,"&lt;="&amp;$B200,Base!$Y$3:$Y$5001,"&lt;&gt;"))))</f>
        <v/>
      </c>
      <c r="D200" t="str">
        <f>IF($A200&gt;$B$9,"",IF(COUNTIFS(Base!$B$3:$B$5001,D$197,Base!$A$3:$A$5001,"&gt;="&amp;$C$7,Base!$A$3:$A$5001,"&lt;="&amp;$B200,Base!$Y$3:$Y$5001,"&lt;&gt;")=0,"",SUMIFS(Base!$Y$3:$Y$5001,Base!$B$3:$B$5001,D$197,Base!$A$3:$A$5001,_xlfn.MAXIFS(Base!$A$3:$A$5001,Base!$B$3:$B$5001,D$197,Base!$A$3:$A$5001,"&gt;="&amp;$C$7,Base!$A$3:$A$5001,"&lt;="&amp;$B200,Base!$Y$3:$Y$5001,"&lt;&gt;"))))</f>
        <v/>
      </c>
      <c r="E200" t="str">
        <f>IF($A200&gt;$B$9,"",IF(COUNTIFS(Base!$B$3:$B$5001,E$197,Base!$A$3:$A$5001,"&gt;="&amp;$C$7,Base!$A$3:$A$5001,"&lt;="&amp;$B200,Base!$Y$3:$Y$5001,"&lt;&gt;")=0,"",SUMIFS(Base!$Y$3:$Y$5001,Base!$B$3:$B$5001,E$197,Base!$A$3:$A$5001,_xlfn.MAXIFS(Base!$A$3:$A$5001,Base!$B$3:$B$5001,E$197,Base!$A$3:$A$5001,"&gt;="&amp;$C$7,Base!$A$3:$A$5001,"&lt;="&amp;$B200,Base!$Y$3:$Y$5001,"&lt;&gt;"))))</f>
        <v/>
      </c>
      <c r="F200" t="str">
        <f>IF($A200&gt;$B$9,"",IF(COUNTIFS(Base!$B$3:$B$5001,F$197,Base!$A$3:$A$5001,"&gt;="&amp;$C$7,Base!$A$3:$A$5001,"&lt;="&amp;$B200,Base!$Y$3:$Y$5001,"&lt;&gt;")=0,"",SUMIFS(Base!$Y$3:$Y$5001,Base!$B$3:$B$5001,F$197,Base!$A$3:$A$5001,_xlfn.MAXIFS(Base!$A$3:$A$5001,Base!$B$3:$B$5001,F$197,Base!$A$3:$A$5001,"&gt;="&amp;$C$7,Base!$A$3:$A$5001,"&lt;="&amp;$B200,Base!$Y$3:$Y$5001,"&lt;&gt;"))))</f>
        <v/>
      </c>
      <c r="G200" t="str">
        <f>IF($A200&gt;$B$9,"",IF(COUNTIFS(Base!$B$3:$B$5001,G$197,Base!$A$3:$A$5001,"&gt;="&amp;$C$7,Base!$A$3:$A$5001,"&lt;="&amp;$B200,Base!$Y$3:$Y$5001,"&lt;&gt;")=0,"",SUMIFS(Base!$Y$3:$Y$5001,Base!$B$3:$B$5001,G$197,Base!$A$3:$A$5001,_xlfn.MAXIFS(Base!$A$3:$A$5001,Base!$B$3:$B$5001,G$197,Base!$A$3:$A$5001,"&gt;="&amp;$C$7,Base!$A$3:$A$5001,"&lt;="&amp;$B200,Base!$Y$3:$Y$5001,"&lt;&gt;"))))</f>
        <v/>
      </c>
      <c r="H200" t="str">
        <f>IF($A200&gt;$B$9,"",IF(COUNTIFS(Base!$B$3:$B$5001,H$197,Base!$A$3:$A$5001,"&gt;="&amp;$C$7,Base!$A$3:$A$5001,"&lt;="&amp;$B200,Base!$Y$3:$Y$5001,"&lt;&gt;")=0,"",SUMIFS(Base!$Y$3:$Y$5001,Base!$B$3:$B$5001,H$197,Base!$A$3:$A$5001,_xlfn.MAXIFS(Base!$A$3:$A$5001,Base!$B$3:$B$5001,H$197,Base!$A$3:$A$5001,"&gt;="&amp;$C$7,Base!$A$3:$A$5001,"&lt;="&amp;$B200,Base!$Y$3:$Y$5001,"&lt;&gt;"))))</f>
        <v/>
      </c>
      <c r="I200" t="str">
        <f>IF($A200&gt;$B$9,"",IF(COUNTIFS(Base!$B$3:$B$5001,I$197,Base!$A$3:$A$5001,"&gt;="&amp;$C$7,Base!$A$3:$A$5001,"&lt;="&amp;$B200,Base!$Y$3:$Y$5001,"&lt;&gt;")=0,"",SUMIFS(Base!$Y$3:$Y$5001,Base!$B$3:$B$5001,I$197,Base!$A$3:$A$5001,_xlfn.MAXIFS(Base!$A$3:$A$5001,Base!$B$3:$B$5001,I$197,Base!$A$3:$A$5001,"&gt;="&amp;$C$7,Base!$A$3:$A$5001,"&lt;="&amp;$B200,Base!$Y$3:$Y$5001,"&lt;&gt;"))))</f>
        <v/>
      </c>
      <c r="J200" t="str">
        <f>IF($A200&gt;$B$9,"",IF(COUNTIFS(Base!$B$3:$B$5001,J$197,Base!$A$3:$A$5001,"&gt;="&amp;$C$7,Base!$A$3:$A$5001,"&lt;="&amp;$B200,Base!$Y$3:$Y$5001,"&lt;&gt;")=0,"",SUMIFS(Base!$Y$3:$Y$5001,Base!$B$3:$B$5001,J$197,Base!$A$3:$A$5001,_xlfn.MAXIFS(Base!$A$3:$A$5001,Base!$B$3:$B$5001,J$197,Base!$A$3:$A$5001,"&gt;="&amp;$C$7,Base!$A$3:$A$5001,"&lt;="&amp;$B200,Base!$Y$3:$Y$5001,"&lt;&gt;"))))</f>
        <v/>
      </c>
      <c r="K200" t="str">
        <f>IF($A200&gt;$B$9,"",IF(COUNTIFS(Base!$B$3:$B$5001,K$197,Base!$A$3:$A$5001,"&gt;="&amp;$C$7,Base!$A$3:$A$5001,"&lt;="&amp;$B200,Base!$Y$3:$Y$5001,"&lt;&gt;")=0,"",SUMIFS(Base!$Y$3:$Y$5001,Base!$B$3:$B$5001,K$197,Base!$A$3:$A$5001,_xlfn.MAXIFS(Base!$A$3:$A$5001,Base!$B$3:$B$5001,K$197,Base!$A$3:$A$5001,"&gt;="&amp;$C$7,Base!$A$3:$A$5001,"&lt;="&amp;$B200,Base!$Y$3:$Y$5001,"&lt;&gt;"))))</f>
        <v/>
      </c>
    </row>
    <row r="201">
      <c r="A201">
        <v>4</v>
      </c>
      <c r="B201" s="152">
        <f>$B$15</f>
        <v>46269</v>
      </c>
      <c r="C201" t="str">
        <f>IF($A201&gt;$B$9,"",IF(COUNTIFS(Base!$B$3:$B$5001,C$197,Base!$A$3:$A$5001,"&gt;="&amp;$C$7,Base!$A$3:$A$5001,"&lt;="&amp;$B201,Base!$Y$3:$Y$5001,"&lt;&gt;")=0,"",SUMIFS(Base!$Y$3:$Y$5001,Base!$B$3:$B$5001,C$197,Base!$A$3:$A$5001,_xlfn.MAXIFS(Base!$A$3:$A$5001,Base!$B$3:$B$5001,C$197,Base!$A$3:$A$5001,"&gt;="&amp;$C$7,Base!$A$3:$A$5001,"&lt;="&amp;$B201,Base!$Y$3:$Y$5001,"&lt;&gt;"))))</f>
        <v/>
      </c>
      <c r="D201" t="str">
        <f>IF($A201&gt;$B$9,"",IF(COUNTIFS(Base!$B$3:$B$5001,D$197,Base!$A$3:$A$5001,"&gt;="&amp;$C$7,Base!$A$3:$A$5001,"&lt;="&amp;$B201,Base!$Y$3:$Y$5001,"&lt;&gt;")=0,"",SUMIFS(Base!$Y$3:$Y$5001,Base!$B$3:$B$5001,D$197,Base!$A$3:$A$5001,_xlfn.MAXIFS(Base!$A$3:$A$5001,Base!$B$3:$B$5001,D$197,Base!$A$3:$A$5001,"&gt;="&amp;$C$7,Base!$A$3:$A$5001,"&lt;="&amp;$B201,Base!$Y$3:$Y$5001,"&lt;&gt;"))))</f>
        <v/>
      </c>
      <c r="E201" t="str">
        <f>IF($A201&gt;$B$9,"",IF(COUNTIFS(Base!$B$3:$B$5001,E$197,Base!$A$3:$A$5001,"&gt;="&amp;$C$7,Base!$A$3:$A$5001,"&lt;="&amp;$B201,Base!$Y$3:$Y$5001,"&lt;&gt;")=0,"",SUMIFS(Base!$Y$3:$Y$5001,Base!$B$3:$B$5001,E$197,Base!$A$3:$A$5001,_xlfn.MAXIFS(Base!$A$3:$A$5001,Base!$B$3:$B$5001,E$197,Base!$A$3:$A$5001,"&gt;="&amp;$C$7,Base!$A$3:$A$5001,"&lt;="&amp;$B201,Base!$Y$3:$Y$5001,"&lt;&gt;"))))</f>
        <v/>
      </c>
      <c r="F201" t="str">
        <f>IF($A201&gt;$B$9,"",IF(COUNTIFS(Base!$B$3:$B$5001,F$197,Base!$A$3:$A$5001,"&gt;="&amp;$C$7,Base!$A$3:$A$5001,"&lt;="&amp;$B201,Base!$Y$3:$Y$5001,"&lt;&gt;")=0,"",SUMIFS(Base!$Y$3:$Y$5001,Base!$B$3:$B$5001,F$197,Base!$A$3:$A$5001,_xlfn.MAXIFS(Base!$A$3:$A$5001,Base!$B$3:$B$5001,F$197,Base!$A$3:$A$5001,"&gt;="&amp;$C$7,Base!$A$3:$A$5001,"&lt;="&amp;$B201,Base!$Y$3:$Y$5001,"&lt;&gt;"))))</f>
        <v/>
      </c>
      <c r="G201" t="str">
        <f>IF($A201&gt;$B$9,"",IF(COUNTIFS(Base!$B$3:$B$5001,G$197,Base!$A$3:$A$5001,"&gt;="&amp;$C$7,Base!$A$3:$A$5001,"&lt;="&amp;$B201,Base!$Y$3:$Y$5001,"&lt;&gt;")=0,"",SUMIFS(Base!$Y$3:$Y$5001,Base!$B$3:$B$5001,G$197,Base!$A$3:$A$5001,_xlfn.MAXIFS(Base!$A$3:$A$5001,Base!$B$3:$B$5001,G$197,Base!$A$3:$A$5001,"&gt;="&amp;$C$7,Base!$A$3:$A$5001,"&lt;="&amp;$B201,Base!$Y$3:$Y$5001,"&lt;&gt;"))))</f>
        <v/>
      </c>
      <c r="H201" t="str">
        <f>IF($A201&gt;$B$9,"",IF(COUNTIFS(Base!$B$3:$B$5001,H$197,Base!$A$3:$A$5001,"&gt;="&amp;$C$7,Base!$A$3:$A$5001,"&lt;="&amp;$B201,Base!$Y$3:$Y$5001,"&lt;&gt;")=0,"",SUMIFS(Base!$Y$3:$Y$5001,Base!$B$3:$B$5001,H$197,Base!$A$3:$A$5001,_xlfn.MAXIFS(Base!$A$3:$A$5001,Base!$B$3:$B$5001,H$197,Base!$A$3:$A$5001,"&gt;="&amp;$C$7,Base!$A$3:$A$5001,"&lt;="&amp;$B201,Base!$Y$3:$Y$5001,"&lt;&gt;"))))</f>
        <v/>
      </c>
      <c r="I201" t="str">
        <f>IF($A201&gt;$B$9,"",IF(COUNTIFS(Base!$B$3:$B$5001,I$197,Base!$A$3:$A$5001,"&gt;="&amp;$C$7,Base!$A$3:$A$5001,"&lt;="&amp;$B201,Base!$Y$3:$Y$5001,"&lt;&gt;")=0,"",SUMIFS(Base!$Y$3:$Y$5001,Base!$B$3:$B$5001,I$197,Base!$A$3:$A$5001,_xlfn.MAXIFS(Base!$A$3:$A$5001,Base!$B$3:$B$5001,I$197,Base!$A$3:$A$5001,"&gt;="&amp;$C$7,Base!$A$3:$A$5001,"&lt;="&amp;$B201,Base!$Y$3:$Y$5001,"&lt;&gt;"))))</f>
        <v/>
      </c>
      <c r="J201" t="str">
        <f>IF($A201&gt;$B$9,"",IF(COUNTIFS(Base!$B$3:$B$5001,J$197,Base!$A$3:$A$5001,"&gt;="&amp;$C$7,Base!$A$3:$A$5001,"&lt;="&amp;$B201,Base!$Y$3:$Y$5001,"&lt;&gt;")=0,"",SUMIFS(Base!$Y$3:$Y$5001,Base!$B$3:$B$5001,J$197,Base!$A$3:$A$5001,_xlfn.MAXIFS(Base!$A$3:$A$5001,Base!$B$3:$B$5001,J$197,Base!$A$3:$A$5001,"&gt;="&amp;$C$7,Base!$A$3:$A$5001,"&lt;="&amp;$B201,Base!$Y$3:$Y$5001,"&lt;&gt;"))))</f>
        <v/>
      </c>
      <c r="K201" t="str">
        <f>IF($A201&gt;$B$9,"",IF(COUNTIFS(Base!$B$3:$B$5001,K$197,Base!$A$3:$A$5001,"&gt;="&amp;$C$7,Base!$A$3:$A$5001,"&lt;="&amp;$B201,Base!$Y$3:$Y$5001,"&lt;&gt;")=0,"",SUMIFS(Base!$Y$3:$Y$5001,Base!$B$3:$B$5001,K$197,Base!$A$3:$A$5001,_xlfn.MAXIFS(Base!$A$3:$A$5001,Base!$B$3:$B$5001,K$197,Base!$A$3:$A$5001,"&gt;="&amp;$C$7,Base!$A$3:$A$5001,"&lt;="&amp;$B201,Base!$Y$3:$Y$5001,"&lt;&gt;"))))</f>
        <v/>
      </c>
    </row>
    <row r="202">
      <c r="A202">
        <v>5</v>
      </c>
      <c r="B202" s="152">
        <f>$B$16</f>
        <v>46270</v>
      </c>
      <c r="C202" t="str">
        <f>IF($A202&gt;$B$9,"",IF(COUNTIFS(Base!$B$3:$B$5001,C$197,Base!$A$3:$A$5001,"&gt;="&amp;$C$7,Base!$A$3:$A$5001,"&lt;="&amp;$B202,Base!$Y$3:$Y$5001,"&lt;&gt;")=0,"",SUMIFS(Base!$Y$3:$Y$5001,Base!$B$3:$B$5001,C$197,Base!$A$3:$A$5001,_xlfn.MAXIFS(Base!$A$3:$A$5001,Base!$B$3:$B$5001,C$197,Base!$A$3:$A$5001,"&gt;="&amp;$C$7,Base!$A$3:$A$5001,"&lt;="&amp;$B202,Base!$Y$3:$Y$5001,"&lt;&gt;"))))</f>
        <v/>
      </c>
      <c r="D202" t="str">
        <f>IF($A202&gt;$B$9,"",IF(COUNTIFS(Base!$B$3:$B$5001,D$197,Base!$A$3:$A$5001,"&gt;="&amp;$C$7,Base!$A$3:$A$5001,"&lt;="&amp;$B202,Base!$Y$3:$Y$5001,"&lt;&gt;")=0,"",SUMIFS(Base!$Y$3:$Y$5001,Base!$B$3:$B$5001,D$197,Base!$A$3:$A$5001,_xlfn.MAXIFS(Base!$A$3:$A$5001,Base!$B$3:$B$5001,D$197,Base!$A$3:$A$5001,"&gt;="&amp;$C$7,Base!$A$3:$A$5001,"&lt;="&amp;$B202,Base!$Y$3:$Y$5001,"&lt;&gt;"))))</f>
        <v/>
      </c>
      <c r="E202" t="str">
        <f>IF($A202&gt;$B$9,"",IF(COUNTIFS(Base!$B$3:$B$5001,E$197,Base!$A$3:$A$5001,"&gt;="&amp;$C$7,Base!$A$3:$A$5001,"&lt;="&amp;$B202,Base!$Y$3:$Y$5001,"&lt;&gt;")=0,"",SUMIFS(Base!$Y$3:$Y$5001,Base!$B$3:$B$5001,E$197,Base!$A$3:$A$5001,_xlfn.MAXIFS(Base!$A$3:$A$5001,Base!$B$3:$B$5001,E$197,Base!$A$3:$A$5001,"&gt;="&amp;$C$7,Base!$A$3:$A$5001,"&lt;="&amp;$B202,Base!$Y$3:$Y$5001,"&lt;&gt;"))))</f>
        <v/>
      </c>
      <c r="F202" t="str">
        <f>IF($A202&gt;$B$9,"",IF(COUNTIFS(Base!$B$3:$B$5001,F$197,Base!$A$3:$A$5001,"&gt;="&amp;$C$7,Base!$A$3:$A$5001,"&lt;="&amp;$B202,Base!$Y$3:$Y$5001,"&lt;&gt;")=0,"",SUMIFS(Base!$Y$3:$Y$5001,Base!$B$3:$B$5001,F$197,Base!$A$3:$A$5001,_xlfn.MAXIFS(Base!$A$3:$A$5001,Base!$B$3:$B$5001,F$197,Base!$A$3:$A$5001,"&gt;="&amp;$C$7,Base!$A$3:$A$5001,"&lt;="&amp;$B202,Base!$Y$3:$Y$5001,"&lt;&gt;"))))</f>
        <v/>
      </c>
      <c r="G202" t="str">
        <f>IF($A202&gt;$B$9,"",IF(COUNTIFS(Base!$B$3:$B$5001,G$197,Base!$A$3:$A$5001,"&gt;="&amp;$C$7,Base!$A$3:$A$5001,"&lt;="&amp;$B202,Base!$Y$3:$Y$5001,"&lt;&gt;")=0,"",SUMIFS(Base!$Y$3:$Y$5001,Base!$B$3:$B$5001,G$197,Base!$A$3:$A$5001,_xlfn.MAXIFS(Base!$A$3:$A$5001,Base!$B$3:$B$5001,G$197,Base!$A$3:$A$5001,"&gt;="&amp;$C$7,Base!$A$3:$A$5001,"&lt;="&amp;$B202,Base!$Y$3:$Y$5001,"&lt;&gt;"))))</f>
        <v/>
      </c>
      <c r="H202" t="str">
        <f>IF($A202&gt;$B$9,"",IF(COUNTIFS(Base!$B$3:$B$5001,H$197,Base!$A$3:$A$5001,"&gt;="&amp;$C$7,Base!$A$3:$A$5001,"&lt;="&amp;$B202,Base!$Y$3:$Y$5001,"&lt;&gt;")=0,"",SUMIFS(Base!$Y$3:$Y$5001,Base!$B$3:$B$5001,H$197,Base!$A$3:$A$5001,_xlfn.MAXIFS(Base!$A$3:$A$5001,Base!$B$3:$B$5001,H$197,Base!$A$3:$A$5001,"&gt;="&amp;$C$7,Base!$A$3:$A$5001,"&lt;="&amp;$B202,Base!$Y$3:$Y$5001,"&lt;&gt;"))))</f>
        <v/>
      </c>
      <c r="I202" t="str">
        <f>IF($A202&gt;$B$9,"",IF(COUNTIFS(Base!$B$3:$B$5001,I$197,Base!$A$3:$A$5001,"&gt;="&amp;$C$7,Base!$A$3:$A$5001,"&lt;="&amp;$B202,Base!$Y$3:$Y$5001,"&lt;&gt;")=0,"",SUMIFS(Base!$Y$3:$Y$5001,Base!$B$3:$B$5001,I$197,Base!$A$3:$A$5001,_xlfn.MAXIFS(Base!$A$3:$A$5001,Base!$B$3:$B$5001,I$197,Base!$A$3:$A$5001,"&gt;="&amp;$C$7,Base!$A$3:$A$5001,"&lt;="&amp;$B202,Base!$Y$3:$Y$5001,"&lt;&gt;"))))</f>
        <v/>
      </c>
      <c r="J202" t="str">
        <f>IF($A202&gt;$B$9,"",IF(COUNTIFS(Base!$B$3:$B$5001,J$197,Base!$A$3:$A$5001,"&gt;="&amp;$C$7,Base!$A$3:$A$5001,"&lt;="&amp;$B202,Base!$Y$3:$Y$5001,"&lt;&gt;")=0,"",SUMIFS(Base!$Y$3:$Y$5001,Base!$B$3:$B$5001,J$197,Base!$A$3:$A$5001,_xlfn.MAXIFS(Base!$A$3:$A$5001,Base!$B$3:$B$5001,J$197,Base!$A$3:$A$5001,"&gt;="&amp;$C$7,Base!$A$3:$A$5001,"&lt;="&amp;$B202,Base!$Y$3:$Y$5001,"&lt;&gt;"))))</f>
        <v/>
      </c>
      <c r="K202" t="str">
        <f>IF($A202&gt;$B$9,"",IF(COUNTIFS(Base!$B$3:$B$5001,K$197,Base!$A$3:$A$5001,"&gt;="&amp;$C$7,Base!$A$3:$A$5001,"&lt;="&amp;$B202,Base!$Y$3:$Y$5001,"&lt;&gt;")=0,"",SUMIFS(Base!$Y$3:$Y$5001,Base!$B$3:$B$5001,K$197,Base!$A$3:$A$5001,_xlfn.MAXIFS(Base!$A$3:$A$5001,Base!$B$3:$B$5001,K$197,Base!$A$3:$A$5001,"&gt;="&amp;$C$7,Base!$A$3:$A$5001,"&lt;="&amp;$B202,Base!$Y$3:$Y$5001,"&lt;&gt;"))))</f>
        <v/>
      </c>
    </row>
    <row r="203">
      <c r="A203">
        <v>6</v>
      </c>
      <c r="B203" s="152">
        <f>$B$17</f>
        <v>46271</v>
      </c>
      <c r="C203" t="str">
        <f>IF($A203&gt;$B$9,"",IF(COUNTIFS(Base!$B$3:$B$5001,C$197,Base!$A$3:$A$5001,"&gt;="&amp;$C$7,Base!$A$3:$A$5001,"&lt;="&amp;$B203,Base!$Y$3:$Y$5001,"&lt;&gt;")=0,"",SUMIFS(Base!$Y$3:$Y$5001,Base!$B$3:$B$5001,C$197,Base!$A$3:$A$5001,_xlfn.MAXIFS(Base!$A$3:$A$5001,Base!$B$3:$B$5001,C$197,Base!$A$3:$A$5001,"&gt;="&amp;$C$7,Base!$A$3:$A$5001,"&lt;="&amp;$B203,Base!$Y$3:$Y$5001,"&lt;&gt;"))))</f>
        <v/>
      </c>
      <c r="D203" t="str">
        <f>IF($A203&gt;$B$9,"",IF(COUNTIFS(Base!$B$3:$B$5001,D$197,Base!$A$3:$A$5001,"&gt;="&amp;$C$7,Base!$A$3:$A$5001,"&lt;="&amp;$B203,Base!$Y$3:$Y$5001,"&lt;&gt;")=0,"",SUMIFS(Base!$Y$3:$Y$5001,Base!$B$3:$B$5001,D$197,Base!$A$3:$A$5001,_xlfn.MAXIFS(Base!$A$3:$A$5001,Base!$B$3:$B$5001,D$197,Base!$A$3:$A$5001,"&gt;="&amp;$C$7,Base!$A$3:$A$5001,"&lt;="&amp;$B203,Base!$Y$3:$Y$5001,"&lt;&gt;"))))</f>
        <v/>
      </c>
      <c r="E203" t="str">
        <f>IF($A203&gt;$B$9,"",IF(COUNTIFS(Base!$B$3:$B$5001,E$197,Base!$A$3:$A$5001,"&gt;="&amp;$C$7,Base!$A$3:$A$5001,"&lt;="&amp;$B203,Base!$Y$3:$Y$5001,"&lt;&gt;")=0,"",SUMIFS(Base!$Y$3:$Y$5001,Base!$B$3:$B$5001,E$197,Base!$A$3:$A$5001,_xlfn.MAXIFS(Base!$A$3:$A$5001,Base!$B$3:$B$5001,E$197,Base!$A$3:$A$5001,"&gt;="&amp;$C$7,Base!$A$3:$A$5001,"&lt;="&amp;$B203,Base!$Y$3:$Y$5001,"&lt;&gt;"))))</f>
        <v/>
      </c>
      <c r="F203" t="str">
        <f>IF($A203&gt;$B$9,"",IF(COUNTIFS(Base!$B$3:$B$5001,F$197,Base!$A$3:$A$5001,"&gt;="&amp;$C$7,Base!$A$3:$A$5001,"&lt;="&amp;$B203,Base!$Y$3:$Y$5001,"&lt;&gt;")=0,"",SUMIFS(Base!$Y$3:$Y$5001,Base!$B$3:$B$5001,F$197,Base!$A$3:$A$5001,_xlfn.MAXIFS(Base!$A$3:$A$5001,Base!$B$3:$B$5001,F$197,Base!$A$3:$A$5001,"&gt;="&amp;$C$7,Base!$A$3:$A$5001,"&lt;="&amp;$B203,Base!$Y$3:$Y$5001,"&lt;&gt;"))))</f>
        <v/>
      </c>
      <c r="G203" t="str">
        <f>IF($A203&gt;$B$9,"",IF(COUNTIFS(Base!$B$3:$B$5001,G$197,Base!$A$3:$A$5001,"&gt;="&amp;$C$7,Base!$A$3:$A$5001,"&lt;="&amp;$B203,Base!$Y$3:$Y$5001,"&lt;&gt;")=0,"",SUMIFS(Base!$Y$3:$Y$5001,Base!$B$3:$B$5001,G$197,Base!$A$3:$A$5001,_xlfn.MAXIFS(Base!$A$3:$A$5001,Base!$B$3:$B$5001,G$197,Base!$A$3:$A$5001,"&gt;="&amp;$C$7,Base!$A$3:$A$5001,"&lt;="&amp;$B203,Base!$Y$3:$Y$5001,"&lt;&gt;"))))</f>
        <v/>
      </c>
      <c r="H203" t="str">
        <f>IF($A203&gt;$B$9,"",IF(COUNTIFS(Base!$B$3:$B$5001,H$197,Base!$A$3:$A$5001,"&gt;="&amp;$C$7,Base!$A$3:$A$5001,"&lt;="&amp;$B203,Base!$Y$3:$Y$5001,"&lt;&gt;")=0,"",SUMIFS(Base!$Y$3:$Y$5001,Base!$B$3:$B$5001,H$197,Base!$A$3:$A$5001,_xlfn.MAXIFS(Base!$A$3:$A$5001,Base!$B$3:$B$5001,H$197,Base!$A$3:$A$5001,"&gt;="&amp;$C$7,Base!$A$3:$A$5001,"&lt;="&amp;$B203,Base!$Y$3:$Y$5001,"&lt;&gt;"))))</f>
        <v/>
      </c>
      <c r="I203" t="str">
        <f>IF($A203&gt;$B$9,"",IF(COUNTIFS(Base!$B$3:$B$5001,I$197,Base!$A$3:$A$5001,"&gt;="&amp;$C$7,Base!$A$3:$A$5001,"&lt;="&amp;$B203,Base!$Y$3:$Y$5001,"&lt;&gt;")=0,"",SUMIFS(Base!$Y$3:$Y$5001,Base!$B$3:$B$5001,I$197,Base!$A$3:$A$5001,_xlfn.MAXIFS(Base!$A$3:$A$5001,Base!$B$3:$B$5001,I$197,Base!$A$3:$A$5001,"&gt;="&amp;$C$7,Base!$A$3:$A$5001,"&lt;="&amp;$B203,Base!$Y$3:$Y$5001,"&lt;&gt;"))))</f>
        <v/>
      </c>
      <c r="J203" t="str">
        <f>IF($A203&gt;$B$9,"",IF(COUNTIFS(Base!$B$3:$B$5001,J$197,Base!$A$3:$A$5001,"&gt;="&amp;$C$7,Base!$A$3:$A$5001,"&lt;="&amp;$B203,Base!$Y$3:$Y$5001,"&lt;&gt;")=0,"",SUMIFS(Base!$Y$3:$Y$5001,Base!$B$3:$B$5001,J$197,Base!$A$3:$A$5001,_xlfn.MAXIFS(Base!$A$3:$A$5001,Base!$B$3:$B$5001,J$197,Base!$A$3:$A$5001,"&gt;="&amp;$C$7,Base!$A$3:$A$5001,"&lt;="&amp;$B203,Base!$Y$3:$Y$5001,"&lt;&gt;"))))</f>
        <v/>
      </c>
      <c r="K203" t="str">
        <f>IF($A203&gt;$B$9,"",IF(COUNTIFS(Base!$B$3:$B$5001,K$197,Base!$A$3:$A$5001,"&gt;="&amp;$C$7,Base!$A$3:$A$5001,"&lt;="&amp;$B203,Base!$Y$3:$Y$5001,"&lt;&gt;")=0,"",SUMIFS(Base!$Y$3:$Y$5001,Base!$B$3:$B$5001,K$197,Base!$A$3:$A$5001,_xlfn.MAXIFS(Base!$A$3:$A$5001,Base!$B$3:$B$5001,K$197,Base!$A$3:$A$5001,"&gt;="&amp;$C$7,Base!$A$3:$A$5001,"&lt;="&amp;$B203,Base!$Y$3:$Y$5001,"&lt;&gt;"))))</f>
        <v/>
      </c>
    </row>
    <row r="204">
      <c r="A204">
        <v>7</v>
      </c>
      <c r="B204" s="152">
        <f>$B$18</f>
        <v>46272</v>
      </c>
      <c r="C204" t="str">
        <f>IF($A204&gt;$B$9,"",IF(COUNTIFS(Base!$B$3:$B$5001,C$197,Base!$A$3:$A$5001,"&gt;="&amp;$C$7,Base!$A$3:$A$5001,"&lt;="&amp;$B204,Base!$Y$3:$Y$5001,"&lt;&gt;")=0,"",SUMIFS(Base!$Y$3:$Y$5001,Base!$B$3:$B$5001,C$197,Base!$A$3:$A$5001,_xlfn.MAXIFS(Base!$A$3:$A$5001,Base!$B$3:$B$5001,C$197,Base!$A$3:$A$5001,"&gt;="&amp;$C$7,Base!$A$3:$A$5001,"&lt;="&amp;$B204,Base!$Y$3:$Y$5001,"&lt;&gt;"))))</f>
        <v/>
      </c>
      <c r="D204" t="str">
        <f>IF($A204&gt;$B$9,"",IF(COUNTIFS(Base!$B$3:$B$5001,D$197,Base!$A$3:$A$5001,"&gt;="&amp;$C$7,Base!$A$3:$A$5001,"&lt;="&amp;$B204,Base!$Y$3:$Y$5001,"&lt;&gt;")=0,"",SUMIFS(Base!$Y$3:$Y$5001,Base!$B$3:$B$5001,D$197,Base!$A$3:$A$5001,_xlfn.MAXIFS(Base!$A$3:$A$5001,Base!$B$3:$B$5001,D$197,Base!$A$3:$A$5001,"&gt;="&amp;$C$7,Base!$A$3:$A$5001,"&lt;="&amp;$B204,Base!$Y$3:$Y$5001,"&lt;&gt;"))))</f>
        <v/>
      </c>
      <c r="E204" t="str">
        <f>IF($A204&gt;$B$9,"",IF(COUNTIFS(Base!$B$3:$B$5001,E$197,Base!$A$3:$A$5001,"&gt;="&amp;$C$7,Base!$A$3:$A$5001,"&lt;="&amp;$B204,Base!$Y$3:$Y$5001,"&lt;&gt;")=0,"",SUMIFS(Base!$Y$3:$Y$5001,Base!$B$3:$B$5001,E$197,Base!$A$3:$A$5001,_xlfn.MAXIFS(Base!$A$3:$A$5001,Base!$B$3:$B$5001,E$197,Base!$A$3:$A$5001,"&gt;="&amp;$C$7,Base!$A$3:$A$5001,"&lt;="&amp;$B204,Base!$Y$3:$Y$5001,"&lt;&gt;"))))</f>
        <v/>
      </c>
      <c r="F204" t="str">
        <f>IF($A204&gt;$B$9,"",IF(COUNTIFS(Base!$B$3:$B$5001,F$197,Base!$A$3:$A$5001,"&gt;="&amp;$C$7,Base!$A$3:$A$5001,"&lt;="&amp;$B204,Base!$Y$3:$Y$5001,"&lt;&gt;")=0,"",SUMIFS(Base!$Y$3:$Y$5001,Base!$B$3:$B$5001,F$197,Base!$A$3:$A$5001,_xlfn.MAXIFS(Base!$A$3:$A$5001,Base!$B$3:$B$5001,F$197,Base!$A$3:$A$5001,"&gt;="&amp;$C$7,Base!$A$3:$A$5001,"&lt;="&amp;$B204,Base!$Y$3:$Y$5001,"&lt;&gt;"))))</f>
        <v/>
      </c>
      <c r="G204" t="str">
        <f>IF($A204&gt;$B$9,"",IF(COUNTIFS(Base!$B$3:$B$5001,G$197,Base!$A$3:$A$5001,"&gt;="&amp;$C$7,Base!$A$3:$A$5001,"&lt;="&amp;$B204,Base!$Y$3:$Y$5001,"&lt;&gt;")=0,"",SUMIFS(Base!$Y$3:$Y$5001,Base!$B$3:$B$5001,G$197,Base!$A$3:$A$5001,_xlfn.MAXIFS(Base!$A$3:$A$5001,Base!$B$3:$B$5001,G$197,Base!$A$3:$A$5001,"&gt;="&amp;$C$7,Base!$A$3:$A$5001,"&lt;="&amp;$B204,Base!$Y$3:$Y$5001,"&lt;&gt;"))))</f>
        <v/>
      </c>
      <c r="H204" t="str">
        <f>IF($A204&gt;$B$9,"",IF(COUNTIFS(Base!$B$3:$B$5001,H$197,Base!$A$3:$A$5001,"&gt;="&amp;$C$7,Base!$A$3:$A$5001,"&lt;="&amp;$B204,Base!$Y$3:$Y$5001,"&lt;&gt;")=0,"",SUMIFS(Base!$Y$3:$Y$5001,Base!$B$3:$B$5001,H$197,Base!$A$3:$A$5001,_xlfn.MAXIFS(Base!$A$3:$A$5001,Base!$B$3:$B$5001,H$197,Base!$A$3:$A$5001,"&gt;="&amp;$C$7,Base!$A$3:$A$5001,"&lt;="&amp;$B204,Base!$Y$3:$Y$5001,"&lt;&gt;"))))</f>
        <v/>
      </c>
      <c r="I204" t="str">
        <f>IF($A204&gt;$B$9,"",IF(COUNTIFS(Base!$B$3:$B$5001,I$197,Base!$A$3:$A$5001,"&gt;="&amp;$C$7,Base!$A$3:$A$5001,"&lt;="&amp;$B204,Base!$Y$3:$Y$5001,"&lt;&gt;")=0,"",SUMIFS(Base!$Y$3:$Y$5001,Base!$B$3:$B$5001,I$197,Base!$A$3:$A$5001,_xlfn.MAXIFS(Base!$A$3:$A$5001,Base!$B$3:$B$5001,I$197,Base!$A$3:$A$5001,"&gt;="&amp;$C$7,Base!$A$3:$A$5001,"&lt;="&amp;$B204,Base!$Y$3:$Y$5001,"&lt;&gt;"))))</f>
        <v/>
      </c>
      <c r="J204" t="str">
        <f>IF($A204&gt;$B$9,"",IF(COUNTIFS(Base!$B$3:$B$5001,J$197,Base!$A$3:$A$5001,"&gt;="&amp;$C$7,Base!$A$3:$A$5001,"&lt;="&amp;$B204,Base!$Y$3:$Y$5001,"&lt;&gt;")=0,"",SUMIFS(Base!$Y$3:$Y$5001,Base!$B$3:$B$5001,J$197,Base!$A$3:$A$5001,_xlfn.MAXIFS(Base!$A$3:$A$5001,Base!$B$3:$B$5001,J$197,Base!$A$3:$A$5001,"&gt;="&amp;$C$7,Base!$A$3:$A$5001,"&lt;="&amp;$B204,Base!$Y$3:$Y$5001,"&lt;&gt;"))))</f>
        <v/>
      </c>
      <c r="K204" t="str">
        <f>IF($A204&gt;$B$9,"",IF(COUNTIFS(Base!$B$3:$B$5001,K$197,Base!$A$3:$A$5001,"&gt;="&amp;$C$7,Base!$A$3:$A$5001,"&lt;="&amp;$B204,Base!$Y$3:$Y$5001,"&lt;&gt;")=0,"",SUMIFS(Base!$Y$3:$Y$5001,Base!$B$3:$B$5001,K$197,Base!$A$3:$A$5001,_xlfn.MAXIFS(Base!$A$3:$A$5001,Base!$B$3:$B$5001,K$197,Base!$A$3:$A$5001,"&gt;="&amp;$C$7,Base!$A$3:$A$5001,"&lt;="&amp;$B204,Base!$Y$3:$Y$5001,"&lt;&gt;"))))</f>
        <v/>
      </c>
    </row>
    <row r="205">
      <c r="A205">
        <v>8</v>
      </c>
      <c r="B205" s="152">
        <f>$B$19</f>
        <v>46273</v>
      </c>
      <c r="C205" t="str">
        <f>IF($A205&gt;$B$9,"",IF(COUNTIFS(Base!$B$3:$B$5001,C$197,Base!$A$3:$A$5001,"&gt;="&amp;$C$7,Base!$A$3:$A$5001,"&lt;="&amp;$B205,Base!$Y$3:$Y$5001,"&lt;&gt;")=0,"",SUMIFS(Base!$Y$3:$Y$5001,Base!$B$3:$B$5001,C$197,Base!$A$3:$A$5001,_xlfn.MAXIFS(Base!$A$3:$A$5001,Base!$B$3:$B$5001,C$197,Base!$A$3:$A$5001,"&gt;="&amp;$C$7,Base!$A$3:$A$5001,"&lt;="&amp;$B205,Base!$Y$3:$Y$5001,"&lt;&gt;"))))</f>
        <v/>
      </c>
      <c r="D205" t="str">
        <f>IF($A205&gt;$B$9,"",IF(COUNTIFS(Base!$B$3:$B$5001,D$197,Base!$A$3:$A$5001,"&gt;="&amp;$C$7,Base!$A$3:$A$5001,"&lt;="&amp;$B205,Base!$Y$3:$Y$5001,"&lt;&gt;")=0,"",SUMIFS(Base!$Y$3:$Y$5001,Base!$B$3:$B$5001,D$197,Base!$A$3:$A$5001,_xlfn.MAXIFS(Base!$A$3:$A$5001,Base!$B$3:$B$5001,D$197,Base!$A$3:$A$5001,"&gt;="&amp;$C$7,Base!$A$3:$A$5001,"&lt;="&amp;$B205,Base!$Y$3:$Y$5001,"&lt;&gt;"))))</f>
        <v/>
      </c>
      <c r="E205" t="str">
        <f>IF($A205&gt;$B$9,"",IF(COUNTIFS(Base!$B$3:$B$5001,E$197,Base!$A$3:$A$5001,"&gt;="&amp;$C$7,Base!$A$3:$A$5001,"&lt;="&amp;$B205,Base!$Y$3:$Y$5001,"&lt;&gt;")=0,"",SUMIFS(Base!$Y$3:$Y$5001,Base!$B$3:$B$5001,E$197,Base!$A$3:$A$5001,_xlfn.MAXIFS(Base!$A$3:$A$5001,Base!$B$3:$B$5001,E$197,Base!$A$3:$A$5001,"&gt;="&amp;$C$7,Base!$A$3:$A$5001,"&lt;="&amp;$B205,Base!$Y$3:$Y$5001,"&lt;&gt;"))))</f>
        <v/>
      </c>
      <c r="F205" t="str">
        <f>IF($A205&gt;$B$9,"",IF(COUNTIFS(Base!$B$3:$B$5001,F$197,Base!$A$3:$A$5001,"&gt;="&amp;$C$7,Base!$A$3:$A$5001,"&lt;="&amp;$B205,Base!$Y$3:$Y$5001,"&lt;&gt;")=0,"",SUMIFS(Base!$Y$3:$Y$5001,Base!$B$3:$B$5001,F$197,Base!$A$3:$A$5001,_xlfn.MAXIFS(Base!$A$3:$A$5001,Base!$B$3:$B$5001,F$197,Base!$A$3:$A$5001,"&gt;="&amp;$C$7,Base!$A$3:$A$5001,"&lt;="&amp;$B205,Base!$Y$3:$Y$5001,"&lt;&gt;"))))</f>
        <v/>
      </c>
      <c r="G205" t="str">
        <f>IF($A205&gt;$B$9,"",IF(COUNTIFS(Base!$B$3:$B$5001,G$197,Base!$A$3:$A$5001,"&gt;="&amp;$C$7,Base!$A$3:$A$5001,"&lt;="&amp;$B205,Base!$Y$3:$Y$5001,"&lt;&gt;")=0,"",SUMIFS(Base!$Y$3:$Y$5001,Base!$B$3:$B$5001,G$197,Base!$A$3:$A$5001,_xlfn.MAXIFS(Base!$A$3:$A$5001,Base!$B$3:$B$5001,G$197,Base!$A$3:$A$5001,"&gt;="&amp;$C$7,Base!$A$3:$A$5001,"&lt;="&amp;$B205,Base!$Y$3:$Y$5001,"&lt;&gt;"))))</f>
        <v/>
      </c>
      <c r="H205" t="str">
        <f>IF($A205&gt;$B$9,"",IF(COUNTIFS(Base!$B$3:$B$5001,H$197,Base!$A$3:$A$5001,"&gt;="&amp;$C$7,Base!$A$3:$A$5001,"&lt;="&amp;$B205,Base!$Y$3:$Y$5001,"&lt;&gt;")=0,"",SUMIFS(Base!$Y$3:$Y$5001,Base!$B$3:$B$5001,H$197,Base!$A$3:$A$5001,_xlfn.MAXIFS(Base!$A$3:$A$5001,Base!$B$3:$B$5001,H$197,Base!$A$3:$A$5001,"&gt;="&amp;$C$7,Base!$A$3:$A$5001,"&lt;="&amp;$B205,Base!$Y$3:$Y$5001,"&lt;&gt;"))))</f>
        <v/>
      </c>
      <c r="I205" t="str">
        <f>IF($A205&gt;$B$9,"",IF(COUNTIFS(Base!$B$3:$B$5001,I$197,Base!$A$3:$A$5001,"&gt;="&amp;$C$7,Base!$A$3:$A$5001,"&lt;="&amp;$B205,Base!$Y$3:$Y$5001,"&lt;&gt;")=0,"",SUMIFS(Base!$Y$3:$Y$5001,Base!$B$3:$B$5001,I$197,Base!$A$3:$A$5001,_xlfn.MAXIFS(Base!$A$3:$A$5001,Base!$B$3:$B$5001,I$197,Base!$A$3:$A$5001,"&gt;="&amp;$C$7,Base!$A$3:$A$5001,"&lt;="&amp;$B205,Base!$Y$3:$Y$5001,"&lt;&gt;"))))</f>
        <v/>
      </c>
      <c r="J205" t="str">
        <f>IF($A205&gt;$B$9,"",IF(COUNTIFS(Base!$B$3:$B$5001,J$197,Base!$A$3:$A$5001,"&gt;="&amp;$C$7,Base!$A$3:$A$5001,"&lt;="&amp;$B205,Base!$Y$3:$Y$5001,"&lt;&gt;")=0,"",SUMIFS(Base!$Y$3:$Y$5001,Base!$B$3:$B$5001,J$197,Base!$A$3:$A$5001,_xlfn.MAXIFS(Base!$A$3:$A$5001,Base!$B$3:$B$5001,J$197,Base!$A$3:$A$5001,"&gt;="&amp;$C$7,Base!$A$3:$A$5001,"&lt;="&amp;$B205,Base!$Y$3:$Y$5001,"&lt;&gt;"))))</f>
        <v/>
      </c>
      <c r="K205" t="str">
        <f>IF($A205&gt;$B$9,"",IF(COUNTIFS(Base!$B$3:$B$5001,K$197,Base!$A$3:$A$5001,"&gt;="&amp;$C$7,Base!$A$3:$A$5001,"&lt;="&amp;$B205,Base!$Y$3:$Y$5001,"&lt;&gt;")=0,"",SUMIFS(Base!$Y$3:$Y$5001,Base!$B$3:$B$5001,K$197,Base!$A$3:$A$5001,_xlfn.MAXIFS(Base!$A$3:$A$5001,Base!$B$3:$B$5001,K$197,Base!$A$3:$A$5001,"&gt;="&amp;$C$7,Base!$A$3:$A$5001,"&lt;="&amp;$B205,Base!$Y$3:$Y$5001,"&lt;&gt;"))))</f>
        <v/>
      </c>
    </row>
    <row r="206">
      <c r="A206">
        <v>9</v>
      </c>
      <c r="B206" s="152">
        <f>$B$20</f>
        <v>46274</v>
      </c>
      <c r="C206" t="str">
        <f>IF($A206&gt;$B$9,"",IF(COUNTIFS(Base!$B$3:$B$5001,C$197,Base!$A$3:$A$5001,"&gt;="&amp;$C$7,Base!$A$3:$A$5001,"&lt;="&amp;$B206,Base!$Y$3:$Y$5001,"&lt;&gt;")=0,"",SUMIFS(Base!$Y$3:$Y$5001,Base!$B$3:$B$5001,C$197,Base!$A$3:$A$5001,_xlfn.MAXIFS(Base!$A$3:$A$5001,Base!$B$3:$B$5001,C$197,Base!$A$3:$A$5001,"&gt;="&amp;$C$7,Base!$A$3:$A$5001,"&lt;="&amp;$B206,Base!$Y$3:$Y$5001,"&lt;&gt;"))))</f>
        <v/>
      </c>
      <c r="D206" t="str">
        <f>IF($A206&gt;$B$9,"",IF(COUNTIFS(Base!$B$3:$B$5001,D$197,Base!$A$3:$A$5001,"&gt;="&amp;$C$7,Base!$A$3:$A$5001,"&lt;="&amp;$B206,Base!$Y$3:$Y$5001,"&lt;&gt;")=0,"",SUMIFS(Base!$Y$3:$Y$5001,Base!$B$3:$B$5001,D$197,Base!$A$3:$A$5001,_xlfn.MAXIFS(Base!$A$3:$A$5001,Base!$B$3:$B$5001,D$197,Base!$A$3:$A$5001,"&gt;="&amp;$C$7,Base!$A$3:$A$5001,"&lt;="&amp;$B206,Base!$Y$3:$Y$5001,"&lt;&gt;"))))</f>
        <v/>
      </c>
      <c r="E206" t="str">
        <f>IF($A206&gt;$B$9,"",IF(COUNTIFS(Base!$B$3:$B$5001,E$197,Base!$A$3:$A$5001,"&gt;="&amp;$C$7,Base!$A$3:$A$5001,"&lt;="&amp;$B206,Base!$Y$3:$Y$5001,"&lt;&gt;")=0,"",SUMIFS(Base!$Y$3:$Y$5001,Base!$B$3:$B$5001,E$197,Base!$A$3:$A$5001,_xlfn.MAXIFS(Base!$A$3:$A$5001,Base!$B$3:$B$5001,E$197,Base!$A$3:$A$5001,"&gt;="&amp;$C$7,Base!$A$3:$A$5001,"&lt;="&amp;$B206,Base!$Y$3:$Y$5001,"&lt;&gt;"))))</f>
        <v/>
      </c>
      <c r="F206" t="str">
        <f>IF($A206&gt;$B$9,"",IF(COUNTIFS(Base!$B$3:$B$5001,F$197,Base!$A$3:$A$5001,"&gt;="&amp;$C$7,Base!$A$3:$A$5001,"&lt;="&amp;$B206,Base!$Y$3:$Y$5001,"&lt;&gt;")=0,"",SUMIFS(Base!$Y$3:$Y$5001,Base!$B$3:$B$5001,F$197,Base!$A$3:$A$5001,_xlfn.MAXIFS(Base!$A$3:$A$5001,Base!$B$3:$B$5001,F$197,Base!$A$3:$A$5001,"&gt;="&amp;$C$7,Base!$A$3:$A$5001,"&lt;="&amp;$B206,Base!$Y$3:$Y$5001,"&lt;&gt;"))))</f>
        <v/>
      </c>
      <c r="G206" t="str">
        <f>IF($A206&gt;$B$9,"",IF(COUNTIFS(Base!$B$3:$B$5001,G$197,Base!$A$3:$A$5001,"&gt;="&amp;$C$7,Base!$A$3:$A$5001,"&lt;="&amp;$B206,Base!$Y$3:$Y$5001,"&lt;&gt;")=0,"",SUMIFS(Base!$Y$3:$Y$5001,Base!$B$3:$B$5001,G$197,Base!$A$3:$A$5001,_xlfn.MAXIFS(Base!$A$3:$A$5001,Base!$B$3:$B$5001,G$197,Base!$A$3:$A$5001,"&gt;="&amp;$C$7,Base!$A$3:$A$5001,"&lt;="&amp;$B206,Base!$Y$3:$Y$5001,"&lt;&gt;"))))</f>
        <v/>
      </c>
      <c r="H206" t="str">
        <f>IF($A206&gt;$B$9,"",IF(COUNTIFS(Base!$B$3:$B$5001,H$197,Base!$A$3:$A$5001,"&gt;="&amp;$C$7,Base!$A$3:$A$5001,"&lt;="&amp;$B206,Base!$Y$3:$Y$5001,"&lt;&gt;")=0,"",SUMIFS(Base!$Y$3:$Y$5001,Base!$B$3:$B$5001,H$197,Base!$A$3:$A$5001,_xlfn.MAXIFS(Base!$A$3:$A$5001,Base!$B$3:$B$5001,H$197,Base!$A$3:$A$5001,"&gt;="&amp;$C$7,Base!$A$3:$A$5001,"&lt;="&amp;$B206,Base!$Y$3:$Y$5001,"&lt;&gt;"))))</f>
        <v/>
      </c>
      <c r="I206" t="str">
        <f>IF($A206&gt;$B$9,"",IF(COUNTIFS(Base!$B$3:$B$5001,I$197,Base!$A$3:$A$5001,"&gt;="&amp;$C$7,Base!$A$3:$A$5001,"&lt;="&amp;$B206,Base!$Y$3:$Y$5001,"&lt;&gt;")=0,"",SUMIFS(Base!$Y$3:$Y$5001,Base!$B$3:$B$5001,I$197,Base!$A$3:$A$5001,_xlfn.MAXIFS(Base!$A$3:$A$5001,Base!$B$3:$B$5001,I$197,Base!$A$3:$A$5001,"&gt;="&amp;$C$7,Base!$A$3:$A$5001,"&lt;="&amp;$B206,Base!$Y$3:$Y$5001,"&lt;&gt;"))))</f>
        <v/>
      </c>
      <c r="J206" t="str">
        <f>IF($A206&gt;$B$9,"",IF(COUNTIFS(Base!$B$3:$B$5001,J$197,Base!$A$3:$A$5001,"&gt;="&amp;$C$7,Base!$A$3:$A$5001,"&lt;="&amp;$B206,Base!$Y$3:$Y$5001,"&lt;&gt;")=0,"",SUMIFS(Base!$Y$3:$Y$5001,Base!$B$3:$B$5001,J$197,Base!$A$3:$A$5001,_xlfn.MAXIFS(Base!$A$3:$A$5001,Base!$B$3:$B$5001,J$197,Base!$A$3:$A$5001,"&gt;="&amp;$C$7,Base!$A$3:$A$5001,"&lt;="&amp;$B206,Base!$Y$3:$Y$5001,"&lt;&gt;"))))</f>
        <v/>
      </c>
      <c r="K206" t="str">
        <f>IF($A206&gt;$B$9,"",IF(COUNTIFS(Base!$B$3:$B$5001,K$197,Base!$A$3:$A$5001,"&gt;="&amp;$C$7,Base!$A$3:$A$5001,"&lt;="&amp;$B206,Base!$Y$3:$Y$5001,"&lt;&gt;")=0,"",SUMIFS(Base!$Y$3:$Y$5001,Base!$B$3:$B$5001,K$197,Base!$A$3:$A$5001,_xlfn.MAXIFS(Base!$A$3:$A$5001,Base!$B$3:$B$5001,K$197,Base!$A$3:$A$5001,"&gt;="&amp;$C$7,Base!$A$3:$A$5001,"&lt;="&amp;$B206,Base!$Y$3:$Y$5001,"&lt;&gt;"))))</f>
        <v/>
      </c>
    </row>
    <row r="207">
      <c r="A207">
        <v>10</v>
      </c>
      <c r="B207" s="152">
        <f>$B$21</f>
        <v>46275</v>
      </c>
      <c r="C207" t="str">
        <f>IF($A207&gt;$B$9,"",IF(COUNTIFS(Base!$B$3:$B$5001,C$197,Base!$A$3:$A$5001,"&gt;="&amp;$C$7,Base!$A$3:$A$5001,"&lt;="&amp;$B207,Base!$Y$3:$Y$5001,"&lt;&gt;")=0,"",SUMIFS(Base!$Y$3:$Y$5001,Base!$B$3:$B$5001,C$197,Base!$A$3:$A$5001,_xlfn.MAXIFS(Base!$A$3:$A$5001,Base!$B$3:$B$5001,C$197,Base!$A$3:$A$5001,"&gt;="&amp;$C$7,Base!$A$3:$A$5001,"&lt;="&amp;$B207,Base!$Y$3:$Y$5001,"&lt;&gt;"))))</f>
        <v/>
      </c>
      <c r="D207" t="str">
        <f>IF($A207&gt;$B$9,"",IF(COUNTIFS(Base!$B$3:$B$5001,D$197,Base!$A$3:$A$5001,"&gt;="&amp;$C$7,Base!$A$3:$A$5001,"&lt;="&amp;$B207,Base!$Y$3:$Y$5001,"&lt;&gt;")=0,"",SUMIFS(Base!$Y$3:$Y$5001,Base!$B$3:$B$5001,D$197,Base!$A$3:$A$5001,_xlfn.MAXIFS(Base!$A$3:$A$5001,Base!$B$3:$B$5001,D$197,Base!$A$3:$A$5001,"&gt;="&amp;$C$7,Base!$A$3:$A$5001,"&lt;="&amp;$B207,Base!$Y$3:$Y$5001,"&lt;&gt;"))))</f>
        <v/>
      </c>
      <c r="E207" t="str">
        <f>IF($A207&gt;$B$9,"",IF(COUNTIFS(Base!$B$3:$B$5001,E$197,Base!$A$3:$A$5001,"&gt;="&amp;$C$7,Base!$A$3:$A$5001,"&lt;="&amp;$B207,Base!$Y$3:$Y$5001,"&lt;&gt;")=0,"",SUMIFS(Base!$Y$3:$Y$5001,Base!$B$3:$B$5001,E$197,Base!$A$3:$A$5001,_xlfn.MAXIFS(Base!$A$3:$A$5001,Base!$B$3:$B$5001,E$197,Base!$A$3:$A$5001,"&gt;="&amp;$C$7,Base!$A$3:$A$5001,"&lt;="&amp;$B207,Base!$Y$3:$Y$5001,"&lt;&gt;"))))</f>
        <v/>
      </c>
      <c r="F207" t="str">
        <f>IF($A207&gt;$B$9,"",IF(COUNTIFS(Base!$B$3:$B$5001,F$197,Base!$A$3:$A$5001,"&gt;="&amp;$C$7,Base!$A$3:$A$5001,"&lt;="&amp;$B207,Base!$Y$3:$Y$5001,"&lt;&gt;")=0,"",SUMIFS(Base!$Y$3:$Y$5001,Base!$B$3:$B$5001,F$197,Base!$A$3:$A$5001,_xlfn.MAXIFS(Base!$A$3:$A$5001,Base!$B$3:$B$5001,F$197,Base!$A$3:$A$5001,"&gt;="&amp;$C$7,Base!$A$3:$A$5001,"&lt;="&amp;$B207,Base!$Y$3:$Y$5001,"&lt;&gt;"))))</f>
        <v/>
      </c>
      <c r="G207" t="str">
        <f>IF($A207&gt;$B$9,"",IF(COUNTIFS(Base!$B$3:$B$5001,G$197,Base!$A$3:$A$5001,"&gt;="&amp;$C$7,Base!$A$3:$A$5001,"&lt;="&amp;$B207,Base!$Y$3:$Y$5001,"&lt;&gt;")=0,"",SUMIFS(Base!$Y$3:$Y$5001,Base!$B$3:$B$5001,G$197,Base!$A$3:$A$5001,_xlfn.MAXIFS(Base!$A$3:$A$5001,Base!$B$3:$B$5001,G$197,Base!$A$3:$A$5001,"&gt;="&amp;$C$7,Base!$A$3:$A$5001,"&lt;="&amp;$B207,Base!$Y$3:$Y$5001,"&lt;&gt;"))))</f>
        <v/>
      </c>
      <c r="H207" t="str">
        <f>IF($A207&gt;$B$9,"",IF(COUNTIFS(Base!$B$3:$B$5001,H$197,Base!$A$3:$A$5001,"&gt;="&amp;$C$7,Base!$A$3:$A$5001,"&lt;="&amp;$B207,Base!$Y$3:$Y$5001,"&lt;&gt;")=0,"",SUMIFS(Base!$Y$3:$Y$5001,Base!$B$3:$B$5001,H$197,Base!$A$3:$A$5001,_xlfn.MAXIFS(Base!$A$3:$A$5001,Base!$B$3:$B$5001,H$197,Base!$A$3:$A$5001,"&gt;="&amp;$C$7,Base!$A$3:$A$5001,"&lt;="&amp;$B207,Base!$Y$3:$Y$5001,"&lt;&gt;"))))</f>
        <v/>
      </c>
      <c r="I207" t="str">
        <f>IF($A207&gt;$B$9,"",IF(COUNTIFS(Base!$B$3:$B$5001,I$197,Base!$A$3:$A$5001,"&gt;="&amp;$C$7,Base!$A$3:$A$5001,"&lt;="&amp;$B207,Base!$Y$3:$Y$5001,"&lt;&gt;")=0,"",SUMIFS(Base!$Y$3:$Y$5001,Base!$B$3:$B$5001,I$197,Base!$A$3:$A$5001,_xlfn.MAXIFS(Base!$A$3:$A$5001,Base!$B$3:$B$5001,I$197,Base!$A$3:$A$5001,"&gt;="&amp;$C$7,Base!$A$3:$A$5001,"&lt;="&amp;$B207,Base!$Y$3:$Y$5001,"&lt;&gt;"))))</f>
        <v/>
      </c>
      <c r="J207" t="str">
        <f>IF($A207&gt;$B$9,"",IF(COUNTIFS(Base!$B$3:$B$5001,J$197,Base!$A$3:$A$5001,"&gt;="&amp;$C$7,Base!$A$3:$A$5001,"&lt;="&amp;$B207,Base!$Y$3:$Y$5001,"&lt;&gt;")=0,"",SUMIFS(Base!$Y$3:$Y$5001,Base!$B$3:$B$5001,J$197,Base!$A$3:$A$5001,_xlfn.MAXIFS(Base!$A$3:$A$5001,Base!$B$3:$B$5001,J$197,Base!$A$3:$A$5001,"&gt;="&amp;$C$7,Base!$A$3:$A$5001,"&lt;="&amp;$B207,Base!$Y$3:$Y$5001,"&lt;&gt;"))))</f>
        <v/>
      </c>
      <c r="K207" t="str">
        <f>IF($A207&gt;$B$9,"",IF(COUNTIFS(Base!$B$3:$B$5001,K$197,Base!$A$3:$A$5001,"&gt;="&amp;$C$7,Base!$A$3:$A$5001,"&lt;="&amp;$B207,Base!$Y$3:$Y$5001,"&lt;&gt;")=0,"",SUMIFS(Base!$Y$3:$Y$5001,Base!$B$3:$B$5001,K$197,Base!$A$3:$A$5001,_xlfn.MAXIFS(Base!$A$3:$A$5001,Base!$B$3:$B$5001,K$197,Base!$A$3:$A$5001,"&gt;="&amp;$C$7,Base!$A$3:$A$5001,"&lt;="&amp;$B207,Base!$Y$3:$Y$5001,"&lt;&gt;"))))</f>
        <v/>
      </c>
    </row>
    <row r="208">
      <c r="A208">
        <v>11</v>
      </c>
      <c r="B208" s="152">
        <f>$B$22</f>
        <v>46276</v>
      </c>
      <c r="C208" t="str">
        <f>IF($A208&gt;$B$9,"",IF(COUNTIFS(Base!$B$3:$B$5001,C$197,Base!$A$3:$A$5001,"&gt;="&amp;$C$7,Base!$A$3:$A$5001,"&lt;="&amp;$B208,Base!$Y$3:$Y$5001,"&lt;&gt;")=0,"",SUMIFS(Base!$Y$3:$Y$5001,Base!$B$3:$B$5001,C$197,Base!$A$3:$A$5001,_xlfn.MAXIFS(Base!$A$3:$A$5001,Base!$B$3:$B$5001,C$197,Base!$A$3:$A$5001,"&gt;="&amp;$C$7,Base!$A$3:$A$5001,"&lt;="&amp;$B208,Base!$Y$3:$Y$5001,"&lt;&gt;"))))</f>
        <v/>
      </c>
      <c r="D208" t="str">
        <f>IF($A208&gt;$B$9,"",IF(COUNTIFS(Base!$B$3:$B$5001,D$197,Base!$A$3:$A$5001,"&gt;="&amp;$C$7,Base!$A$3:$A$5001,"&lt;="&amp;$B208,Base!$Y$3:$Y$5001,"&lt;&gt;")=0,"",SUMIFS(Base!$Y$3:$Y$5001,Base!$B$3:$B$5001,D$197,Base!$A$3:$A$5001,_xlfn.MAXIFS(Base!$A$3:$A$5001,Base!$B$3:$B$5001,D$197,Base!$A$3:$A$5001,"&gt;="&amp;$C$7,Base!$A$3:$A$5001,"&lt;="&amp;$B208,Base!$Y$3:$Y$5001,"&lt;&gt;"))))</f>
        <v/>
      </c>
      <c r="E208" t="str">
        <f>IF($A208&gt;$B$9,"",IF(COUNTIFS(Base!$B$3:$B$5001,E$197,Base!$A$3:$A$5001,"&gt;="&amp;$C$7,Base!$A$3:$A$5001,"&lt;="&amp;$B208,Base!$Y$3:$Y$5001,"&lt;&gt;")=0,"",SUMIFS(Base!$Y$3:$Y$5001,Base!$B$3:$B$5001,E$197,Base!$A$3:$A$5001,_xlfn.MAXIFS(Base!$A$3:$A$5001,Base!$B$3:$B$5001,E$197,Base!$A$3:$A$5001,"&gt;="&amp;$C$7,Base!$A$3:$A$5001,"&lt;="&amp;$B208,Base!$Y$3:$Y$5001,"&lt;&gt;"))))</f>
        <v/>
      </c>
      <c r="F208" t="str">
        <f>IF($A208&gt;$B$9,"",IF(COUNTIFS(Base!$B$3:$B$5001,F$197,Base!$A$3:$A$5001,"&gt;="&amp;$C$7,Base!$A$3:$A$5001,"&lt;="&amp;$B208,Base!$Y$3:$Y$5001,"&lt;&gt;")=0,"",SUMIFS(Base!$Y$3:$Y$5001,Base!$B$3:$B$5001,F$197,Base!$A$3:$A$5001,_xlfn.MAXIFS(Base!$A$3:$A$5001,Base!$B$3:$B$5001,F$197,Base!$A$3:$A$5001,"&gt;="&amp;$C$7,Base!$A$3:$A$5001,"&lt;="&amp;$B208,Base!$Y$3:$Y$5001,"&lt;&gt;"))))</f>
        <v/>
      </c>
      <c r="G208" t="str">
        <f>IF($A208&gt;$B$9,"",IF(COUNTIFS(Base!$B$3:$B$5001,G$197,Base!$A$3:$A$5001,"&gt;="&amp;$C$7,Base!$A$3:$A$5001,"&lt;="&amp;$B208,Base!$Y$3:$Y$5001,"&lt;&gt;")=0,"",SUMIFS(Base!$Y$3:$Y$5001,Base!$B$3:$B$5001,G$197,Base!$A$3:$A$5001,_xlfn.MAXIFS(Base!$A$3:$A$5001,Base!$B$3:$B$5001,G$197,Base!$A$3:$A$5001,"&gt;="&amp;$C$7,Base!$A$3:$A$5001,"&lt;="&amp;$B208,Base!$Y$3:$Y$5001,"&lt;&gt;"))))</f>
        <v/>
      </c>
      <c r="H208" t="str">
        <f>IF($A208&gt;$B$9,"",IF(COUNTIFS(Base!$B$3:$B$5001,H$197,Base!$A$3:$A$5001,"&gt;="&amp;$C$7,Base!$A$3:$A$5001,"&lt;="&amp;$B208,Base!$Y$3:$Y$5001,"&lt;&gt;")=0,"",SUMIFS(Base!$Y$3:$Y$5001,Base!$B$3:$B$5001,H$197,Base!$A$3:$A$5001,_xlfn.MAXIFS(Base!$A$3:$A$5001,Base!$B$3:$B$5001,H$197,Base!$A$3:$A$5001,"&gt;="&amp;$C$7,Base!$A$3:$A$5001,"&lt;="&amp;$B208,Base!$Y$3:$Y$5001,"&lt;&gt;"))))</f>
        <v/>
      </c>
      <c r="I208" t="str">
        <f>IF($A208&gt;$B$9,"",IF(COUNTIFS(Base!$B$3:$B$5001,I$197,Base!$A$3:$A$5001,"&gt;="&amp;$C$7,Base!$A$3:$A$5001,"&lt;="&amp;$B208,Base!$Y$3:$Y$5001,"&lt;&gt;")=0,"",SUMIFS(Base!$Y$3:$Y$5001,Base!$B$3:$B$5001,I$197,Base!$A$3:$A$5001,_xlfn.MAXIFS(Base!$A$3:$A$5001,Base!$B$3:$B$5001,I$197,Base!$A$3:$A$5001,"&gt;="&amp;$C$7,Base!$A$3:$A$5001,"&lt;="&amp;$B208,Base!$Y$3:$Y$5001,"&lt;&gt;"))))</f>
        <v/>
      </c>
      <c r="J208" t="str">
        <f>IF($A208&gt;$B$9,"",IF(COUNTIFS(Base!$B$3:$B$5001,J$197,Base!$A$3:$A$5001,"&gt;="&amp;$C$7,Base!$A$3:$A$5001,"&lt;="&amp;$B208,Base!$Y$3:$Y$5001,"&lt;&gt;")=0,"",SUMIFS(Base!$Y$3:$Y$5001,Base!$B$3:$B$5001,J$197,Base!$A$3:$A$5001,_xlfn.MAXIFS(Base!$A$3:$A$5001,Base!$B$3:$B$5001,J$197,Base!$A$3:$A$5001,"&gt;="&amp;$C$7,Base!$A$3:$A$5001,"&lt;="&amp;$B208,Base!$Y$3:$Y$5001,"&lt;&gt;"))))</f>
        <v/>
      </c>
      <c r="K208" t="str">
        <f>IF($A208&gt;$B$9,"",IF(COUNTIFS(Base!$B$3:$B$5001,K$197,Base!$A$3:$A$5001,"&gt;="&amp;$C$7,Base!$A$3:$A$5001,"&lt;="&amp;$B208,Base!$Y$3:$Y$5001,"&lt;&gt;")=0,"",SUMIFS(Base!$Y$3:$Y$5001,Base!$B$3:$B$5001,K$197,Base!$A$3:$A$5001,_xlfn.MAXIFS(Base!$A$3:$A$5001,Base!$B$3:$B$5001,K$197,Base!$A$3:$A$5001,"&gt;="&amp;$C$7,Base!$A$3:$A$5001,"&lt;="&amp;$B208,Base!$Y$3:$Y$5001,"&lt;&gt;"))))</f>
        <v/>
      </c>
    </row>
    <row r="209">
      <c r="A209">
        <v>12</v>
      </c>
      <c r="B209" s="152">
        <f>$B$23</f>
        <v>46277</v>
      </c>
      <c r="C209" t="str">
        <f>IF($A209&gt;$B$9,"",IF(COUNTIFS(Base!$B$3:$B$5001,C$197,Base!$A$3:$A$5001,"&gt;="&amp;$C$7,Base!$A$3:$A$5001,"&lt;="&amp;$B209,Base!$Y$3:$Y$5001,"&lt;&gt;")=0,"",SUMIFS(Base!$Y$3:$Y$5001,Base!$B$3:$B$5001,C$197,Base!$A$3:$A$5001,_xlfn.MAXIFS(Base!$A$3:$A$5001,Base!$B$3:$B$5001,C$197,Base!$A$3:$A$5001,"&gt;="&amp;$C$7,Base!$A$3:$A$5001,"&lt;="&amp;$B209,Base!$Y$3:$Y$5001,"&lt;&gt;"))))</f>
        <v/>
      </c>
      <c r="D209" t="str">
        <f>IF($A209&gt;$B$9,"",IF(COUNTIFS(Base!$B$3:$B$5001,D$197,Base!$A$3:$A$5001,"&gt;="&amp;$C$7,Base!$A$3:$A$5001,"&lt;="&amp;$B209,Base!$Y$3:$Y$5001,"&lt;&gt;")=0,"",SUMIFS(Base!$Y$3:$Y$5001,Base!$B$3:$B$5001,D$197,Base!$A$3:$A$5001,_xlfn.MAXIFS(Base!$A$3:$A$5001,Base!$B$3:$B$5001,D$197,Base!$A$3:$A$5001,"&gt;="&amp;$C$7,Base!$A$3:$A$5001,"&lt;="&amp;$B209,Base!$Y$3:$Y$5001,"&lt;&gt;"))))</f>
        <v/>
      </c>
      <c r="E209" t="str">
        <f>IF($A209&gt;$B$9,"",IF(COUNTIFS(Base!$B$3:$B$5001,E$197,Base!$A$3:$A$5001,"&gt;="&amp;$C$7,Base!$A$3:$A$5001,"&lt;="&amp;$B209,Base!$Y$3:$Y$5001,"&lt;&gt;")=0,"",SUMIFS(Base!$Y$3:$Y$5001,Base!$B$3:$B$5001,E$197,Base!$A$3:$A$5001,_xlfn.MAXIFS(Base!$A$3:$A$5001,Base!$B$3:$B$5001,E$197,Base!$A$3:$A$5001,"&gt;="&amp;$C$7,Base!$A$3:$A$5001,"&lt;="&amp;$B209,Base!$Y$3:$Y$5001,"&lt;&gt;"))))</f>
        <v/>
      </c>
      <c r="F209" t="str">
        <f>IF($A209&gt;$B$9,"",IF(COUNTIFS(Base!$B$3:$B$5001,F$197,Base!$A$3:$A$5001,"&gt;="&amp;$C$7,Base!$A$3:$A$5001,"&lt;="&amp;$B209,Base!$Y$3:$Y$5001,"&lt;&gt;")=0,"",SUMIFS(Base!$Y$3:$Y$5001,Base!$B$3:$B$5001,F$197,Base!$A$3:$A$5001,_xlfn.MAXIFS(Base!$A$3:$A$5001,Base!$B$3:$B$5001,F$197,Base!$A$3:$A$5001,"&gt;="&amp;$C$7,Base!$A$3:$A$5001,"&lt;="&amp;$B209,Base!$Y$3:$Y$5001,"&lt;&gt;"))))</f>
        <v/>
      </c>
      <c r="G209" t="str">
        <f>IF($A209&gt;$B$9,"",IF(COUNTIFS(Base!$B$3:$B$5001,G$197,Base!$A$3:$A$5001,"&gt;="&amp;$C$7,Base!$A$3:$A$5001,"&lt;="&amp;$B209,Base!$Y$3:$Y$5001,"&lt;&gt;")=0,"",SUMIFS(Base!$Y$3:$Y$5001,Base!$B$3:$B$5001,G$197,Base!$A$3:$A$5001,_xlfn.MAXIFS(Base!$A$3:$A$5001,Base!$B$3:$B$5001,G$197,Base!$A$3:$A$5001,"&gt;="&amp;$C$7,Base!$A$3:$A$5001,"&lt;="&amp;$B209,Base!$Y$3:$Y$5001,"&lt;&gt;"))))</f>
        <v/>
      </c>
      <c r="H209" t="str">
        <f>IF($A209&gt;$B$9,"",IF(COUNTIFS(Base!$B$3:$B$5001,H$197,Base!$A$3:$A$5001,"&gt;="&amp;$C$7,Base!$A$3:$A$5001,"&lt;="&amp;$B209,Base!$Y$3:$Y$5001,"&lt;&gt;")=0,"",SUMIFS(Base!$Y$3:$Y$5001,Base!$B$3:$B$5001,H$197,Base!$A$3:$A$5001,_xlfn.MAXIFS(Base!$A$3:$A$5001,Base!$B$3:$B$5001,H$197,Base!$A$3:$A$5001,"&gt;="&amp;$C$7,Base!$A$3:$A$5001,"&lt;="&amp;$B209,Base!$Y$3:$Y$5001,"&lt;&gt;"))))</f>
        <v/>
      </c>
      <c r="I209" t="str">
        <f>IF($A209&gt;$B$9,"",IF(COUNTIFS(Base!$B$3:$B$5001,I$197,Base!$A$3:$A$5001,"&gt;="&amp;$C$7,Base!$A$3:$A$5001,"&lt;="&amp;$B209,Base!$Y$3:$Y$5001,"&lt;&gt;")=0,"",SUMIFS(Base!$Y$3:$Y$5001,Base!$B$3:$B$5001,I$197,Base!$A$3:$A$5001,_xlfn.MAXIFS(Base!$A$3:$A$5001,Base!$B$3:$B$5001,I$197,Base!$A$3:$A$5001,"&gt;="&amp;$C$7,Base!$A$3:$A$5001,"&lt;="&amp;$B209,Base!$Y$3:$Y$5001,"&lt;&gt;"))))</f>
        <v/>
      </c>
      <c r="J209" t="str">
        <f>IF($A209&gt;$B$9,"",IF(COUNTIFS(Base!$B$3:$B$5001,J$197,Base!$A$3:$A$5001,"&gt;="&amp;$C$7,Base!$A$3:$A$5001,"&lt;="&amp;$B209,Base!$Y$3:$Y$5001,"&lt;&gt;")=0,"",SUMIFS(Base!$Y$3:$Y$5001,Base!$B$3:$B$5001,J$197,Base!$A$3:$A$5001,_xlfn.MAXIFS(Base!$A$3:$A$5001,Base!$B$3:$B$5001,J$197,Base!$A$3:$A$5001,"&gt;="&amp;$C$7,Base!$A$3:$A$5001,"&lt;="&amp;$B209,Base!$Y$3:$Y$5001,"&lt;&gt;"))))</f>
        <v/>
      </c>
      <c r="K209" t="str">
        <f>IF($A209&gt;$B$9,"",IF(COUNTIFS(Base!$B$3:$B$5001,K$197,Base!$A$3:$A$5001,"&gt;="&amp;$C$7,Base!$A$3:$A$5001,"&lt;="&amp;$B209,Base!$Y$3:$Y$5001,"&lt;&gt;")=0,"",SUMIFS(Base!$Y$3:$Y$5001,Base!$B$3:$B$5001,K$197,Base!$A$3:$A$5001,_xlfn.MAXIFS(Base!$A$3:$A$5001,Base!$B$3:$B$5001,K$197,Base!$A$3:$A$5001,"&gt;="&amp;$C$7,Base!$A$3:$A$5001,"&lt;="&amp;$B209,Base!$Y$3:$Y$5001,"&lt;&gt;"))))</f>
        <v/>
      </c>
    </row>
    <row r="210">
      <c r="A210">
        <v>13</v>
      </c>
      <c r="B210" s="152">
        <f>$B$24</f>
        <v>46278</v>
      </c>
      <c r="C210" t="str">
        <f>IF($A210&gt;$B$9,"",IF(COUNTIFS(Base!$B$3:$B$5001,C$197,Base!$A$3:$A$5001,"&gt;="&amp;$C$7,Base!$A$3:$A$5001,"&lt;="&amp;$B210,Base!$Y$3:$Y$5001,"&lt;&gt;")=0,"",SUMIFS(Base!$Y$3:$Y$5001,Base!$B$3:$B$5001,C$197,Base!$A$3:$A$5001,_xlfn.MAXIFS(Base!$A$3:$A$5001,Base!$B$3:$B$5001,C$197,Base!$A$3:$A$5001,"&gt;="&amp;$C$7,Base!$A$3:$A$5001,"&lt;="&amp;$B210,Base!$Y$3:$Y$5001,"&lt;&gt;"))))</f>
        <v/>
      </c>
      <c r="D210" t="str">
        <f>IF($A210&gt;$B$9,"",IF(COUNTIFS(Base!$B$3:$B$5001,D$197,Base!$A$3:$A$5001,"&gt;="&amp;$C$7,Base!$A$3:$A$5001,"&lt;="&amp;$B210,Base!$Y$3:$Y$5001,"&lt;&gt;")=0,"",SUMIFS(Base!$Y$3:$Y$5001,Base!$B$3:$B$5001,D$197,Base!$A$3:$A$5001,_xlfn.MAXIFS(Base!$A$3:$A$5001,Base!$B$3:$B$5001,D$197,Base!$A$3:$A$5001,"&gt;="&amp;$C$7,Base!$A$3:$A$5001,"&lt;="&amp;$B210,Base!$Y$3:$Y$5001,"&lt;&gt;"))))</f>
        <v/>
      </c>
      <c r="E210" t="str">
        <f>IF($A210&gt;$B$9,"",IF(COUNTIFS(Base!$B$3:$B$5001,E$197,Base!$A$3:$A$5001,"&gt;="&amp;$C$7,Base!$A$3:$A$5001,"&lt;="&amp;$B210,Base!$Y$3:$Y$5001,"&lt;&gt;")=0,"",SUMIFS(Base!$Y$3:$Y$5001,Base!$B$3:$B$5001,E$197,Base!$A$3:$A$5001,_xlfn.MAXIFS(Base!$A$3:$A$5001,Base!$B$3:$B$5001,E$197,Base!$A$3:$A$5001,"&gt;="&amp;$C$7,Base!$A$3:$A$5001,"&lt;="&amp;$B210,Base!$Y$3:$Y$5001,"&lt;&gt;"))))</f>
        <v/>
      </c>
      <c r="F210" t="str">
        <f>IF($A210&gt;$B$9,"",IF(COUNTIFS(Base!$B$3:$B$5001,F$197,Base!$A$3:$A$5001,"&gt;="&amp;$C$7,Base!$A$3:$A$5001,"&lt;="&amp;$B210,Base!$Y$3:$Y$5001,"&lt;&gt;")=0,"",SUMIFS(Base!$Y$3:$Y$5001,Base!$B$3:$B$5001,F$197,Base!$A$3:$A$5001,_xlfn.MAXIFS(Base!$A$3:$A$5001,Base!$B$3:$B$5001,F$197,Base!$A$3:$A$5001,"&gt;="&amp;$C$7,Base!$A$3:$A$5001,"&lt;="&amp;$B210,Base!$Y$3:$Y$5001,"&lt;&gt;"))))</f>
        <v/>
      </c>
      <c r="G210" t="str">
        <f>IF($A210&gt;$B$9,"",IF(COUNTIFS(Base!$B$3:$B$5001,G$197,Base!$A$3:$A$5001,"&gt;="&amp;$C$7,Base!$A$3:$A$5001,"&lt;="&amp;$B210,Base!$Y$3:$Y$5001,"&lt;&gt;")=0,"",SUMIFS(Base!$Y$3:$Y$5001,Base!$B$3:$B$5001,G$197,Base!$A$3:$A$5001,_xlfn.MAXIFS(Base!$A$3:$A$5001,Base!$B$3:$B$5001,G$197,Base!$A$3:$A$5001,"&gt;="&amp;$C$7,Base!$A$3:$A$5001,"&lt;="&amp;$B210,Base!$Y$3:$Y$5001,"&lt;&gt;"))))</f>
        <v/>
      </c>
      <c r="H210" t="str">
        <f>IF($A210&gt;$B$9,"",IF(COUNTIFS(Base!$B$3:$B$5001,H$197,Base!$A$3:$A$5001,"&gt;="&amp;$C$7,Base!$A$3:$A$5001,"&lt;="&amp;$B210,Base!$Y$3:$Y$5001,"&lt;&gt;")=0,"",SUMIFS(Base!$Y$3:$Y$5001,Base!$B$3:$B$5001,H$197,Base!$A$3:$A$5001,_xlfn.MAXIFS(Base!$A$3:$A$5001,Base!$B$3:$B$5001,H$197,Base!$A$3:$A$5001,"&gt;="&amp;$C$7,Base!$A$3:$A$5001,"&lt;="&amp;$B210,Base!$Y$3:$Y$5001,"&lt;&gt;"))))</f>
        <v/>
      </c>
      <c r="I210" t="str">
        <f>IF($A210&gt;$B$9,"",IF(COUNTIFS(Base!$B$3:$B$5001,I$197,Base!$A$3:$A$5001,"&gt;="&amp;$C$7,Base!$A$3:$A$5001,"&lt;="&amp;$B210,Base!$Y$3:$Y$5001,"&lt;&gt;")=0,"",SUMIFS(Base!$Y$3:$Y$5001,Base!$B$3:$B$5001,I$197,Base!$A$3:$A$5001,_xlfn.MAXIFS(Base!$A$3:$A$5001,Base!$B$3:$B$5001,I$197,Base!$A$3:$A$5001,"&gt;="&amp;$C$7,Base!$A$3:$A$5001,"&lt;="&amp;$B210,Base!$Y$3:$Y$5001,"&lt;&gt;"))))</f>
        <v/>
      </c>
      <c r="J210" t="str">
        <f>IF($A210&gt;$B$9,"",IF(COUNTIFS(Base!$B$3:$B$5001,J$197,Base!$A$3:$A$5001,"&gt;="&amp;$C$7,Base!$A$3:$A$5001,"&lt;="&amp;$B210,Base!$Y$3:$Y$5001,"&lt;&gt;")=0,"",SUMIFS(Base!$Y$3:$Y$5001,Base!$B$3:$B$5001,J$197,Base!$A$3:$A$5001,_xlfn.MAXIFS(Base!$A$3:$A$5001,Base!$B$3:$B$5001,J$197,Base!$A$3:$A$5001,"&gt;="&amp;$C$7,Base!$A$3:$A$5001,"&lt;="&amp;$B210,Base!$Y$3:$Y$5001,"&lt;&gt;"))))</f>
        <v/>
      </c>
      <c r="K210" t="str">
        <f>IF($A210&gt;$B$9,"",IF(COUNTIFS(Base!$B$3:$B$5001,K$197,Base!$A$3:$A$5001,"&gt;="&amp;$C$7,Base!$A$3:$A$5001,"&lt;="&amp;$B210,Base!$Y$3:$Y$5001,"&lt;&gt;")=0,"",SUMIFS(Base!$Y$3:$Y$5001,Base!$B$3:$B$5001,K$197,Base!$A$3:$A$5001,_xlfn.MAXIFS(Base!$A$3:$A$5001,Base!$B$3:$B$5001,K$197,Base!$A$3:$A$5001,"&gt;="&amp;$C$7,Base!$A$3:$A$5001,"&lt;="&amp;$B210,Base!$Y$3:$Y$5001,"&lt;&gt;"))))</f>
        <v/>
      </c>
    </row>
    <row r="211">
      <c r="A211">
        <v>14</v>
      </c>
      <c r="B211" s="152">
        <f>$B$25</f>
        <v>46279</v>
      </c>
      <c r="C211" t="str">
        <f>IF($A211&gt;$B$9,"",IF(COUNTIFS(Base!$B$3:$B$5001,C$197,Base!$A$3:$A$5001,"&gt;="&amp;$C$7,Base!$A$3:$A$5001,"&lt;="&amp;$B211,Base!$Y$3:$Y$5001,"&lt;&gt;")=0,"",SUMIFS(Base!$Y$3:$Y$5001,Base!$B$3:$B$5001,C$197,Base!$A$3:$A$5001,_xlfn.MAXIFS(Base!$A$3:$A$5001,Base!$B$3:$B$5001,C$197,Base!$A$3:$A$5001,"&gt;="&amp;$C$7,Base!$A$3:$A$5001,"&lt;="&amp;$B211,Base!$Y$3:$Y$5001,"&lt;&gt;"))))</f>
        <v/>
      </c>
      <c r="D211" t="str">
        <f>IF($A211&gt;$B$9,"",IF(COUNTIFS(Base!$B$3:$B$5001,D$197,Base!$A$3:$A$5001,"&gt;="&amp;$C$7,Base!$A$3:$A$5001,"&lt;="&amp;$B211,Base!$Y$3:$Y$5001,"&lt;&gt;")=0,"",SUMIFS(Base!$Y$3:$Y$5001,Base!$B$3:$B$5001,D$197,Base!$A$3:$A$5001,_xlfn.MAXIFS(Base!$A$3:$A$5001,Base!$B$3:$B$5001,D$197,Base!$A$3:$A$5001,"&gt;="&amp;$C$7,Base!$A$3:$A$5001,"&lt;="&amp;$B211,Base!$Y$3:$Y$5001,"&lt;&gt;"))))</f>
        <v/>
      </c>
      <c r="E211" t="str">
        <f>IF($A211&gt;$B$9,"",IF(COUNTIFS(Base!$B$3:$B$5001,E$197,Base!$A$3:$A$5001,"&gt;="&amp;$C$7,Base!$A$3:$A$5001,"&lt;="&amp;$B211,Base!$Y$3:$Y$5001,"&lt;&gt;")=0,"",SUMIFS(Base!$Y$3:$Y$5001,Base!$B$3:$B$5001,E$197,Base!$A$3:$A$5001,_xlfn.MAXIFS(Base!$A$3:$A$5001,Base!$B$3:$B$5001,E$197,Base!$A$3:$A$5001,"&gt;="&amp;$C$7,Base!$A$3:$A$5001,"&lt;="&amp;$B211,Base!$Y$3:$Y$5001,"&lt;&gt;"))))</f>
        <v/>
      </c>
      <c r="F211" t="str">
        <f>IF($A211&gt;$B$9,"",IF(COUNTIFS(Base!$B$3:$B$5001,F$197,Base!$A$3:$A$5001,"&gt;="&amp;$C$7,Base!$A$3:$A$5001,"&lt;="&amp;$B211,Base!$Y$3:$Y$5001,"&lt;&gt;")=0,"",SUMIFS(Base!$Y$3:$Y$5001,Base!$B$3:$B$5001,F$197,Base!$A$3:$A$5001,_xlfn.MAXIFS(Base!$A$3:$A$5001,Base!$B$3:$B$5001,F$197,Base!$A$3:$A$5001,"&gt;="&amp;$C$7,Base!$A$3:$A$5001,"&lt;="&amp;$B211,Base!$Y$3:$Y$5001,"&lt;&gt;"))))</f>
        <v/>
      </c>
      <c r="G211" t="str">
        <f>IF($A211&gt;$B$9,"",IF(COUNTIFS(Base!$B$3:$B$5001,G$197,Base!$A$3:$A$5001,"&gt;="&amp;$C$7,Base!$A$3:$A$5001,"&lt;="&amp;$B211,Base!$Y$3:$Y$5001,"&lt;&gt;")=0,"",SUMIFS(Base!$Y$3:$Y$5001,Base!$B$3:$B$5001,G$197,Base!$A$3:$A$5001,_xlfn.MAXIFS(Base!$A$3:$A$5001,Base!$B$3:$B$5001,G$197,Base!$A$3:$A$5001,"&gt;="&amp;$C$7,Base!$A$3:$A$5001,"&lt;="&amp;$B211,Base!$Y$3:$Y$5001,"&lt;&gt;"))))</f>
        <v/>
      </c>
      <c r="H211" t="str">
        <f>IF($A211&gt;$B$9,"",IF(COUNTIFS(Base!$B$3:$B$5001,H$197,Base!$A$3:$A$5001,"&gt;="&amp;$C$7,Base!$A$3:$A$5001,"&lt;="&amp;$B211,Base!$Y$3:$Y$5001,"&lt;&gt;")=0,"",SUMIFS(Base!$Y$3:$Y$5001,Base!$B$3:$B$5001,H$197,Base!$A$3:$A$5001,_xlfn.MAXIFS(Base!$A$3:$A$5001,Base!$B$3:$B$5001,H$197,Base!$A$3:$A$5001,"&gt;="&amp;$C$7,Base!$A$3:$A$5001,"&lt;="&amp;$B211,Base!$Y$3:$Y$5001,"&lt;&gt;"))))</f>
        <v/>
      </c>
      <c r="I211" t="str">
        <f>IF($A211&gt;$B$9,"",IF(COUNTIFS(Base!$B$3:$B$5001,I$197,Base!$A$3:$A$5001,"&gt;="&amp;$C$7,Base!$A$3:$A$5001,"&lt;="&amp;$B211,Base!$Y$3:$Y$5001,"&lt;&gt;")=0,"",SUMIFS(Base!$Y$3:$Y$5001,Base!$B$3:$B$5001,I$197,Base!$A$3:$A$5001,_xlfn.MAXIFS(Base!$A$3:$A$5001,Base!$B$3:$B$5001,I$197,Base!$A$3:$A$5001,"&gt;="&amp;$C$7,Base!$A$3:$A$5001,"&lt;="&amp;$B211,Base!$Y$3:$Y$5001,"&lt;&gt;"))))</f>
        <v/>
      </c>
      <c r="J211" t="str">
        <f>IF($A211&gt;$B$9,"",IF(COUNTIFS(Base!$B$3:$B$5001,J$197,Base!$A$3:$A$5001,"&gt;="&amp;$C$7,Base!$A$3:$A$5001,"&lt;="&amp;$B211,Base!$Y$3:$Y$5001,"&lt;&gt;")=0,"",SUMIFS(Base!$Y$3:$Y$5001,Base!$B$3:$B$5001,J$197,Base!$A$3:$A$5001,_xlfn.MAXIFS(Base!$A$3:$A$5001,Base!$B$3:$B$5001,J$197,Base!$A$3:$A$5001,"&gt;="&amp;$C$7,Base!$A$3:$A$5001,"&lt;="&amp;$B211,Base!$Y$3:$Y$5001,"&lt;&gt;"))))</f>
        <v/>
      </c>
      <c r="K211" t="str">
        <f>IF($A211&gt;$B$9,"",IF(COUNTIFS(Base!$B$3:$B$5001,K$197,Base!$A$3:$A$5001,"&gt;="&amp;$C$7,Base!$A$3:$A$5001,"&lt;="&amp;$B211,Base!$Y$3:$Y$5001,"&lt;&gt;")=0,"",SUMIFS(Base!$Y$3:$Y$5001,Base!$B$3:$B$5001,K$197,Base!$A$3:$A$5001,_xlfn.MAXIFS(Base!$A$3:$A$5001,Base!$B$3:$B$5001,K$197,Base!$A$3:$A$5001,"&gt;="&amp;$C$7,Base!$A$3:$A$5001,"&lt;="&amp;$B211,Base!$Y$3:$Y$5001,"&lt;&gt;"))))</f>
        <v/>
      </c>
    </row>
    <row r="212">
      <c r="A212">
        <v>15</v>
      </c>
      <c r="B212" s="152">
        <f>$B$26</f>
        <v>46280</v>
      </c>
      <c r="C212" t="str">
        <f>IF($A212&gt;$B$9,"",IF(COUNTIFS(Base!$B$3:$B$5001,C$197,Base!$A$3:$A$5001,"&gt;="&amp;$C$7,Base!$A$3:$A$5001,"&lt;="&amp;$B212,Base!$Y$3:$Y$5001,"&lt;&gt;")=0,"",SUMIFS(Base!$Y$3:$Y$5001,Base!$B$3:$B$5001,C$197,Base!$A$3:$A$5001,_xlfn.MAXIFS(Base!$A$3:$A$5001,Base!$B$3:$B$5001,C$197,Base!$A$3:$A$5001,"&gt;="&amp;$C$7,Base!$A$3:$A$5001,"&lt;="&amp;$B212,Base!$Y$3:$Y$5001,"&lt;&gt;"))))</f>
        <v/>
      </c>
      <c r="D212" t="str">
        <f>IF($A212&gt;$B$9,"",IF(COUNTIFS(Base!$B$3:$B$5001,D$197,Base!$A$3:$A$5001,"&gt;="&amp;$C$7,Base!$A$3:$A$5001,"&lt;="&amp;$B212,Base!$Y$3:$Y$5001,"&lt;&gt;")=0,"",SUMIFS(Base!$Y$3:$Y$5001,Base!$B$3:$B$5001,D$197,Base!$A$3:$A$5001,_xlfn.MAXIFS(Base!$A$3:$A$5001,Base!$B$3:$B$5001,D$197,Base!$A$3:$A$5001,"&gt;="&amp;$C$7,Base!$A$3:$A$5001,"&lt;="&amp;$B212,Base!$Y$3:$Y$5001,"&lt;&gt;"))))</f>
        <v/>
      </c>
      <c r="E212" t="str">
        <f>IF($A212&gt;$B$9,"",IF(COUNTIFS(Base!$B$3:$B$5001,E$197,Base!$A$3:$A$5001,"&gt;="&amp;$C$7,Base!$A$3:$A$5001,"&lt;="&amp;$B212,Base!$Y$3:$Y$5001,"&lt;&gt;")=0,"",SUMIFS(Base!$Y$3:$Y$5001,Base!$B$3:$B$5001,E$197,Base!$A$3:$A$5001,_xlfn.MAXIFS(Base!$A$3:$A$5001,Base!$B$3:$B$5001,E$197,Base!$A$3:$A$5001,"&gt;="&amp;$C$7,Base!$A$3:$A$5001,"&lt;="&amp;$B212,Base!$Y$3:$Y$5001,"&lt;&gt;"))))</f>
        <v/>
      </c>
      <c r="F212" t="str">
        <f>IF($A212&gt;$B$9,"",IF(COUNTIFS(Base!$B$3:$B$5001,F$197,Base!$A$3:$A$5001,"&gt;="&amp;$C$7,Base!$A$3:$A$5001,"&lt;="&amp;$B212,Base!$Y$3:$Y$5001,"&lt;&gt;")=0,"",SUMIFS(Base!$Y$3:$Y$5001,Base!$B$3:$B$5001,F$197,Base!$A$3:$A$5001,_xlfn.MAXIFS(Base!$A$3:$A$5001,Base!$B$3:$B$5001,F$197,Base!$A$3:$A$5001,"&gt;="&amp;$C$7,Base!$A$3:$A$5001,"&lt;="&amp;$B212,Base!$Y$3:$Y$5001,"&lt;&gt;"))))</f>
        <v/>
      </c>
      <c r="G212" t="str">
        <f>IF($A212&gt;$B$9,"",IF(COUNTIFS(Base!$B$3:$B$5001,G$197,Base!$A$3:$A$5001,"&gt;="&amp;$C$7,Base!$A$3:$A$5001,"&lt;="&amp;$B212,Base!$Y$3:$Y$5001,"&lt;&gt;")=0,"",SUMIFS(Base!$Y$3:$Y$5001,Base!$B$3:$B$5001,G$197,Base!$A$3:$A$5001,_xlfn.MAXIFS(Base!$A$3:$A$5001,Base!$B$3:$B$5001,G$197,Base!$A$3:$A$5001,"&gt;="&amp;$C$7,Base!$A$3:$A$5001,"&lt;="&amp;$B212,Base!$Y$3:$Y$5001,"&lt;&gt;"))))</f>
        <v/>
      </c>
      <c r="H212" t="str">
        <f>IF($A212&gt;$B$9,"",IF(COUNTIFS(Base!$B$3:$B$5001,H$197,Base!$A$3:$A$5001,"&gt;="&amp;$C$7,Base!$A$3:$A$5001,"&lt;="&amp;$B212,Base!$Y$3:$Y$5001,"&lt;&gt;")=0,"",SUMIFS(Base!$Y$3:$Y$5001,Base!$B$3:$B$5001,H$197,Base!$A$3:$A$5001,_xlfn.MAXIFS(Base!$A$3:$A$5001,Base!$B$3:$B$5001,H$197,Base!$A$3:$A$5001,"&gt;="&amp;$C$7,Base!$A$3:$A$5001,"&lt;="&amp;$B212,Base!$Y$3:$Y$5001,"&lt;&gt;"))))</f>
        <v/>
      </c>
      <c r="I212" t="str">
        <f>IF($A212&gt;$B$9,"",IF(COUNTIFS(Base!$B$3:$B$5001,I$197,Base!$A$3:$A$5001,"&gt;="&amp;$C$7,Base!$A$3:$A$5001,"&lt;="&amp;$B212,Base!$Y$3:$Y$5001,"&lt;&gt;")=0,"",SUMIFS(Base!$Y$3:$Y$5001,Base!$B$3:$B$5001,I$197,Base!$A$3:$A$5001,_xlfn.MAXIFS(Base!$A$3:$A$5001,Base!$B$3:$B$5001,I$197,Base!$A$3:$A$5001,"&gt;="&amp;$C$7,Base!$A$3:$A$5001,"&lt;="&amp;$B212,Base!$Y$3:$Y$5001,"&lt;&gt;"))))</f>
        <v/>
      </c>
      <c r="J212" t="str">
        <f>IF($A212&gt;$B$9,"",IF(COUNTIFS(Base!$B$3:$B$5001,J$197,Base!$A$3:$A$5001,"&gt;="&amp;$C$7,Base!$A$3:$A$5001,"&lt;="&amp;$B212,Base!$Y$3:$Y$5001,"&lt;&gt;")=0,"",SUMIFS(Base!$Y$3:$Y$5001,Base!$B$3:$B$5001,J$197,Base!$A$3:$A$5001,_xlfn.MAXIFS(Base!$A$3:$A$5001,Base!$B$3:$B$5001,J$197,Base!$A$3:$A$5001,"&gt;="&amp;$C$7,Base!$A$3:$A$5001,"&lt;="&amp;$B212,Base!$Y$3:$Y$5001,"&lt;&gt;"))))</f>
        <v/>
      </c>
      <c r="K212" t="str">
        <f>IF($A212&gt;$B$9,"",IF(COUNTIFS(Base!$B$3:$B$5001,K$197,Base!$A$3:$A$5001,"&gt;="&amp;$C$7,Base!$A$3:$A$5001,"&lt;="&amp;$B212,Base!$Y$3:$Y$5001,"&lt;&gt;")=0,"",SUMIFS(Base!$Y$3:$Y$5001,Base!$B$3:$B$5001,K$197,Base!$A$3:$A$5001,_xlfn.MAXIFS(Base!$A$3:$A$5001,Base!$B$3:$B$5001,K$197,Base!$A$3:$A$5001,"&gt;="&amp;$C$7,Base!$A$3:$A$5001,"&lt;="&amp;$B212,Base!$Y$3:$Y$5001,"&lt;&gt;"))))</f>
        <v/>
      </c>
    </row>
    <row r="213">
      <c r="A213">
        <v>16</v>
      </c>
      <c r="B213" s="152">
        <f>$B$27</f>
        <v>46281</v>
      </c>
      <c r="C213" t="str">
        <f>IF($A213&gt;$B$9,"",IF(COUNTIFS(Base!$B$3:$B$5001,C$197,Base!$A$3:$A$5001,"&gt;="&amp;$C$7,Base!$A$3:$A$5001,"&lt;="&amp;$B213,Base!$Y$3:$Y$5001,"&lt;&gt;")=0,"",SUMIFS(Base!$Y$3:$Y$5001,Base!$B$3:$B$5001,C$197,Base!$A$3:$A$5001,_xlfn.MAXIFS(Base!$A$3:$A$5001,Base!$B$3:$B$5001,C$197,Base!$A$3:$A$5001,"&gt;="&amp;$C$7,Base!$A$3:$A$5001,"&lt;="&amp;$B213,Base!$Y$3:$Y$5001,"&lt;&gt;"))))</f>
        <v/>
      </c>
      <c r="D213" t="str">
        <f>IF($A213&gt;$B$9,"",IF(COUNTIFS(Base!$B$3:$B$5001,D$197,Base!$A$3:$A$5001,"&gt;="&amp;$C$7,Base!$A$3:$A$5001,"&lt;="&amp;$B213,Base!$Y$3:$Y$5001,"&lt;&gt;")=0,"",SUMIFS(Base!$Y$3:$Y$5001,Base!$B$3:$B$5001,D$197,Base!$A$3:$A$5001,_xlfn.MAXIFS(Base!$A$3:$A$5001,Base!$B$3:$B$5001,D$197,Base!$A$3:$A$5001,"&gt;="&amp;$C$7,Base!$A$3:$A$5001,"&lt;="&amp;$B213,Base!$Y$3:$Y$5001,"&lt;&gt;"))))</f>
        <v/>
      </c>
      <c r="E213" t="str">
        <f>IF($A213&gt;$B$9,"",IF(COUNTIFS(Base!$B$3:$B$5001,E$197,Base!$A$3:$A$5001,"&gt;="&amp;$C$7,Base!$A$3:$A$5001,"&lt;="&amp;$B213,Base!$Y$3:$Y$5001,"&lt;&gt;")=0,"",SUMIFS(Base!$Y$3:$Y$5001,Base!$B$3:$B$5001,E$197,Base!$A$3:$A$5001,_xlfn.MAXIFS(Base!$A$3:$A$5001,Base!$B$3:$B$5001,E$197,Base!$A$3:$A$5001,"&gt;="&amp;$C$7,Base!$A$3:$A$5001,"&lt;="&amp;$B213,Base!$Y$3:$Y$5001,"&lt;&gt;"))))</f>
        <v/>
      </c>
      <c r="F213" t="str">
        <f>IF($A213&gt;$B$9,"",IF(COUNTIFS(Base!$B$3:$B$5001,F$197,Base!$A$3:$A$5001,"&gt;="&amp;$C$7,Base!$A$3:$A$5001,"&lt;="&amp;$B213,Base!$Y$3:$Y$5001,"&lt;&gt;")=0,"",SUMIFS(Base!$Y$3:$Y$5001,Base!$B$3:$B$5001,F$197,Base!$A$3:$A$5001,_xlfn.MAXIFS(Base!$A$3:$A$5001,Base!$B$3:$B$5001,F$197,Base!$A$3:$A$5001,"&gt;="&amp;$C$7,Base!$A$3:$A$5001,"&lt;="&amp;$B213,Base!$Y$3:$Y$5001,"&lt;&gt;"))))</f>
        <v/>
      </c>
      <c r="G213" t="str">
        <f>IF($A213&gt;$B$9,"",IF(COUNTIFS(Base!$B$3:$B$5001,G$197,Base!$A$3:$A$5001,"&gt;="&amp;$C$7,Base!$A$3:$A$5001,"&lt;="&amp;$B213,Base!$Y$3:$Y$5001,"&lt;&gt;")=0,"",SUMIFS(Base!$Y$3:$Y$5001,Base!$B$3:$B$5001,G$197,Base!$A$3:$A$5001,_xlfn.MAXIFS(Base!$A$3:$A$5001,Base!$B$3:$B$5001,G$197,Base!$A$3:$A$5001,"&gt;="&amp;$C$7,Base!$A$3:$A$5001,"&lt;="&amp;$B213,Base!$Y$3:$Y$5001,"&lt;&gt;"))))</f>
        <v/>
      </c>
      <c r="H213" t="str">
        <f>IF($A213&gt;$B$9,"",IF(COUNTIFS(Base!$B$3:$B$5001,H$197,Base!$A$3:$A$5001,"&gt;="&amp;$C$7,Base!$A$3:$A$5001,"&lt;="&amp;$B213,Base!$Y$3:$Y$5001,"&lt;&gt;")=0,"",SUMIFS(Base!$Y$3:$Y$5001,Base!$B$3:$B$5001,H$197,Base!$A$3:$A$5001,_xlfn.MAXIFS(Base!$A$3:$A$5001,Base!$B$3:$B$5001,H$197,Base!$A$3:$A$5001,"&gt;="&amp;$C$7,Base!$A$3:$A$5001,"&lt;="&amp;$B213,Base!$Y$3:$Y$5001,"&lt;&gt;"))))</f>
        <v/>
      </c>
      <c r="I213" t="str">
        <f>IF($A213&gt;$B$9,"",IF(COUNTIFS(Base!$B$3:$B$5001,I$197,Base!$A$3:$A$5001,"&gt;="&amp;$C$7,Base!$A$3:$A$5001,"&lt;="&amp;$B213,Base!$Y$3:$Y$5001,"&lt;&gt;")=0,"",SUMIFS(Base!$Y$3:$Y$5001,Base!$B$3:$B$5001,I$197,Base!$A$3:$A$5001,_xlfn.MAXIFS(Base!$A$3:$A$5001,Base!$B$3:$B$5001,I$197,Base!$A$3:$A$5001,"&gt;="&amp;$C$7,Base!$A$3:$A$5001,"&lt;="&amp;$B213,Base!$Y$3:$Y$5001,"&lt;&gt;"))))</f>
        <v/>
      </c>
      <c r="J213" t="str">
        <f>IF($A213&gt;$B$9,"",IF(COUNTIFS(Base!$B$3:$B$5001,J$197,Base!$A$3:$A$5001,"&gt;="&amp;$C$7,Base!$A$3:$A$5001,"&lt;="&amp;$B213,Base!$Y$3:$Y$5001,"&lt;&gt;")=0,"",SUMIFS(Base!$Y$3:$Y$5001,Base!$B$3:$B$5001,J$197,Base!$A$3:$A$5001,_xlfn.MAXIFS(Base!$A$3:$A$5001,Base!$B$3:$B$5001,J$197,Base!$A$3:$A$5001,"&gt;="&amp;$C$7,Base!$A$3:$A$5001,"&lt;="&amp;$B213,Base!$Y$3:$Y$5001,"&lt;&gt;"))))</f>
        <v/>
      </c>
      <c r="K213" t="str">
        <f>IF($A213&gt;$B$9,"",IF(COUNTIFS(Base!$B$3:$B$5001,K$197,Base!$A$3:$A$5001,"&gt;="&amp;$C$7,Base!$A$3:$A$5001,"&lt;="&amp;$B213,Base!$Y$3:$Y$5001,"&lt;&gt;")=0,"",SUMIFS(Base!$Y$3:$Y$5001,Base!$B$3:$B$5001,K$197,Base!$A$3:$A$5001,_xlfn.MAXIFS(Base!$A$3:$A$5001,Base!$B$3:$B$5001,K$197,Base!$A$3:$A$5001,"&gt;="&amp;$C$7,Base!$A$3:$A$5001,"&lt;="&amp;$B213,Base!$Y$3:$Y$5001,"&lt;&gt;"))))</f>
        <v/>
      </c>
    </row>
    <row r="214">
      <c r="A214">
        <v>17</v>
      </c>
      <c r="B214" s="152">
        <f>$B$28</f>
        <v>46282</v>
      </c>
      <c r="C214" t="str">
        <f>IF($A214&gt;$B$9,"",IF(COUNTIFS(Base!$B$3:$B$5001,C$197,Base!$A$3:$A$5001,"&gt;="&amp;$C$7,Base!$A$3:$A$5001,"&lt;="&amp;$B214,Base!$Y$3:$Y$5001,"&lt;&gt;")=0,"",SUMIFS(Base!$Y$3:$Y$5001,Base!$B$3:$B$5001,C$197,Base!$A$3:$A$5001,_xlfn.MAXIFS(Base!$A$3:$A$5001,Base!$B$3:$B$5001,C$197,Base!$A$3:$A$5001,"&gt;="&amp;$C$7,Base!$A$3:$A$5001,"&lt;="&amp;$B214,Base!$Y$3:$Y$5001,"&lt;&gt;"))))</f>
        <v/>
      </c>
      <c r="D214" t="str">
        <f>IF($A214&gt;$B$9,"",IF(COUNTIFS(Base!$B$3:$B$5001,D$197,Base!$A$3:$A$5001,"&gt;="&amp;$C$7,Base!$A$3:$A$5001,"&lt;="&amp;$B214,Base!$Y$3:$Y$5001,"&lt;&gt;")=0,"",SUMIFS(Base!$Y$3:$Y$5001,Base!$B$3:$B$5001,D$197,Base!$A$3:$A$5001,_xlfn.MAXIFS(Base!$A$3:$A$5001,Base!$B$3:$B$5001,D$197,Base!$A$3:$A$5001,"&gt;="&amp;$C$7,Base!$A$3:$A$5001,"&lt;="&amp;$B214,Base!$Y$3:$Y$5001,"&lt;&gt;"))))</f>
        <v/>
      </c>
      <c r="E214" t="str">
        <f>IF($A214&gt;$B$9,"",IF(COUNTIFS(Base!$B$3:$B$5001,E$197,Base!$A$3:$A$5001,"&gt;="&amp;$C$7,Base!$A$3:$A$5001,"&lt;="&amp;$B214,Base!$Y$3:$Y$5001,"&lt;&gt;")=0,"",SUMIFS(Base!$Y$3:$Y$5001,Base!$B$3:$B$5001,E$197,Base!$A$3:$A$5001,_xlfn.MAXIFS(Base!$A$3:$A$5001,Base!$B$3:$B$5001,E$197,Base!$A$3:$A$5001,"&gt;="&amp;$C$7,Base!$A$3:$A$5001,"&lt;="&amp;$B214,Base!$Y$3:$Y$5001,"&lt;&gt;"))))</f>
        <v/>
      </c>
      <c r="F214" t="str">
        <f>IF($A214&gt;$B$9,"",IF(COUNTIFS(Base!$B$3:$B$5001,F$197,Base!$A$3:$A$5001,"&gt;="&amp;$C$7,Base!$A$3:$A$5001,"&lt;="&amp;$B214,Base!$Y$3:$Y$5001,"&lt;&gt;")=0,"",SUMIFS(Base!$Y$3:$Y$5001,Base!$B$3:$B$5001,F$197,Base!$A$3:$A$5001,_xlfn.MAXIFS(Base!$A$3:$A$5001,Base!$B$3:$B$5001,F$197,Base!$A$3:$A$5001,"&gt;="&amp;$C$7,Base!$A$3:$A$5001,"&lt;="&amp;$B214,Base!$Y$3:$Y$5001,"&lt;&gt;"))))</f>
        <v/>
      </c>
      <c r="G214" t="str">
        <f>IF($A214&gt;$B$9,"",IF(COUNTIFS(Base!$B$3:$B$5001,G$197,Base!$A$3:$A$5001,"&gt;="&amp;$C$7,Base!$A$3:$A$5001,"&lt;="&amp;$B214,Base!$Y$3:$Y$5001,"&lt;&gt;")=0,"",SUMIFS(Base!$Y$3:$Y$5001,Base!$B$3:$B$5001,G$197,Base!$A$3:$A$5001,_xlfn.MAXIFS(Base!$A$3:$A$5001,Base!$B$3:$B$5001,G$197,Base!$A$3:$A$5001,"&gt;="&amp;$C$7,Base!$A$3:$A$5001,"&lt;="&amp;$B214,Base!$Y$3:$Y$5001,"&lt;&gt;"))))</f>
        <v/>
      </c>
      <c r="H214" t="str">
        <f>IF($A214&gt;$B$9,"",IF(COUNTIFS(Base!$B$3:$B$5001,H$197,Base!$A$3:$A$5001,"&gt;="&amp;$C$7,Base!$A$3:$A$5001,"&lt;="&amp;$B214,Base!$Y$3:$Y$5001,"&lt;&gt;")=0,"",SUMIFS(Base!$Y$3:$Y$5001,Base!$B$3:$B$5001,H$197,Base!$A$3:$A$5001,_xlfn.MAXIFS(Base!$A$3:$A$5001,Base!$B$3:$B$5001,H$197,Base!$A$3:$A$5001,"&gt;="&amp;$C$7,Base!$A$3:$A$5001,"&lt;="&amp;$B214,Base!$Y$3:$Y$5001,"&lt;&gt;"))))</f>
        <v/>
      </c>
      <c r="I214" t="str">
        <f>IF($A214&gt;$B$9,"",IF(COUNTIFS(Base!$B$3:$B$5001,I$197,Base!$A$3:$A$5001,"&gt;="&amp;$C$7,Base!$A$3:$A$5001,"&lt;="&amp;$B214,Base!$Y$3:$Y$5001,"&lt;&gt;")=0,"",SUMIFS(Base!$Y$3:$Y$5001,Base!$B$3:$B$5001,I$197,Base!$A$3:$A$5001,_xlfn.MAXIFS(Base!$A$3:$A$5001,Base!$B$3:$B$5001,I$197,Base!$A$3:$A$5001,"&gt;="&amp;$C$7,Base!$A$3:$A$5001,"&lt;="&amp;$B214,Base!$Y$3:$Y$5001,"&lt;&gt;"))))</f>
        <v/>
      </c>
      <c r="J214" t="str">
        <f>IF($A214&gt;$B$9,"",IF(COUNTIFS(Base!$B$3:$B$5001,J$197,Base!$A$3:$A$5001,"&gt;="&amp;$C$7,Base!$A$3:$A$5001,"&lt;="&amp;$B214,Base!$Y$3:$Y$5001,"&lt;&gt;")=0,"",SUMIFS(Base!$Y$3:$Y$5001,Base!$B$3:$B$5001,J$197,Base!$A$3:$A$5001,_xlfn.MAXIFS(Base!$A$3:$A$5001,Base!$B$3:$B$5001,J$197,Base!$A$3:$A$5001,"&gt;="&amp;$C$7,Base!$A$3:$A$5001,"&lt;="&amp;$B214,Base!$Y$3:$Y$5001,"&lt;&gt;"))))</f>
        <v/>
      </c>
      <c r="K214" t="str">
        <f>IF($A214&gt;$B$9,"",IF(COUNTIFS(Base!$B$3:$B$5001,K$197,Base!$A$3:$A$5001,"&gt;="&amp;$C$7,Base!$A$3:$A$5001,"&lt;="&amp;$B214,Base!$Y$3:$Y$5001,"&lt;&gt;")=0,"",SUMIFS(Base!$Y$3:$Y$5001,Base!$B$3:$B$5001,K$197,Base!$A$3:$A$5001,_xlfn.MAXIFS(Base!$A$3:$A$5001,Base!$B$3:$B$5001,K$197,Base!$A$3:$A$5001,"&gt;="&amp;$C$7,Base!$A$3:$A$5001,"&lt;="&amp;$B214,Base!$Y$3:$Y$5001,"&lt;&gt;"))))</f>
        <v/>
      </c>
    </row>
    <row r="215">
      <c r="A215">
        <v>18</v>
      </c>
      <c r="B215" s="152">
        <f>$B$29</f>
        <v>46283</v>
      </c>
      <c r="C215" t="str">
        <f>IF($A215&gt;$B$9,"",IF(COUNTIFS(Base!$B$3:$B$5001,C$197,Base!$A$3:$A$5001,"&gt;="&amp;$C$7,Base!$A$3:$A$5001,"&lt;="&amp;$B215,Base!$Y$3:$Y$5001,"&lt;&gt;")=0,"",SUMIFS(Base!$Y$3:$Y$5001,Base!$B$3:$B$5001,C$197,Base!$A$3:$A$5001,_xlfn.MAXIFS(Base!$A$3:$A$5001,Base!$B$3:$B$5001,C$197,Base!$A$3:$A$5001,"&gt;="&amp;$C$7,Base!$A$3:$A$5001,"&lt;="&amp;$B215,Base!$Y$3:$Y$5001,"&lt;&gt;"))))</f>
        <v/>
      </c>
      <c r="D215" t="str">
        <f>IF($A215&gt;$B$9,"",IF(COUNTIFS(Base!$B$3:$B$5001,D$197,Base!$A$3:$A$5001,"&gt;="&amp;$C$7,Base!$A$3:$A$5001,"&lt;="&amp;$B215,Base!$Y$3:$Y$5001,"&lt;&gt;")=0,"",SUMIFS(Base!$Y$3:$Y$5001,Base!$B$3:$B$5001,D$197,Base!$A$3:$A$5001,_xlfn.MAXIFS(Base!$A$3:$A$5001,Base!$B$3:$B$5001,D$197,Base!$A$3:$A$5001,"&gt;="&amp;$C$7,Base!$A$3:$A$5001,"&lt;="&amp;$B215,Base!$Y$3:$Y$5001,"&lt;&gt;"))))</f>
        <v/>
      </c>
      <c r="E215" t="str">
        <f>IF($A215&gt;$B$9,"",IF(COUNTIFS(Base!$B$3:$B$5001,E$197,Base!$A$3:$A$5001,"&gt;="&amp;$C$7,Base!$A$3:$A$5001,"&lt;="&amp;$B215,Base!$Y$3:$Y$5001,"&lt;&gt;")=0,"",SUMIFS(Base!$Y$3:$Y$5001,Base!$B$3:$B$5001,E$197,Base!$A$3:$A$5001,_xlfn.MAXIFS(Base!$A$3:$A$5001,Base!$B$3:$B$5001,E$197,Base!$A$3:$A$5001,"&gt;="&amp;$C$7,Base!$A$3:$A$5001,"&lt;="&amp;$B215,Base!$Y$3:$Y$5001,"&lt;&gt;"))))</f>
        <v/>
      </c>
      <c r="F215" t="str">
        <f>IF($A215&gt;$B$9,"",IF(COUNTIFS(Base!$B$3:$B$5001,F$197,Base!$A$3:$A$5001,"&gt;="&amp;$C$7,Base!$A$3:$A$5001,"&lt;="&amp;$B215,Base!$Y$3:$Y$5001,"&lt;&gt;")=0,"",SUMIFS(Base!$Y$3:$Y$5001,Base!$B$3:$B$5001,F$197,Base!$A$3:$A$5001,_xlfn.MAXIFS(Base!$A$3:$A$5001,Base!$B$3:$B$5001,F$197,Base!$A$3:$A$5001,"&gt;="&amp;$C$7,Base!$A$3:$A$5001,"&lt;="&amp;$B215,Base!$Y$3:$Y$5001,"&lt;&gt;"))))</f>
        <v/>
      </c>
      <c r="G215" t="str">
        <f>IF($A215&gt;$B$9,"",IF(COUNTIFS(Base!$B$3:$B$5001,G$197,Base!$A$3:$A$5001,"&gt;="&amp;$C$7,Base!$A$3:$A$5001,"&lt;="&amp;$B215,Base!$Y$3:$Y$5001,"&lt;&gt;")=0,"",SUMIFS(Base!$Y$3:$Y$5001,Base!$B$3:$B$5001,G$197,Base!$A$3:$A$5001,_xlfn.MAXIFS(Base!$A$3:$A$5001,Base!$B$3:$B$5001,G$197,Base!$A$3:$A$5001,"&gt;="&amp;$C$7,Base!$A$3:$A$5001,"&lt;="&amp;$B215,Base!$Y$3:$Y$5001,"&lt;&gt;"))))</f>
        <v/>
      </c>
      <c r="H215" t="str">
        <f>IF($A215&gt;$B$9,"",IF(COUNTIFS(Base!$B$3:$B$5001,H$197,Base!$A$3:$A$5001,"&gt;="&amp;$C$7,Base!$A$3:$A$5001,"&lt;="&amp;$B215,Base!$Y$3:$Y$5001,"&lt;&gt;")=0,"",SUMIFS(Base!$Y$3:$Y$5001,Base!$B$3:$B$5001,H$197,Base!$A$3:$A$5001,_xlfn.MAXIFS(Base!$A$3:$A$5001,Base!$B$3:$B$5001,H$197,Base!$A$3:$A$5001,"&gt;="&amp;$C$7,Base!$A$3:$A$5001,"&lt;="&amp;$B215,Base!$Y$3:$Y$5001,"&lt;&gt;"))))</f>
        <v/>
      </c>
      <c r="I215" t="str">
        <f>IF($A215&gt;$B$9,"",IF(COUNTIFS(Base!$B$3:$B$5001,I$197,Base!$A$3:$A$5001,"&gt;="&amp;$C$7,Base!$A$3:$A$5001,"&lt;="&amp;$B215,Base!$Y$3:$Y$5001,"&lt;&gt;")=0,"",SUMIFS(Base!$Y$3:$Y$5001,Base!$B$3:$B$5001,I$197,Base!$A$3:$A$5001,_xlfn.MAXIFS(Base!$A$3:$A$5001,Base!$B$3:$B$5001,I$197,Base!$A$3:$A$5001,"&gt;="&amp;$C$7,Base!$A$3:$A$5001,"&lt;="&amp;$B215,Base!$Y$3:$Y$5001,"&lt;&gt;"))))</f>
        <v/>
      </c>
      <c r="J215" t="str">
        <f>IF($A215&gt;$B$9,"",IF(COUNTIFS(Base!$B$3:$B$5001,J$197,Base!$A$3:$A$5001,"&gt;="&amp;$C$7,Base!$A$3:$A$5001,"&lt;="&amp;$B215,Base!$Y$3:$Y$5001,"&lt;&gt;")=0,"",SUMIFS(Base!$Y$3:$Y$5001,Base!$B$3:$B$5001,J$197,Base!$A$3:$A$5001,_xlfn.MAXIFS(Base!$A$3:$A$5001,Base!$B$3:$B$5001,J$197,Base!$A$3:$A$5001,"&gt;="&amp;$C$7,Base!$A$3:$A$5001,"&lt;="&amp;$B215,Base!$Y$3:$Y$5001,"&lt;&gt;"))))</f>
        <v/>
      </c>
      <c r="K215" t="str">
        <f>IF($A215&gt;$B$9,"",IF(COUNTIFS(Base!$B$3:$B$5001,K$197,Base!$A$3:$A$5001,"&gt;="&amp;$C$7,Base!$A$3:$A$5001,"&lt;="&amp;$B215,Base!$Y$3:$Y$5001,"&lt;&gt;")=0,"",SUMIFS(Base!$Y$3:$Y$5001,Base!$B$3:$B$5001,K$197,Base!$A$3:$A$5001,_xlfn.MAXIFS(Base!$A$3:$A$5001,Base!$B$3:$B$5001,K$197,Base!$A$3:$A$5001,"&gt;="&amp;$C$7,Base!$A$3:$A$5001,"&lt;="&amp;$B215,Base!$Y$3:$Y$5001,"&lt;&gt;"))))</f>
        <v/>
      </c>
    </row>
    <row r="216">
      <c r="A216">
        <v>19</v>
      </c>
      <c r="B216" s="152">
        <f>$B$30</f>
        <v>46284</v>
      </c>
      <c r="C216" t="str">
        <f>IF($A216&gt;$B$9,"",IF(COUNTIFS(Base!$B$3:$B$5001,C$197,Base!$A$3:$A$5001,"&gt;="&amp;$C$7,Base!$A$3:$A$5001,"&lt;="&amp;$B216,Base!$Y$3:$Y$5001,"&lt;&gt;")=0,"",SUMIFS(Base!$Y$3:$Y$5001,Base!$B$3:$B$5001,C$197,Base!$A$3:$A$5001,_xlfn.MAXIFS(Base!$A$3:$A$5001,Base!$B$3:$B$5001,C$197,Base!$A$3:$A$5001,"&gt;="&amp;$C$7,Base!$A$3:$A$5001,"&lt;="&amp;$B216,Base!$Y$3:$Y$5001,"&lt;&gt;"))))</f>
        <v/>
      </c>
      <c r="D216" t="str">
        <f>IF($A216&gt;$B$9,"",IF(COUNTIFS(Base!$B$3:$B$5001,D$197,Base!$A$3:$A$5001,"&gt;="&amp;$C$7,Base!$A$3:$A$5001,"&lt;="&amp;$B216,Base!$Y$3:$Y$5001,"&lt;&gt;")=0,"",SUMIFS(Base!$Y$3:$Y$5001,Base!$B$3:$B$5001,D$197,Base!$A$3:$A$5001,_xlfn.MAXIFS(Base!$A$3:$A$5001,Base!$B$3:$B$5001,D$197,Base!$A$3:$A$5001,"&gt;="&amp;$C$7,Base!$A$3:$A$5001,"&lt;="&amp;$B216,Base!$Y$3:$Y$5001,"&lt;&gt;"))))</f>
        <v/>
      </c>
      <c r="E216" t="str">
        <f>IF($A216&gt;$B$9,"",IF(COUNTIFS(Base!$B$3:$B$5001,E$197,Base!$A$3:$A$5001,"&gt;="&amp;$C$7,Base!$A$3:$A$5001,"&lt;="&amp;$B216,Base!$Y$3:$Y$5001,"&lt;&gt;")=0,"",SUMIFS(Base!$Y$3:$Y$5001,Base!$B$3:$B$5001,E$197,Base!$A$3:$A$5001,_xlfn.MAXIFS(Base!$A$3:$A$5001,Base!$B$3:$B$5001,E$197,Base!$A$3:$A$5001,"&gt;="&amp;$C$7,Base!$A$3:$A$5001,"&lt;="&amp;$B216,Base!$Y$3:$Y$5001,"&lt;&gt;"))))</f>
        <v/>
      </c>
      <c r="F216" t="str">
        <f>IF($A216&gt;$B$9,"",IF(COUNTIFS(Base!$B$3:$B$5001,F$197,Base!$A$3:$A$5001,"&gt;="&amp;$C$7,Base!$A$3:$A$5001,"&lt;="&amp;$B216,Base!$Y$3:$Y$5001,"&lt;&gt;")=0,"",SUMIFS(Base!$Y$3:$Y$5001,Base!$B$3:$B$5001,F$197,Base!$A$3:$A$5001,_xlfn.MAXIFS(Base!$A$3:$A$5001,Base!$B$3:$B$5001,F$197,Base!$A$3:$A$5001,"&gt;="&amp;$C$7,Base!$A$3:$A$5001,"&lt;="&amp;$B216,Base!$Y$3:$Y$5001,"&lt;&gt;"))))</f>
        <v/>
      </c>
      <c r="G216" t="str">
        <f>IF($A216&gt;$B$9,"",IF(COUNTIFS(Base!$B$3:$B$5001,G$197,Base!$A$3:$A$5001,"&gt;="&amp;$C$7,Base!$A$3:$A$5001,"&lt;="&amp;$B216,Base!$Y$3:$Y$5001,"&lt;&gt;")=0,"",SUMIFS(Base!$Y$3:$Y$5001,Base!$B$3:$B$5001,G$197,Base!$A$3:$A$5001,_xlfn.MAXIFS(Base!$A$3:$A$5001,Base!$B$3:$B$5001,G$197,Base!$A$3:$A$5001,"&gt;="&amp;$C$7,Base!$A$3:$A$5001,"&lt;="&amp;$B216,Base!$Y$3:$Y$5001,"&lt;&gt;"))))</f>
        <v/>
      </c>
      <c r="H216" t="str">
        <f>IF($A216&gt;$B$9,"",IF(COUNTIFS(Base!$B$3:$B$5001,H$197,Base!$A$3:$A$5001,"&gt;="&amp;$C$7,Base!$A$3:$A$5001,"&lt;="&amp;$B216,Base!$Y$3:$Y$5001,"&lt;&gt;")=0,"",SUMIFS(Base!$Y$3:$Y$5001,Base!$B$3:$B$5001,H$197,Base!$A$3:$A$5001,_xlfn.MAXIFS(Base!$A$3:$A$5001,Base!$B$3:$B$5001,H$197,Base!$A$3:$A$5001,"&gt;="&amp;$C$7,Base!$A$3:$A$5001,"&lt;="&amp;$B216,Base!$Y$3:$Y$5001,"&lt;&gt;"))))</f>
        <v/>
      </c>
      <c r="I216" t="str">
        <f>IF($A216&gt;$B$9,"",IF(COUNTIFS(Base!$B$3:$B$5001,I$197,Base!$A$3:$A$5001,"&gt;="&amp;$C$7,Base!$A$3:$A$5001,"&lt;="&amp;$B216,Base!$Y$3:$Y$5001,"&lt;&gt;")=0,"",SUMIFS(Base!$Y$3:$Y$5001,Base!$B$3:$B$5001,I$197,Base!$A$3:$A$5001,_xlfn.MAXIFS(Base!$A$3:$A$5001,Base!$B$3:$B$5001,I$197,Base!$A$3:$A$5001,"&gt;="&amp;$C$7,Base!$A$3:$A$5001,"&lt;="&amp;$B216,Base!$Y$3:$Y$5001,"&lt;&gt;"))))</f>
        <v/>
      </c>
      <c r="J216" t="str">
        <f>IF($A216&gt;$B$9,"",IF(COUNTIFS(Base!$B$3:$B$5001,J$197,Base!$A$3:$A$5001,"&gt;="&amp;$C$7,Base!$A$3:$A$5001,"&lt;="&amp;$B216,Base!$Y$3:$Y$5001,"&lt;&gt;")=0,"",SUMIFS(Base!$Y$3:$Y$5001,Base!$B$3:$B$5001,J$197,Base!$A$3:$A$5001,_xlfn.MAXIFS(Base!$A$3:$A$5001,Base!$B$3:$B$5001,J$197,Base!$A$3:$A$5001,"&gt;="&amp;$C$7,Base!$A$3:$A$5001,"&lt;="&amp;$B216,Base!$Y$3:$Y$5001,"&lt;&gt;"))))</f>
        <v/>
      </c>
      <c r="K216" t="str">
        <f>IF($A216&gt;$B$9,"",IF(COUNTIFS(Base!$B$3:$B$5001,K$197,Base!$A$3:$A$5001,"&gt;="&amp;$C$7,Base!$A$3:$A$5001,"&lt;="&amp;$B216,Base!$Y$3:$Y$5001,"&lt;&gt;")=0,"",SUMIFS(Base!$Y$3:$Y$5001,Base!$B$3:$B$5001,K$197,Base!$A$3:$A$5001,_xlfn.MAXIFS(Base!$A$3:$A$5001,Base!$B$3:$B$5001,K$197,Base!$A$3:$A$5001,"&gt;="&amp;$C$7,Base!$A$3:$A$5001,"&lt;="&amp;$B216,Base!$Y$3:$Y$5001,"&lt;&gt;"))))</f>
        <v/>
      </c>
    </row>
    <row r="217">
      <c r="A217">
        <v>20</v>
      </c>
      <c r="B217" s="152">
        <f>$B$31</f>
        <v>46285</v>
      </c>
      <c r="C217" t="str">
        <f>IF($A217&gt;$B$9,"",IF(COUNTIFS(Base!$B$3:$B$5001,C$197,Base!$A$3:$A$5001,"&gt;="&amp;$C$7,Base!$A$3:$A$5001,"&lt;="&amp;$B217,Base!$Y$3:$Y$5001,"&lt;&gt;")=0,"",SUMIFS(Base!$Y$3:$Y$5001,Base!$B$3:$B$5001,C$197,Base!$A$3:$A$5001,_xlfn.MAXIFS(Base!$A$3:$A$5001,Base!$B$3:$B$5001,C$197,Base!$A$3:$A$5001,"&gt;="&amp;$C$7,Base!$A$3:$A$5001,"&lt;="&amp;$B217,Base!$Y$3:$Y$5001,"&lt;&gt;"))))</f>
        <v/>
      </c>
      <c r="D217" t="str">
        <f>IF($A217&gt;$B$9,"",IF(COUNTIFS(Base!$B$3:$B$5001,D$197,Base!$A$3:$A$5001,"&gt;="&amp;$C$7,Base!$A$3:$A$5001,"&lt;="&amp;$B217,Base!$Y$3:$Y$5001,"&lt;&gt;")=0,"",SUMIFS(Base!$Y$3:$Y$5001,Base!$B$3:$B$5001,D$197,Base!$A$3:$A$5001,_xlfn.MAXIFS(Base!$A$3:$A$5001,Base!$B$3:$B$5001,D$197,Base!$A$3:$A$5001,"&gt;="&amp;$C$7,Base!$A$3:$A$5001,"&lt;="&amp;$B217,Base!$Y$3:$Y$5001,"&lt;&gt;"))))</f>
        <v/>
      </c>
      <c r="E217" t="str">
        <f>IF($A217&gt;$B$9,"",IF(COUNTIFS(Base!$B$3:$B$5001,E$197,Base!$A$3:$A$5001,"&gt;="&amp;$C$7,Base!$A$3:$A$5001,"&lt;="&amp;$B217,Base!$Y$3:$Y$5001,"&lt;&gt;")=0,"",SUMIFS(Base!$Y$3:$Y$5001,Base!$B$3:$B$5001,E$197,Base!$A$3:$A$5001,_xlfn.MAXIFS(Base!$A$3:$A$5001,Base!$B$3:$B$5001,E$197,Base!$A$3:$A$5001,"&gt;="&amp;$C$7,Base!$A$3:$A$5001,"&lt;="&amp;$B217,Base!$Y$3:$Y$5001,"&lt;&gt;"))))</f>
        <v/>
      </c>
      <c r="F217" t="str">
        <f>IF($A217&gt;$B$9,"",IF(COUNTIFS(Base!$B$3:$B$5001,F$197,Base!$A$3:$A$5001,"&gt;="&amp;$C$7,Base!$A$3:$A$5001,"&lt;="&amp;$B217,Base!$Y$3:$Y$5001,"&lt;&gt;")=0,"",SUMIFS(Base!$Y$3:$Y$5001,Base!$B$3:$B$5001,F$197,Base!$A$3:$A$5001,_xlfn.MAXIFS(Base!$A$3:$A$5001,Base!$B$3:$B$5001,F$197,Base!$A$3:$A$5001,"&gt;="&amp;$C$7,Base!$A$3:$A$5001,"&lt;="&amp;$B217,Base!$Y$3:$Y$5001,"&lt;&gt;"))))</f>
        <v/>
      </c>
      <c r="G217" t="str">
        <f>IF($A217&gt;$B$9,"",IF(COUNTIFS(Base!$B$3:$B$5001,G$197,Base!$A$3:$A$5001,"&gt;="&amp;$C$7,Base!$A$3:$A$5001,"&lt;="&amp;$B217,Base!$Y$3:$Y$5001,"&lt;&gt;")=0,"",SUMIFS(Base!$Y$3:$Y$5001,Base!$B$3:$B$5001,G$197,Base!$A$3:$A$5001,_xlfn.MAXIFS(Base!$A$3:$A$5001,Base!$B$3:$B$5001,G$197,Base!$A$3:$A$5001,"&gt;="&amp;$C$7,Base!$A$3:$A$5001,"&lt;="&amp;$B217,Base!$Y$3:$Y$5001,"&lt;&gt;"))))</f>
        <v/>
      </c>
      <c r="H217" t="str">
        <f>IF($A217&gt;$B$9,"",IF(COUNTIFS(Base!$B$3:$B$5001,H$197,Base!$A$3:$A$5001,"&gt;="&amp;$C$7,Base!$A$3:$A$5001,"&lt;="&amp;$B217,Base!$Y$3:$Y$5001,"&lt;&gt;")=0,"",SUMIFS(Base!$Y$3:$Y$5001,Base!$B$3:$B$5001,H$197,Base!$A$3:$A$5001,_xlfn.MAXIFS(Base!$A$3:$A$5001,Base!$B$3:$B$5001,H$197,Base!$A$3:$A$5001,"&gt;="&amp;$C$7,Base!$A$3:$A$5001,"&lt;="&amp;$B217,Base!$Y$3:$Y$5001,"&lt;&gt;"))))</f>
        <v/>
      </c>
      <c r="I217" t="str">
        <f>IF($A217&gt;$B$9,"",IF(COUNTIFS(Base!$B$3:$B$5001,I$197,Base!$A$3:$A$5001,"&gt;="&amp;$C$7,Base!$A$3:$A$5001,"&lt;="&amp;$B217,Base!$Y$3:$Y$5001,"&lt;&gt;")=0,"",SUMIFS(Base!$Y$3:$Y$5001,Base!$B$3:$B$5001,I$197,Base!$A$3:$A$5001,_xlfn.MAXIFS(Base!$A$3:$A$5001,Base!$B$3:$B$5001,I$197,Base!$A$3:$A$5001,"&gt;="&amp;$C$7,Base!$A$3:$A$5001,"&lt;="&amp;$B217,Base!$Y$3:$Y$5001,"&lt;&gt;"))))</f>
        <v/>
      </c>
      <c r="J217" t="str">
        <f>IF($A217&gt;$B$9,"",IF(COUNTIFS(Base!$B$3:$B$5001,J$197,Base!$A$3:$A$5001,"&gt;="&amp;$C$7,Base!$A$3:$A$5001,"&lt;="&amp;$B217,Base!$Y$3:$Y$5001,"&lt;&gt;")=0,"",SUMIFS(Base!$Y$3:$Y$5001,Base!$B$3:$B$5001,J$197,Base!$A$3:$A$5001,_xlfn.MAXIFS(Base!$A$3:$A$5001,Base!$B$3:$B$5001,J$197,Base!$A$3:$A$5001,"&gt;="&amp;$C$7,Base!$A$3:$A$5001,"&lt;="&amp;$B217,Base!$Y$3:$Y$5001,"&lt;&gt;"))))</f>
        <v/>
      </c>
      <c r="K217" t="str">
        <f>IF($A217&gt;$B$9,"",IF(COUNTIFS(Base!$B$3:$B$5001,K$197,Base!$A$3:$A$5001,"&gt;="&amp;$C$7,Base!$A$3:$A$5001,"&lt;="&amp;$B217,Base!$Y$3:$Y$5001,"&lt;&gt;")=0,"",SUMIFS(Base!$Y$3:$Y$5001,Base!$B$3:$B$5001,K$197,Base!$A$3:$A$5001,_xlfn.MAXIFS(Base!$A$3:$A$5001,Base!$B$3:$B$5001,K$197,Base!$A$3:$A$5001,"&gt;="&amp;$C$7,Base!$A$3:$A$5001,"&lt;="&amp;$B217,Base!$Y$3:$Y$5001,"&lt;&gt;"))))</f>
        <v/>
      </c>
    </row>
    <row r="218">
      <c r="A218">
        <v>21</v>
      </c>
      <c r="B218" s="152">
        <f>$B$32</f>
        <v>46286</v>
      </c>
      <c r="C218" t="str">
        <f>IF($A218&gt;$B$9,"",IF(COUNTIFS(Base!$B$3:$B$5001,C$197,Base!$A$3:$A$5001,"&gt;="&amp;$C$7,Base!$A$3:$A$5001,"&lt;="&amp;$B218,Base!$Y$3:$Y$5001,"&lt;&gt;")=0,"",SUMIFS(Base!$Y$3:$Y$5001,Base!$B$3:$B$5001,C$197,Base!$A$3:$A$5001,_xlfn.MAXIFS(Base!$A$3:$A$5001,Base!$B$3:$B$5001,C$197,Base!$A$3:$A$5001,"&gt;="&amp;$C$7,Base!$A$3:$A$5001,"&lt;="&amp;$B218,Base!$Y$3:$Y$5001,"&lt;&gt;"))))</f>
        <v/>
      </c>
      <c r="D218" t="str">
        <f>IF($A218&gt;$B$9,"",IF(COUNTIFS(Base!$B$3:$B$5001,D$197,Base!$A$3:$A$5001,"&gt;="&amp;$C$7,Base!$A$3:$A$5001,"&lt;="&amp;$B218,Base!$Y$3:$Y$5001,"&lt;&gt;")=0,"",SUMIFS(Base!$Y$3:$Y$5001,Base!$B$3:$B$5001,D$197,Base!$A$3:$A$5001,_xlfn.MAXIFS(Base!$A$3:$A$5001,Base!$B$3:$B$5001,D$197,Base!$A$3:$A$5001,"&gt;="&amp;$C$7,Base!$A$3:$A$5001,"&lt;="&amp;$B218,Base!$Y$3:$Y$5001,"&lt;&gt;"))))</f>
        <v/>
      </c>
      <c r="E218" t="str">
        <f>IF($A218&gt;$B$9,"",IF(COUNTIFS(Base!$B$3:$B$5001,E$197,Base!$A$3:$A$5001,"&gt;="&amp;$C$7,Base!$A$3:$A$5001,"&lt;="&amp;$B218,Base!$Y$3:$Y$5001,"&lt;&gt;")=0,"",SUMIFS(Base!$Y$3:$Y$5001,Base!$B$3:$B$5001,E$197,Base!$A$3:$A$5001,_xlfn.MAXIFS(Base!$A$3:$A$5001,Base!$B$3:$B$5001,E$197,Base!$A$3:$A$5001,"&gt;="&amp;$C$7,Base!$A$3:$A$5001,"&lt;="&amp;$B218,Base!$Y$3:$Y$5001,"&lt;&gt;"))))</f>
        <v/>
      </c>
      <c r="F218" t="str">
        <f>IF($A218&gt;$B$9,"",IF(COUNTIFS(Base!$B$3:$B$5001,F$197,Base!$A$3:$A$5001,"&gt;="&amp;$C$7,Base!$A$3:$A$5001,"&lt;="&amp;$B218,Base!$Y$3:$Y$5001,"&lt;&gt;")=0,"",SUMIFS(Base!$Y$3:$Y$5001,Base!$B$3:$B$5001,F$197,Base!$A$3:$A$5001,_xlfn.MAXIFS(Base!$A$3:$A$5001,Base!$B$3:$B$5001,F$197,Base!$A$3:$A$5001,"&gt;="&amp;$C$7,Base!$A$3:$A$5001,"&lt;="&amp;$B218,Base!$Y$3:$Y$5001,"&lt;&gt;"))))</f>
        <v/>
      </c>
      <c r="G218" t="str">
        <f>IF($A218&gt;$B$9,"",IF(COUNTIFS(Base!$B$3:$B$5001,G$197,Base!$A$3:$A$5001,"&gt;="&amp;$C$7,Base!$A$3:$A$5001,"&lt;="&amp;$B218,Base!$Y$3:$Y$5001,"&lt;&gt;")=0,"",SUMIFS(Base!$Y$3:$Y$5001,Base!$B$3:$B$5001,G$197,Base!$A$3:$A$5001,_xlfn.MAXIFS(Base!$A$3:$A$5001,Base!$B$3:$B$5001,G$197,Base!$A$3:$A$5001,"&gt;="&amp;$C$7,Base!$A$3:$A$5001,"&lt;="&amp;$B218,Base!$Y$3:$Y$5001,"&lt;&gt;"))))</f>
        <v/>
      </c>
      <c r="H218" t="str">
        <f>IF($A218&gt;$B$9,"",IF(COUNTIFS(Base!$B$3:$B$5001,H$197,Base!$A$3:$A$5001,"&gt;="&amp;$C$7,Base!$A$3:$A$5001,"&lt;="&amp;$B218,Base!$Y$3:$Y$5001,"&lt;&gt;")=0,"",SUMIFS(Base!$Y$3:$Y$5001,Base!$B$3:$B$5001,H$197,Base!$A$3:$A$5001,_xlfn.MAXIFS(Base!$A$3:$A$5001,Base!$B$3:$B$5001,H$197,Base!$A$3:$A$5001,"&gt;="&amp;$C$7,Base!$A$3:$A$5001,"&lt;="&amp;$B218,Base!$Y$3:$Y$5001,"&lt;&gt;"))))</f>
        <v/>
      </c>
      <c r="I218" t="str">
        <f>IF($A218&gt;$B$9,"",IF(COUNTIFS(Base!$B$3:$B$5001,I$197,Base!$A$3:$A$5001,"&gt;="&amp;$C$7,Base!$A$3:$A$5001,"&lt;="&amp;$B218,Base!$Y$3:$Y$5001,"&lt;&gt;")=0,"",SUMIFS(Base!$Y$3:$Y$5001,Base!$B$3:$B$5001,I$197,Base!$A$3:$A$5001,_xlfn.MAXIFS(Base!$A$3:$A$5001,Base!$B$3:$B$5001,I$197,Base!$A$3:$A$5001,"&gt;="&amp;$C$7,Base!$A$3:$A$5001,"&lt;="&amp;$B218,Base!$Y$3:$Y$5001,"&lt;&gt;"))))</f>
        <v/>
      </c>
      <c r="J218" t="str">
        <f>IF($A218&gt;$B$9,"",IF(COUNTIFS(Base!$B$3:$B$5001,J$197,Base!$A$3:$A$5001,"&gt;="&amp;$C$7,Base!$A$3:$A$5001,"&lt;="&amp;$B218,Base!$Y$3:$Y$5001,"&lt;&gt;")=0,"",SUMIFS(Base!$Y$3:$Y$5001,Base!$B$3:$B$5001,J$197,Base!$A$3:$A$5001,_xlfn.MAXIFS(Base!$A$3:$A$5001,Base!$B$3:$B$5001,J$197,Base!$A$3:$A$5001,"&gt;="&amp;$C$7,Base!$A$3:$A$5001,"&lt;="&amp;$B218,Base!$Y$3:$Y$5001,"&lt;&gt;"))))</f>
        <v/>
      </c>
      <c r="K218" t="str">
        <f>IF($A218&gt;$B$9,"",IF(COUNTIFS(Base!$B$3:$B$5001,K$197,Base!$A$3:$A$5001,"&gt;="&amp;$C$7,Base!$A$3:$A$5001,"&lt;="&amp;$B218,Base!$Y$3:$Y$5001,"&lt;&gt;")=0,"",SUMIFS(Base!$Y$3:$Y$5001,Base!$B$3:$B$5001,K$197,Base!$A$3:$A$5001,_xlfn.MAXIFS(Base!$A$3:$A$5001,Base!$B$3:$B$5001,K$197,Base!$A$3:$A$5001,"&gt;="&amp;$C$7,Base!$A$3:$A$5001,"&lt;="&amp;$B218,Base!$Y$3:$Y$5001,"&lt;&gt;"))))</f>
        <v/>
      </c>
    </row>
    <row r="219">
      <c r="A219">
        <v>22</v>
      </c>
      <c r="B219" s="152">
        <f>$B$33</f>
        <v>46287</v>
      </c>
      <c r="C219" t="str">
        <f>IF($A219&gt;$B$9,"",IF(COUNTIFS(Base!$B$3:$B$5001,C$197,Base!$A$3:$A$5001,"&gt;="&amp;$C$7,Base!$A$3:$A$5001,"&lt;="&amp;$B219,Base!$Y$3:$Y$5001,"&lt;&gt;")=0,"",SUMIFS(Base!$Y$3:$Y$5001,Base!$B$3:$B$5001,C$197,Base!$A$3:$A$5001,_xlfn.MAXIFS(Base!$A$3:$A$5001,Base!$B$3:$B$5001,C$197,Base!$A$3:$A$5001,"&gt;="&amp;$C$7,Base!$A$3:$A$5001,"&lt;="&amp;$B219,Base!$Y$3:$Y$5001,"&lt;&gt;"))))</f>
        <v/>
      </c>
      <c r="D219" t="str">
        <f>IF($A219&gt;$B$9,"",IF(COUNTIFS(Base!$B$3:$B$5001,D$197,Base!$A$3:$A$5001,"&gt;="&amp;$C$7,Base!$A$3:$A$5001,"&lt;="&amp;$B219,Base!$Y$3:$Y$5001,"&lt;&gt;")=0,"",SUMIFS(Base!$Y$3:$Y$5001,Base!$B$3:$B$5001,D$197,Base!$A$3:$A$5001,_xlfn.MAXIFS(Base!$A$3:$A$5001,Base!$B$3:$B$5001,D$197,Base!$A$3:$A$5001,"&gt;="&amp;$C$7,Base!$A$3:$A$5001,"&lt;="&amp;$B219,Base!$Y$3:$Y$5001,"&lt;&gt;"))))</f>
        <v/>
      </c>
      <c r="E219" t="str">
        <f>IF($A219&gt;$B$9,"",IF(COUNTIFS(Base!$B$3:$B$5001,E$197,Base!$A$3:$A$5001,"&gt;="&amp;$C$7,Base!$A$3:$A$5001,"&lt;="&amp;$B219,Base!$Y$3:$Y$5001,"&lt;&gt;")=0,"",SUMIFS(Base!$Y$3:$Y$5001,Base!$B$3:$B$5001,E$197,Base!$A$3:$A$5001,_xlfn.MAXIFS(Base!$A$3:$A$5001,Base!$B$3:$B$5001,E$197,Base!$A$3:$A$5001,"&gt;="&amp;$C$7,Base!$A$3:$A$5001,"&lt;="&amp;$B219,Base!$Y$3:$Y$5001,"&lt;&gt;"))))</f>
        <v/>
      </c>
      <c r="F219" t="str">
        <f>IF($A219&gt;$B$9,"",IF(COUNTIFS(Base!$B$3:$B$5001,F$197,Base!$A$3:$A$5001,"&gt;="&amp;$C$7,Base!$A$3:$A$5001,"&lt;="&amp;$B219,Base!$Y$3:$Y$5001,"&lt;&gt;")=0,"",SUMIFS(Base!$Y$3:$Y$5001,Base!$B$3:$B$5001,F$197,Base!$A$3:$A$5001,_xlfn.MAXIFS(Base!$A$3:$A$5001,Base!$B$3:$B$5001,F$197,Base!$A$3:$A$5001,"&gt;="&amp;$C$7,Base!$A$3:$A$5001,"&lt;="&amp;$B219,Base!$Y$3:$Y$5001,"&lt;&gt;"))))</f>
        <v/>
      </c>
      <c r="G219" t="str">
        <f>IF($A219&gt;$B$9,"",IF(COUNTIFS(Base!$B$3:$B$5001,G$197,Base!$A$3:$A$5001,"&gt;="&amp;$C$7,Base!$A$3:$A$5001,"&lt;="&amp;$B219,Base!$Y$3:$Y$5001,"&lt;&gt;")=0,"",SUMIFS(Base!$Y$3:$Y$5001,Base!$B$3:$B$5001,G$197,Base!$A$3:$A$5001,_xlfn.MAXIFS(Base!$A$3:$A$5001,Base!$B$3:$B$5001,G$197,Base!$A$3:$A$5001,"&gt;="&amp;$C$7,Base!$A$3:$A$5001,"&lt;="&amp;$B219,Base!$Y$3:$Y$5001,"&lt;&gt;"))))</f>
        <v/>
      </c>
      <c r="H219" t="str">
        <f>IF($A219&gt;$B$9,"",IF(COUNTIFS(Base!$B$3:$B$5001,H$197,Base!$A$3:$A$5001,"&gt;="&amp;$C$7,Base!$A$3:$A$5001,"&lt;="&amp;$B219,Base!$Y$3:$Y$5001,"&lt;&gt;")=0,"",SUMIFS(Base!$Y$3:$Y$5001,Base!$B$3:$B$5001,H$197,Base!$A$3:$A$5001,_xlfn.MAXIFS(Base!$A$3:$A$5001,Base!$B$3:$B$5001,H$197,Base!$A$3:$A$5001,"&gt;="&amp;$C$7,Base!$A$3:$A$5001,"&lt;="&amp;$B219,Base!$Y$3:$Y$5001,"&lt;&gt;"))))</f>
        <v/>
      </c>
      <c r="I219" t="str">
        <f>IF($A219&gt;$B$9,"",IF(COUNTIFS(Base!$B$3:$B$5001,I$197,Base!$A$3:$A$5001,"&gt;="&amp;$C$7,Base!$A$3:$A$5001,"&lt;="&amp;$B219,Base!$Y$3:$Y$5001,"&lt;&gt;")=0,"",SUMIFS(Base!$Y$3:$Y$5001,Base!$B$3:$B$5001,I$197,Base!$A$3:$A$5001,_xlfn.MAXIFS(Base!$A$3:$A$5001,Base!$B$3:$B$5001,I$197,Base!$A$3:$A$5001,"&gt;="&amp;$C$7,Base!$A$3:$A$5001,"&lt;="&amp;$B219,Base!$Y$3:$Y$5001,"&lt;&gt;"))))</f>
        <v/>
      </c>
      <c r="J219" t="str">
        <f>IF($A219&gt;$B$9,"",IF(COUNTIFS(Base!$B$3:$B$5001,J$197,Base!$A$3:$A$5001,"&gt;="&amp;$C$7,Base!$A$3:$A$5001,"&lt;="&amp;$B219,Base!$Y$3:$Y$5001,"&lt;&gt;")=0,"",SUMIFS(Base!$Y$3:$Y$5001,Base!$B$3:$B$5001,J$197,Base!$A$3:$A$5001,_xlfn.MAXIFS(Base!$A$3:$A$5001,Base!$B$3:$B$5001,J$197,Base!$A$3:$A$5001,"&gt;="&amp;$C$7,Base!$A$3:$A$5001,"&lt;="&amp;$B219,Base!$Y$3:$Y$5001,"&lt;&gt;"))))</f>
        <v/>
      </c>
      <c r="K219" t="str">
        <f>IF($A219&gt;$B$9,"",IF(COUNTIFS(Base!$B$3:$B$5001,K$197,Base!$A$3:$A$5001,"&gt;="&amp;$C$7,Base!$A$3:$A$5001,"&lt;="&amp;$B219,Base!$Y$3:$Y$5001,"&lt;&gt;")=0,"",SUMIFS(Base!$Y$3:$Y$5001,Base!$B$3:$B$5001,K$197,Base!$A$3:$A$5001,_xlfn.MAXIFS(Base!$A$3:$A$5001,Base!$B$3:$B$5001,K$197,Base!$A$3:$A$5001,"&gt;="&amp;$C$7,Base!$A$3:$A$5001,"&lt;="&amp;$B219,Base!$Y$3:$Y$5001,"&lt;&gt;"))))</f>
        <v/>
      </c>
    </row>
    <row r="220">
      <c r="A220">
        <v>23</v>
      </c>
      <c r="B220" s="152">
        <f>$B$34</f>
        <v>46288</v>
      </c>
      <c r="C220" t="str">
        <f>IF($A220&gt;$B$9,"",IF(COUNTIFS(Base!$B$3:$B$5001,C$197,Base!$A$3:$A$5001,"&gt;="&amp;$C$7,Base!$A$3:$A$5001,"&lt;="&amp;$B220,Base!$Y$3:$Y$5001,"&lt;&gt;")=0,"",SUMIFS(Base!$Y$3:$Y$5001,Base!$B$3:$B$5001,C$197,Base!$A$3:$A$5001,_xlfn.MAXIFS(Base!$A$3:$A$5001,Base!$B$3:$B$5001,C$197,Base!$A$3:$A$5001,"&gt;="&amp;$C$7,Base!$A$3:$A$5001,"&lt;="&amp;$B220,Base!$Y$3:$Y$5001,"&lt;&gt;"))))</f>
        <v/>
      </c>
      <c r="D220" t="str">
        <f>IF($A220&gt;$B$9,"",IF(COUNTIFS(Base!$B$3:$B$5001,D$197,Base!$A$3:$A$5001,"&gt;="&amp;$C$7,Base!$A$3:$A$5001,"&lt;="&amp;$B220,Base!$Y$3:$Y$5001,"&lt;&gt;")=0,"",SUMIFS(Base!$Y$3:$Y$5001,Base!$B$3:$B$5001,D$197,Base!$A$3:$A$5001,_xlfn.MAXIFS(Base!$A$3:$A$5001,Base!$B$3:$B$5001,D$197,Base!$A$3:$A$5001,"&gt;="&amp;$C$7,Base!$A$3:$A$5001,"&lt;="&amp;$B220,Base!$Y$3:$Y$5001,"&lt;&gt;"))))</f>
        <v/>
      </c>
      <c r="E220" t="str">
        <f>IF($A220&gt;$B$9,"",IF(COUNTIFS(Base!$B$3:$B$5001,E$197,Base!$A$3:$A$5001,"&gt;="&amp;$C$7,Base!$A$3:$A$5001,"&lt;="&amp;$B220,Base!$Y$3:$Y$5001,"&lt;&gt;")=0,"",SUMIFS(Base!$Y$3:$Y$5001,Base!$B$3:$B$5001,E$197,Base!$A$3:$A$5001,_xlfn.MAXIFS(Base!$A$3:$A$5001,Base!$B$3:$B$5001,E$197,Base!$A$3:$A$5001,"&gt;="&amp;$C$7,Base!$A$3:$A$5001,"&lt;="&amp;$B220,Base!$Y$3:$Y$5001,"&lt;&gt;"))))</f>
        <v/>
      </c>
      <c r="F220" t="str">
        <f>IF($A220&gt;$B$9,"",IF(COUNTIFS(Base!$B$3:$B$5001,F$197,Base!$A$3:$A$5001,"&gt;="&amp;$C$7,Base!$A$3:$A$5001,"&lt;="&amp;$B220,Base!$Y$3:$Y$5001,"&lt;&gt;")=0,"",SUMIFS(Base!$Y$3:$Y$5001,Base!$B$3:$B$5001,F$197,Base!$A$3:$A$5001,_xlfn.MAXIFS(Base!$A$3:$A$5001,Base!$B$3:$B$5001,F$197,Base!$A$3:$A$5001,"&gt;="&amp;$C$7,Base!$A$3:$A$5001,"&lt;="&amp;$B220,Base!$Y$3:$Y$5001,"&lt;&gt;"))))</f>
        <v/>
      </c>
      <c r="G220" t="str">
        <f>IF($A220&gt;$B$9,"",IF(COUNTIFS(Base!$B$3:$B$5001,G$197,Base!$A$3:$A$5001,"&gt;="&amp;$C$7,Base!$A$3:$A$5001,"&lt;="&amp;$B220,Base!$Y$3:$Y$5001,"&lt;&gt;")=0,"",SUMIFS(Base!$Y$3:$Y$5001,Base!$B$3:$B$5001,G$197,Base!$A$3:$A$5001,_xlfn.MAXIFS(Base!$A$3:$A$5001,Base!$B$3:$B$5001,G$197,Base!$A$3:$A$5001,"&gt;="&amp;$C$7,Base!$A$3:$A$5001,"&lt;="&amp;$B220,Base!$Y$3:$Y$5001,"&lt;&gt;"))))</f>
        <v/>
      </c>
      <c r="H220" t="str">
        <f>IF($A220&gt;$B$9,"",IF(COUNTIFS(Base!$B$3:$B$5001,H$197,Base!$A$3:$A$5001,"&gt;="&amp;$C$7,Base!$A$3:$A$5001,"&lt;="&amp;$B220,Base!$Y$3:$Y$5001,"&lt;&gt;")=0,"",SUMIFS(Base!$Y$3:$Y$5001,Base!$B$3:$B$5001,H$197,Base!$A$3:$A$5001,_xlfn.MAXIFS(Base!$A$3:$A$5001,Base!$B$3:$B$5001,H$197,Base!$A$3:$A$5001,"&gt;="&amp;$C$7,Base!$A$3:$A$5001,"&lt;="&amp;$B220,Base!$Y$3:$Y$5001,"&lt;&gt;"))))</f>
        <v/>
      </c>
      <c r="I220" t="str">
        <f>IF($A220&gt;$B$9,"",IF(COUNTIFS(Base!$B$3:$B$5001,I$197,Base!$A$3:$A$5001,"&gt;="&amp;$C$7,Base!$A$3:$A$5001,"&lt;="&amp;$B220,Base!$Y$3:$Y$5001,"&lt;&gt;")=0,"",SUMIFS(Base!$Y$3:$Y$5001,Base!$B$3:$B$5001,I$197,Base!$A$3:$A$5001,_xlfn.MAXIFS(Base!$A$3:$A$5001,Base!$B$3:$B$5001,I$197,Base!$A$3:$A$5001,"&gt;="&amp;$C$7,Base!$A$3:$A$5001,"&lt;="&amp;$B220,Base!$Y$3:$Y$5001,"&lt;&gt;"))))</f>
        <v/>
      </c>
      <c r="J220" t="str">
        <f>IF($A220&gt;$B$9,"",IF(COUNTIFS(Base!$B$3:$B$5001,J$197,Base!$A$3:$A$5001,"&gt;="&amp;$C$7,Base!$A$3:$A$5001,"&lt;="&amp;$B220,Base!$Y$3:$Y$5001,"&lt;&gt;")=0,"",SUMIFS(Base!$Y$3:$Y$5001,Base!$B$3:$B$5001,J$197,Base!$A$3:$A$5001,_xlfn.MAXIFS(Base!$A$3:$A$5001,Base!$B$3:$B$5001,J$197,Base!$A$3:$A$5001,"&gt;="&amp;$C$7,Base!$A$3:$A$5001,"&lt;="&amp;$B220,Base!$Y$3:$Y$5001,"&lt;&gt;"))))</f>
        <v/>
      </c>
      <c r="K220" t="str">
        <f>IF($A220&gt;$B$9,"",IF(COUNTIFS(Base!$B$3:$B$5001,K$197,Base!$A$3:$A$5001,"&gt;="&amp;$C$7,Base!$A$3:$A$5001,"&lt;="&amp;$B220,Base!$Y$3:$Y$5001,"&lt;&gt;")=0,"",SUMIFS(Base!$Y$3:$Y$5001,Base!$B$3:$B$5001,K$197,Base!$A$3:$A$5001,_xlfn.MAXIFS(Base!$A$3:$A$5001,Base!$B$3:$B$5001,K$197,Base!$A$3:$A$5001,"&gt;="&amp;$C$7,Base!$A$3:$A$5001,"&lt;="&amp;$B220,Base!$Y$3:$Y$5001,"&lt;&gt;"))))</f>
        <v/>
      </c>
    </row>
    <row r="221">
      <c r="A221">
        <v>24</v>
      </c>
      <c r="B221" s="152">
        <f>$B$35</f>
        <v>46289</v>
      </c>
      <c r="C221" t="str">
        <f>IF($A221&gt;$B$9,"",IF(COUNTIFS(Base!$B$3:$B$5001,C$197,Base!$A$3:$A$5001,"&gt;="&amp;$C$7,Base!$A$3:$A$5001,"&lt;="&amp;$B221,Base!$Y$3:$Y$5001,"&lt;&gt;")=0,"",SUMIFS(Base!$Y$3:$Y$5001,Base!$B$3:$B$5001,C$197,Base!$A$3:$A$5001,_xlfn.MAXIFS(Base!$A$3:$A$5001,Base!$B$3:$B$5001,C$197,Base!$A$3:$A$5001,"&gt;="&amp;$C$7,Base!$A$3:$A$5001,"&lt;="&amp;$B221,Base!$Y$3:$Y$5001,"&lt;&gt;"))))</f>
        <v/>
      </c>
      <c r="D221" t="str">
        <f>IF($A221&gt;$B$9,"",IF(COUNTIFS(Base!$B$3:$B$5001,D$197,Base!$A$3:$A$5001,"&gt;="&amp;$C$7,Base!$A$3:$A$5001,"&lt;="&amp;$B221,Base!$Y$3:$Y$5001,"&lt;&gt;")=0,"",SUMIFS(Base!$Y$3:$Y$5001,Base!$B$3:$B$5001,D$197,Base!$A$3:$A$5001,_xlfn.MAXIFS(Base!$A$3:$A$5001,Base!$B$3:$B$5001,D$197,Base!$A$3:$A$5001,"&gt;="&amp;$C$7,Base!$A$3:$A$5001,"&lt;="&amp;$B221,Base!$Y$3:$Y$5001,"&lt;&gt;"))))</f>
        <v/>
      </c>
      <c r="E221" t="str">
        <f>IF($A221&gt;$B$9,"",IF(COUNTIFS(Base!$B$3:$B$5001,E$197,Base!$A$3:$A$5001,"&gt;="&amp;$C$7,Base!$A$3:$A$5001,"&lt;="&amp;$B221,Base!$Y$3:$Y$5001,"&lt;&gt;")=0,"",SUMIFS(Base!$Y$3:$Y$5001,Base!$B$3:$B$5001,E$197,Base!$A$3:$A$5001,_xlfn.MAXIFS(Base!$A$3:$A$5001,Base!$B$3:$B$5001,E$197,Base!$A$3:$A$5001,"&gt;="&amp;$C$7,Base!$A$3:$A$5001,"&lt;="&amp;$B221,Base!$Y$3:$Y$5001,"&lt;&gt;"))))</f>
        <v/>
      </c>
      <c r="F221" t="str">
        <f>IF($A221&gt;$B$9,"",IF(COUNTIFS(Base!$B$3:$B$5001,F$197,Base!$A$3:$A$5001,"&gt;="&amp;$C$7,Base!$A$3:$A$5001,"&lt;="&amp;$B221,Base!$Y$3:$Y$5001,"&lt;&gt;")=0,"",SUMIFS(Base!$Y$3:$Y$5001,Base!$B$3:$B$5001,F$197,Base!$A$3:$A$5001,_xlfn.MAXIFS(Base!$A$3:$A$5001,Base!$B$3:$B$5001,F$197,Base!$A$3:$A$5001,"&gt;="&amp;$C$7,Base!$A$3:$A$5001,"&lt;="&amp;$B221,Base!$Y$3:$Y$5001,"&lt;&gt;"))))</f>
        <v/>
      </c>
      <c r="G221" t="str">
        <f>IF($A221&gt;$B$9,"",IF(COUNTIFS(Base!$B$3:$B$5001,G$197,Base!$A$3:$A$5001,"&gt;="&amp;$C$7,Base!$A$3:$A$5001,"&lt;="&amp;$B221,Base!$Y$3:$Y$5001,"&lt;&gt;")=0,"",SUMIFS(Base!$Y$3:$Y$5001,Base!$B$3:$B$5001,G$197,Base!$A$3:$A$5001,_xlfn.MAXIFS(Base!$A$3:$A$5001,Base!$B$3:$B$5001,G$197,Base!$A$3:$A$5001,"&gt;="&amp;$C$7,Base!$A$3:$A$5001,"&lt;="&amp;$B221,Base!$Y$3:$Y$5001,"&lt;&gt;"))))</f>
        <v/>
      </c>
      <c r="H221" t="str">
        <f>IF($A221&gt;$B$9,"",IF(COUNTIFS(Base!$B$3:$B$5001,H$197,Base!$A$3:$A$5001,"&gt;="&amp;$C$7,Base!$A$3:$A$5001,"&lt;="&amp;$B221,Base!$Y$3:$Y$5001,"&lt;&gt;")=0,"",SUMIFS(Base!$Y$3:$Y$5001,Base!$B$3:$B$5001,H$197,Base!$A$3:$A$5001,_xlfn.MAXIFS(Base!$A$3:$A$5001,Base!$B$3:$B$5001,H$197,Base!$A$3:$A$5001,"&gt;="&amp;$C$7,Base!$A$3:$A$5001,"&lt;="&amp;$B221,Base!$Y$3:$Y$5001,"&lt;&gt;"))))</f>
        <v/>
      </c>
      <c r="I221" t="str">
        <f>IF($A221&gt;$B$9,"",IF(COUNTIFS(Base!$B$3:$B$5001,I$197,Base!$A$3:$A$5001,"&gt;="&amp;$C$7,Base!$A$3:$A$5001,"&lt;="&amp;$B221,Base!$Y$3:$Y$5001,"&lt;&gt;")=0,"",SUMIFS(Base!$Y$3:$Y$5001,Base!$B$3:$B$5001,I$197,Base!$A$3:$A$5001,_xlfn.MAXIFS(Base!$A$3:$A$5001,Base!$B$3:$B$5001,I$197,Base!$A$3:$A$5001,"&gt;="&amp;$C$7,Base!$A$3:$A$5001,"&lt;="&amp;$B221,Base!$Y$3:$Y$5001,"&lt;&gt;"))))</f>
        <v/>
      </c>
      <c r="J221" t="str">
        <f>IF($A221&gt;$B$9,"",IF(COUNTIFS(Base!$B$3:$B$5001,J$197,Base!$A$3:$A$5001,"&gt;="&amp;$C$7,Base!$A$3:$A$5001,"&lt;="&amp;$B221,Base!$Y$3:$Y$5001,"&lt;&gt;")=0,"",SUMIFS(Base!$Y$3:$Y$5001,Base!$B$3:$B$5001,J$197,Base!$A$3:$A$5001,_xlfn.MAXIFS(Base!$A$3:$A$5001,Base!$B$3:$B$5001,J$197,Base!$A$3:$A$5001,"&gt;="&amp;$C$7,Base!$A$3:$A$5001,"&lt;="&amp;$B221,Base!$Y$3:$Y$5001,"&lt;&gt;"))))</f>
        <v/>
      </c>
      <c r="K221" t="str">
        <f>IF($A221&gt;$B$9,"",IF(COUNTIFS(Base!$B$3:$B$5001,K$197,Base!$A$3:$A$5001,"&gt;="&amp;$C$7,Base!$A$3:$A$5001,"&lt;="&amp;$B221,Base!$Y$3:$Y$5001,"&lt;&gt;")=0,"",SUMIFS(Base!$Y$3:$Y$5001,Base!$B$3:$B$5001,K$197,Base!$A$3:$A$5001,_xlfn.MAXIFS(Base!$A$3:$A$5001,Base!$B$3:$B$5001,K$197,Base!$A$3:$A$5001,"&gt;="&amp;$C$7,Base!$A$3:$A$5001,"&lt;="&amp;$B221,Base!$Y$3:$Y$5001,"&lt;&gt;"))))</f>
        <v/>
      </c>
    </row>
    <row r="222">
      <c r="A222">
        <v>25</v>
      </c>
      <c r="B222" s="152">
        <f>$B$36</f>
        <v>46290</v>
      </c>
      <c r="C222" t="str">
        <f>IF($A222&gt;$B$9,"",IF(COUNTIFS(Base!$B$3:$B$5001,C$197,Base!$A$3:$A$5001,"&gt;="&amp;$C$7,Base!$A$3:$A$5001,"&lt;="&amp;$B222,Base!$Y$3:$Y$5001,"&lt;&gt;")=0,"",SUMIFS(Base!$Y$3:$Y$5001,Base!$B$3:$B$5001,C$197,Base!$A$3:$A$5001,_xlfn.MAXIFS(Base!$A$3:$A$5001,Base!$B$3:$B$5001,C$197,Base!$A$3:$A$5001,"&gt;="&amp;$C$7,Base!$A$3:$A$5001,"&lt;="&amp;$B222,Base!$Y$3:$Y$5001,"&lt;&gt;"))))</f>
        <v/>
      </c>
      <c r="D222" t="str">
        <f>IF($A222&gt;$B$9,"",IF(COUNTIFS(Base!$B$3:$B$5001,D$197,Base!$A$3:$A$5001,"&gt;="&amp;$C$7,Base!$A$3:$A$5001,"&lt;="&amp;$B222,Base!$Y$3:$Y$5001,"&lt;&gt;")=0,"",SUMIFS(Base!$Y$3:$Y$5001,Base!$B$3:$B$5001,D$197,Base!$A$3:$A$5001,_xlfn.MAXIFS(Base!$A$3:$A$5001,Base!$B$3:$B$5001,D$197,Base!$A$3:$A$5001,"&gt;="&amp;$C$7,Base!$A$3:$A$5001,"&lt;="&amp;$B222,Base!$Y$3:$Y$5001,"&lt;&gt;"))))</f>
        <v/>
      </c>
      <c r="E222" t="str">
        <f>IF($A222&gt;$B$9,"",IF(COUNTIFS(Base!$B$3:$B$5001,E$197,Base!$A$3:$A$5001,"&gt;="&amp;$C$7,Base!$A$3:$A$5001,"&lt;="&amp;$B222,Base!$Y$3:$Y$5001,"&lt;&gt;")=0,"",SUMIFS(Base!$Y$3:$Y$5001,Base!$B$3:$B$5001,E$197,Base!$A$3:$A$5001,_xlfn.MAXIFS(Base!$A$3:$A$5001,Base!$B$3:$B$5001,E$197,Base!$A$3:$A$5001,"&gt;="&amp;$C$7,Base!$A$3:$A$5001,"&lt;="&amp;$B222,Base!$Y$3:$Y$5001,"&lt;&gt;"))))</f>
        <v/>
      </c>
      <c r="F222" t="str">
        <f>IF($A222&gt;$B$9,"",IF(COUNTIFS(Base!$B$3:$B$5001,F$197,Base!$A$3:$A$5001,"&gt;="&amp;$C$7,Base!$A$3:$A$5001,"&lt;="&amp;$B222,Base!$Y$3:$Y$5001,"&lt;&gt;")=0,"",SUMIFS(Base!$Y$3:$Y$5001,Base!$B$3:$B$5001,F$197,Base!$A$3:$A$5001,_xlfn.MAXIFS(Base!$A$3:$A$5001,Base!$B$3:$B$5001,F$197,Base!$A$3:$A$5001,"&gt;="&amp;$C$7,Base!$A$3:$A$5001,"&lt;="&amp;$B222,Base!$Y$3:$Y$5001,"&lt;&gt;"))))</f>
        <v/>
      </c>
      <c r="G222" t="str">
        <f>IF($A222&gt;$B$9,"",IF(COUNTIFS(Base!$B$3:$B$5001,G$197,Base!$A$3:$A$5001,"&gt;="&amp;$C$7,Base!$A$3:$A$5001,"&lt;="&amp;$B222,Base!$Y$3:$Y$5001,"&lt;&gt;")=0,"",SUMIFS(Base!$Y$3:$Y$5001,Base!$B$3:$B$5001,G$197,Base!$A$3:$A$5001,_xlfn.MAXIFS(Base!$A$3:$A$5001,Base!$B$3:$B$5001,G$197,Base!$A$3:$A$5001,"&gt;="&amp;$C$7,Base!$A$3:$A$5001,"&lt;="&amp;$B222,Base!$Y$3:$Y$5001,"&lt;&gt;"))))</f>
        <v/>
      </c>
      <c r="H222" t="str">
        <f>IF($A222&gt;$B$9,"",IF(COUNTIFS(Base!$B$3:$B$5001,H$197,Base!$A$3:$A$5001,"&gt;="&amp;$C$7,Base!$A$3:$A$5001,"&lt;="&amp;$B222,Base!$Y$3:$Y$5001,"&lt;&gt;")=0,"",SUMIFS(Base!$Y$3:$Y$5001,Base!$B$3:$B$5001,H$197,Base!$A$3:$A$5001,_xlfn.MAXIFS(Base!$A$3:$A$5001,Base!$B$3:$B$5001,H$197,Base!$A$3:$A$5001,"&gt;="&amp;$C$7,Base!$A$3:$A$5001,"&lt;="&amp;$B222,Base!$Y$3:$Y$5001,"&lt;&gt;"))))</f>
        <v/>
      </c>
      <c r="I222" t="str">
        <f>IF($A222&gt;$B$9,"",IF(COUNTIFS(Base!$B$3:$B$5001,I$197,Base!$A$3:$A$5001,"&gt;="&amp;$C$7,Base!$A$3:$A$5001,"&lt;="&amp;$B222,Base!$Y$3:$Y$5001,"&lt;&gt;")=0,"",SUMIFS(Base!$Y$3:$Y$5001,Base!$B$3:$B$5001,I$197,Base!$A$3:$A$5001,_xlfn.MAXIFS(Base!$A$3:$A$5001,Base!$B$3:$B$5001,I$197,Base!$A$3:$A$5001,"&gt;="&amp;$C$7,Base!$A$3:$A$5001,"&lt;="&amp;$B222,Base!$Y$3:$Y$5001,"&lt;&gt;"))))</f>
        <v/>
      </c>
      <c r="J222" t="str">
        <f>IF($A222&gt;$B$9,"",IF(COUNTIFS(Base!$B$3:$B$5001,J$197,Base!$A$3:$A$5001,"&gt;="&amp;$C$7,Base!$A$3:$A$5001,"&lt;="&amp;$B222,Base!$Y$3:$Y$5001,"&lt;&gt;")=0,"",SUMIFS(Base!$Y$3:$Y$5001,Base!$B$3:$B$5001,J$197,Base!$A$3:$A$5001,_xlfn.MAXIFS(Base!$A$3:$A$5001,Base!$B$3:$B$5001,J$197,Base!$A$3:$A$5001,"&gt;="&amp;$C$7,Base!$A$3:$A$5001,"&lt;="&amp;$B222,Base!$Y$3:$Y$5001,"&lt;&gt;"))))</f>
        <v/>
      </c>
      <c r="K222" t="str">
        <f>IF($A222&gt;$B$9,"",IF(COUNTIFS(Base!$B$3:$B$5001,K$197,Base!$A$3:$A$5001,"&gt;="&amp;$C$7,Base!$A$3:$A$5001,"&lt;="&amp;$B222,Base!$Y$3:$Y$5001,"&lt;&gt;")=0,"",SUMIFS(Base!$Y$3:$Y$5001,Base!$B$3:$B$5001,K$197,Base!$A$3:$A$5001,_xlfn.MAXIFS(Base!$A$3:$A$5001,Base!$B$3:$B$5001,K$197,Base!$A$3:$A$5001,"&gt;="&amp;$C$7,Base!$A$3:$A$5001,"&lt;="&amp;$B222,Base!$Y$3:$Y$5001,"&lt;&gt;"))))</f>
        <v/>
      </c>
    </row>
    <row r="223">
      <c r="A223">
        <v>26</v>
      </c>
      <c r="B223" s="152">
        <f>$B$37</f>
        <v>46291</v>
      </c>
      <c r="C223" t="str">
        <f>IF($A223&gt;$B$9,"",IF(COUNTIFS(Base!$B$3:$B$5001,C$197,Base!$A$3:$A$5001,"&gt;="&amp;$C$7,Base!$A$3:$A$5001,"&lt;="&amp;$B223,Base!$Y$3:$Y$5001,"&lt;&gt;")=0,"",SUMIFS(Base!$Y$3:$Y$5001,Base!$B$3:$B$5001,C$197,Base!$A$3:$A$5001,_xlfn.MAXIFS(Base!$A$3:$A$5001,Base!$B$3:$B$5001,C$197,Base!$A$3:$A$5001,"&gt;="&amp;$C$7,Base!$A$3:$A$5001,"&lt;="&amp;$B223,Base!$Y$3:$Y$5001,"&lt;&gt;"))))</f>
        <v/>
      </c>
      <c r="D223" t="str">
        <f>IF($A223&gt;$B$9,"",IF(COUNTIFS(Base!$B$3:$B$5001,D$197,Base!$A$3:$A$5001,"&gt;="&amp;$C$7,Base!$A$3:$A$5001,"&lt;="&amp;$B223,Base!$Y$3:$Y$5001,"&lt;&gt;")=0,"",SUMIFS(Base!$Y$3:$Y$5001,Base!$B$3:$B$5001,D$197,Base!$A$3:$A$5001,_xlfn.MAXIFS(Base!$A$3:$A$5001,Base!$B$3:$B$5001,D$197,Base!$A$3:$A$5001,"&gt;="&amp;$C$7,Base!$A$3:$A$5001,"&lt;="&amp;$B223,Base!$Y$3:$Y$5001,"&lt;&gt;"))))</f>
        <v/>
      </c>
      <c r="E223" t="str">
        <f>IF($A223&gt;$B$9,"",IF(COUNTIFS(Base!$B$3:$B$5001,E$197,Base!$A$3:$A$5001,"&gt;="&amp;$C$7,Base!$A$3:$A$5001,"&lt;="&amp;$B223,Base!$Y$3:$Y$5001,"&lt;&gt;")=0,"",SUMIFS(Base!$Y$3:$Y$5001,Base!$B$3:$B$5001,E$197,Base!$A$3:$A$5001,_xlfn.MAXIFS(Base!$A$3:$A$5001,Base!$B$3:$B$5001,E$197,Base!$A$3:$A$5001,"&gt;="&amp;$C$7,Base!$A$3:$A$5001,"&lt;="&amp;$B223,Base!$Y$3:$Y$5001,"&lt;&gt;"))))</f>
        <v/>
      </c>
      <c r="F223" t="str">
        <f>IF($A223&gt;$B$9,"",IF(COUNTIFS(Base!$B$3:$B$5001,F$197,Base!$A$3:$A$5001,"&gt;="&amp;$C$7,Base!$A$3:$A$5001,"&lt;="&amp;$B223,Base!$Y$3:$Y$5001,"&lt;&gt;")=0,"",SUMIFS(Base!$Y$3:$Y$5001,Base!$B$3:$B$5001,F$197,Base!$A$3:$A$5001,_xlfn.MAXIFS(Base!$A$3:$A$5001,Base!$B$3:$B$5001,F$197,Base!$A$3:$A$5001,"&gt;="&amp;$C$7,Base!$A$3:$A$5001,"&lt;="&amp;$B223,Base!$Y$3:$Y$5001,"&lt;&gt;"))))</f>
        <v/>
      </c>
      <c r="G223" t="str">
        <f>IF($A223&gt;$B$9,"",IF(COUNTIFS(Base!$B$3:$B$5001,G$197,Base!$A$3:$A$5001,"&gt;="&amp;$C$7,Base!$A$3:$A$5001,"&lt;="&amp;$B223,Base!$Y$3:$Y$5001,"&lt;&gt;")=0,"",SUMIFS(Base!$Y$3:$Y$5001,Base!$B$3:$B$5001,G$197,Base!$A$3:$A$5001,_xlfn.MAXIFS(Base!$A$3:$A$5001,Base!$B$3:$B$5001,G$197,Base!$A$3:$A$5001,"&gt;="&amp;$C$7,Base!$A$3:$A$5001,"&lt;="&amp;$B223,Base!$Y$3:$Y$5001,"&lt;&gt;"))))</f>
        <v/>
      </c>
      <c r="H223" t="str">
        <f>IF($A223&gt;$B$9,"",IF(COUNTIFS(Base!$B$3:$B$5001,H$197,Base!$A$3:$A$5001,"&gt;="&amp;$C$7,Base!$A$3:$A$5001,"&lt;="&amp;$B223,Base!$Y$3:$Y$5001,"&lt;&gt;")=0,"",SUMIFS(Base!$Y$3:$Y$5001,Base!$B$3:$B$5001,H$197,Base!$A$3:$A$5001,_xlfn.MAXIFS(Base!$A$3:$A$5001,Base!$B$3:$B$5001,H$197,Base!$A$3:$A$5001,"&gt;="&amp;$C$7,Base!$A$3:$A$5001,"&lt;="&amp;$B223,Base!$Y$3:$Y$5001,"&lt;&gt;"))))</f>
        <v/>
      </c>
      <c r="I223" t="str">
        <f>IF($A223&gt;$B$9,"",IF(COUNTIFS(Base!$B$3:$B$5001,I$197,Base!$A$3:$A$5001,"&gt;="&amp;$C$7,Base!$A$3:$A$5001,"&lt;="&amp;$B223,Base!$Y$3:$Y$5001,"&lt;&gt;")=0,"",SUMIFS(Base!$Y$3:$Y$5001,Base!$B$3:$B$5001,I$197,Base!$A$3:$A$5001,_xlfn.MAXIFS(Base!$A$3:$A$5001,Base!$B$3:$B$5001,I$197,Base!$A$3:$A$5001,"&gt;="&amp;$C$7,Base!$A$3:$A$5001,"&lt;="&amp;$B223,Base!$Y$3:$Y$5001,"&lt;&gt;"))))</f>
        <v/>
      </c>
      <c r="J223" t="str">
        <f>IF($A223&gt;$B$9,"",IF(COUNTIFS(Base!$B$3:$B$5001,J$197,Base!$A$3:$A$5001,"&gt;="&amp;$C$7,Base!$A$3:$A$5001,"&lt;="&amp;$B223,Base!$Y$3:$Y$5001,"&lt;&gt;")=0,"",SUMIFS(Base!$Y$3:$Y$5001,Base!$B$3:$B$5001,J$197,Base!$A$3:$A$5001,_xlfn.MAXIFS(Base!$A$3:$A$5001,Base!$B$3:$B$5001,J$197,Base!$A$3:$A$5001,"&gt;="&amp;$C$7,Base!$A$3:$A$5001,"&lt;="&amp;$B223,Base!$Y$3:$Y$5001,"&lt;&gt;"))))</f>
        <v/>
      </c>
      <c r="K223" t="str">
        <f>IF($A223&gt;$B$9,"",IF(COUNTIFS(Base!$B$3:$B$5001,K$197,Base!$A$3:$A$5001,"&gt;="&amp;$C$7,Base!$A$3:$A$5001,"&lt;="&amp;$B223,Base!$Y$3:$Y$5001,"&lt;&gt;")=0,"",SUMIFS(Base!$Y$3:$Y$5001,Base!$B$3:$B$5001,K$197,Base!$A$3:$A$5001,_xlfn.MAXIFS(Base!$A$3:$A$5001,Base!$B$3:$B$5001,K$197,Base!$A$3:$A$5001,"&gt;="&amp;$C$7,Base!$A$3:$A$5001,"&lt;="&amp;$B223,Base!$Y$3:$Y$5001,"&lt;&gt;"))))</f>
        <v/>
      </c>
    </row>
    <row r="224">
      <c r="A224">
        <v>27</v>
      </c>
      <c r="B224" s="152">
        <f>$B$38</f>
        <v>46292</v>
      </c>
      <c r="C224" t="str">
        <f>IF($A224&gt;$B$9,"",IF(COUNTIFS(Base!$B$3:$B$5001,C$197,Base!$A$3:$A$5001,"&gt;="&amp;$C$7,Base!$A$3:$A$5001,"&lt;="&amp;$B224,Base!$Y$3:$Y$5001,"&lt;&gt;")=0,"",SUMIFS(Base!$Y$3:$Y$5001,Base!$B$3:$B$5001,C$197,Base!$A$3:$A$5001,_xlfn.MAXIFS(Base!$A$3:$A$5001,Base!$B$3:$B$5001,C$197,Base!$A$3:$A$5001,"&gt;="&amp;$C$7,Base!$A$3:$A$5001,"&lt;="&amp;$B224,Base!$Y$3:$Y$5001,"&lt;&gt;"))))</f>
        <v/>
      </c>
      <c r="D224" t="str">
        <f>IF($A224&gt;$B$9,"",IF(COUNTIFS(Base!$B$3:$B$5001,D$197,Base!$A$3:$A$5001,"&gt;="&amp;$C$7,Base!$A$3:$A$5001,"&lt;="&amp;$B224,Base!$Y$3:$Y$5001,"&lt;&gt;")=0,"",SUMIFS(Base!$Y$3:$Y$5001,Base!$B$3:$B$5001,D$197,Base!$A$3:$A$5001,_xlfn.MAXIFS(Base!$A$3:$A$5001,Base!$B$3:$B$5001,D$197,Base!$A$3:$A$5001,"&gt;="&amp;$C$7,Base!$A$3:$A$5001,"&lt;="&amp;$B224,Base!$Y$3:$Y$5001,"&lt;&gt;"))))</f>
        <v/>
      </c>
      <c r="E224" t="str">
        <f>IF($A224&gt;$B$9,"",IF(COUNTIFS(Base!$B$3:$B$5001,E$197,Base!$A$3:$A$5001,"&gt;="&amp;$C$7,Base!$A$3:$A$5001,"&lt;="&amp;$B224,Base!$Y$3:$Y$5001,"&lt;&gt;")=0,"",SUMIFS(Base!$Y$3:$Y$5001,Base!$B$3:$B$5001,E$197,Base!$A$3:$A$5001,_xlfn.MAXIFS(Base!$A$3:$A$5001,Base!$B$3:$B$5001,E$197,Base!$A$3:$A$5001,"&gt;="&amp;$C$7,Base!$A$3:$A$5001,"&lt;="&amp;$B224,Base!$Y$3:$Y$5001,"&lt;&gt;"))))</f>
        <v/>
      </c>
      <c r="F224" t="str">
        <f>IF($A224&gt;$B$9,"",IF(COUNTIFS(Base!$B$3:$B$5001,F$197,Base!$A$3:$A$5001,"&gt;="&amp;$C$7,Base!$A$3:$A$5001,"&lt;="&amp;$B224,Base!$Y$3:$Y$5001,"&lt;&gt;")=0,"",SUMIFS(Base!$Y$3:$Y$5001,Base!$B$3:$B$5001,F$197,Base!$A$3:$A$5001,_xlfn.MAXIFS(Base!$A$3:$A$5001,Base!$B$3:$B$5001,F$197,Base!$A$3:$A$5001,"&gt;="&amp;$C$7,Base!$A$3:$A$5001,"&lt;="&amp;$B224,Base!$Y$3:$Y$5001,"&lt;&gt;"))))</f>
        <v/>
      </c>
      <c r="G224" t="str">
        <f>IF($A224&gt;$B$9,"",IF(COUNTIFS(Base!$B$3:$B$5001,G$197,Base!$A$3:$A$5001,"&gt;="&amp;$C$7,Base!$A$3:$A$5001,"&lt;="&amp;$B224,Base!$Y$3:$Y$5001,"&lt;&gt;")=0,"",SUMIFS(Base!$Y$3:$Y$5001,Base!$B$3:$B$5001,G$197,Base!$A$3:$A$5001,_xlfn.MAXIFS(Base!$A$3:$A$5001,Base!$B$3:$B$5001,G$197,Base!$A$3:$A$5001,"&gt;="&amp;$C$7,Base!$A$3:$A$5001,"&lt;="&amp;$B224,Base!$Y$3:$Y$5001,"&lt;&gt;"))))</f>
        <v/>
      </c>
      <c r="H224" t="str">
        <f>IF($A224&gt;$B$9,"",IF(COUNTIFS(Base!$B$3:$B$5001,H$197,Base!$A$3:$A$5001,"&gt;="&amp;$C$7,Base!$A$3:$A$5001,"&lt;="&amp;$B224,Base!$Y$3:$Y$5001,"&lt;&gt;")=0,"",SUMIFS(Base!$Y$3:$Y$5001,Base!$B$3:$B$5001,H$197,Base!$A$3:$A$5001,_xlfn.MAXIFS(Base!$A$3:$A$5001,Base!$B$3:$B$5001,H$197,Base!$A$3:$A$5001,"&gt;="&amp;$C$7,Base!$A$3:$A$5001,"&lt;="&amp;$B224,Base!$Y$3:$Y$5001,"&lt;&gt;"))))</f>
        <v/>
      </c>
      <c r="I224" t="str">
        <f>IF($A224&gt;$B$9,"",IF(COUNTIFS(Base!$B$3:$B$5001,I$197,Base!$A$3:$A$5001,"&gt;="&amp;$C$7,Base!$A$3:$A$5001,"&lt;="&amp;$B224,Base!$Y$3:$Y$5001,"&lt;&gt;")=0,"",SUMIFS(Base!$Y$3:$Y$5001,Base!$B$3:$B$5001,I$197,Base!$A$3:$A$5001,_xlfn.MAXIFS(Base!$A$3:$A$5001,Base!$B$3:$B$5001,I$197,Base!$A$3:$A$5001,"&gt;="&amp;$C$7,Base!$A$3:$A$5001,"&lt;="&amp;$B224,Base!$Y$3:$Y$5001,"&lt;&gt;"))))</f>
        <v/>
      </c>
      <c r="J224" t="str">
        <f>IF($A224&gt;$B$9,"",IF(COUNTIFS(Base!$B$3:$B$5001,J$197,Base!$A$3:$A$5001,"&gt;="&amp;$C$7,Base!$A$3:$A$5001,"&lt;="&amp;$B224,Base!$Y$3:$Y$5001,"&lt;&gt;")=0,"",SUMIFS(Base!$Y$3:$Y$5001,Base!$B$3:$B$5001,J$197,Base!$A$3:$A$5001,_xlfn.MAXIFS(Base!$A$3:$A$5001,Base!$B$3:$B$5001,J$197,Base!$A$3:$A$5001,"&gt;="&amp;$C$7,Base!$A$3:$A$5001,"&lt;="&amp;$B224,Base!$Y$3:$Y$5001,"&lt;&gt;"))))</f>
        <v/>
      </c>
      <c r="K224" t="str">
        <f>IF($A224&gt;$B$9,"",IF(COUNTIFS(Base!$B$3:$B$5001,K$197,Base!$A$3:$A$5001,"&gt;="&amp;$C$7,Base!$A$3:$A$5001,"&lt;="&amp;$B224,Base!$Y$3:$Y$5001,"&lt;&gt;")=0,"",SUMIFS(Base!$Y$3:$Y$5001,Base!$B$3:$B$5001,K$197,Base!$A$3:$A$5001,_xlfn.MAXIFS(Base!$A$3:$A$5001,Base!$B$3:$B$5001,K$197,Base!$A$3:$A$5001,"&gt;="&amp;$C$7,Base!$A$3:$A$5001,"&lt;="&amp;$B224,Base!$Y$3:$Y$5001,"&lt;&gt;"))))</f>
        <v/>
      </c>
    </row>
    <row r="225">
      <c r="A225">
        <v>28</v>
      </c>
      <c r="B225" s="152">
        <f>$B$39</f>
        <v>46293</v>
      </c>
      <c r="C225" t="str">
        <f>IF($A225&gt;$B$9,"",IF(COUNTIFS(Base!$B$3:$B$5001,C$197,Base!$A$3:$A$5001,"&gt;="&amp;$C$7,Base!$A$3:$A$5001,"&lt;="&amp;$B225,Base!$Y$3:$Y$5001,"&lt;&gt;")=0,"",SUMIFS(Base!$Y$3:$Y$5001,Base!$B$3:$B$5001,C$197,Base!$A$3:$A$5001,_xlfn.MAXIFS(Base!$A$3:$A$5001,Base!$B$3:$B$5001,C$197,Base!$A$3:$A$5001,"&gt;="&amp;$C$7,Base!$A$3:$A$5001,"&lt;="&amp;$B225,Base!$Y$3:$Y$5001,"&lt;&gt;"))))</f>
        <v/>
      </c>
      <c r="D225" t="str">
        <f>IF($A225&gt;$B$9,"",IF(COUNTIFS(Base!$B$3:$B$5001,D$197,Base!$A$3:$A$5001,"&gt;="&amp;$C$7,Base!$A$3:$A$5001,"&lt;="&amp;$B225,Base!$Y$3:$Y$5001,"&lt;&gt;")=0,"",SUMIFS(Base!$Y$3:$Y$5001,Base!$B$3:$B$5001,D$197,Base!$A$3:$A$5001,_xlfn.MAXIFS(Base!$A$3:$A$5001,Base!$B$3:$B$5001,D$197,Base!$A$3:$A$5001,"&gt;="&amp;$C$7,Base!$A$3:$A$5001,"&lt;="&amp;$B225,Base!$Y$3:$Y$5001,"&lt;&gt;"))))</f>
        <v/>
      </c>
      <c r="E225" t="str">
        <f>IF($A225&gt;$B$9,"",IF(COUNTIFS(Base!$B$3:$B$5001,E$197,Base!$A$3:$A$5001,"&gt;="&amp;$C$7,Base!$A$3:$A$5001,"&lt;="&amp;$B225,Base!$Y$3:$Y$5001,"&lt;&gt;")=0,"",SUMIFS(Base!$Y$3:$Y$5001,Base!$B$3:$B$5001,E$197,Base!$A$3:$A$5001,_xlfn.MAXIFS(Base!$A$3:$A$5001,Base!$B$3:$B$5001,E$197,Base!$A$3:$A$5001,"&gt;="&amp;$C$7,Base!$A$3:$A$5001,"&lt;="&amp;$B225,Base!$Y$3:$Y$5001,"&lt;&gt;"))))</f>
        <v/>
      </c>
      <c r="F225" t="str">
        <f>IF($A225&gt;$B$9,"",IF(COUNTIFS(Base!$B$3:$B$5001,F$197,Base!$A$3:$A$5001,"&gt;="&amp;$C$7,Base!$A$3:$A$5001,"&lt;="&amp;$B225,Base!$Y$3:$Y$5001,"&lt;&gt;")=0,"",SUMIFS(Base!$Y$3:$Y$5001,Base!$B$3:$B$5001,F$197,Base!$A$3:$A$5001,_xlfn.MAXIFS(Base!$A$3:$A$5001,Base!$B$3:$B$5001,F$197,Base!$A$3:$A$5001,"&gt;="&amp;$C$7,Base!$A$3:$A$5001,"&lt;="&amp;$B225,Base!$Y$3:$Y$5001,"&lt;&gt;"))))</f>
        <v/>
      </c>
      <c r="G225" t="str">
        <f>IF($A225&gt;$B$9,"",IF(COUNTIFS(Base!$B$3:$B$5001,G$197,Base!$A$3:$A$5001,"&gt;="&amp;$C$7,Base!$A$3:$A$5001,"&lt;="&amp;$B225,Base!$Y$3:$Y$5001,"&lt;&gt;")=0,"",SUMIFS(Base!$Y$3:$Y$5001,Base!$B$3:$B$5001,G$197,Base!$A$3:$A$5001,_xlfn.MAXIFS(Base!$A$3:$A$5001,Base!$B$3:$B$5001,G$197,Base!$A$3:$A$5001,"&gt;="&amp;$C$7,Base!$A$3:$A$5001,"&lt;="&amp;$B225,Base!$Y$3:$Y$5001,"&lt;&gt;"))))</f>
        <v/>
      </c>
      <c r="H225" t="str">
        <f>IF($A225&gt;$B$9,"",IF(COUNTIFS(Base!$B$3:$B$5001,H$197,Base!$A$3:$A$5001,"&gt;="&amp;$C$7,Base!$A$3:$A$5001,"&lt;="&amp;$B225,Base!$Y$3:$Y$5001,"&lt;&gt;")=0,"",SUMIFS(Base!$Y$3:$Y$5001,Base!$B$3:$B$5001,H$197,Base!$A$3:$A$5001,_xlfn.MAXIFS(Base!$A$3:$A$5001,Base!$B$3:$B$5001,H$197,Base!$A$3:$A$5001,"&gt;="&amp;$C$7,Base!$A$3:$A$5001,"&lt;="&amp;$B225,Base!$Y$3:$Y$5001,"&lt;&gt;"))))</f>
        <v/>
      </c>
      <c r="I225" t="str">
        <f>IF($A225&gt;$B$9,"",IF(COUNTIFS(Base!$B$3:$B$5001,I$197,Base!$A$3:$A$5001,"&gt;="&amp;$C$7,Base!$A$3:$A$5001,"&lt;="&amp;$B225,Base!$Y$3:$Y$5001,"&lt;&gt;")=0,"",SUMIFS(Base!$Y$3:$Y$5001,Base!$B$3:$B$5001,I$197,Base!$A$3:$A$5001,_xlfn.MAXIFS(Base!$A$3:$A$5001,Base!$B$3:$B$5001,I$197,Base!$A$3:$A$5001,"&gt;="&amp;$C$7,Base!$A$3:$A$5001,"&lt;="&amp;$B225,Base!$Y$3:$Y$5001,"&lt;&gt;"))))</f>
        <v/>
      </c>
      <c r="J225" t="str">
        <f>IF($A225&gt;$B$9,"",IF(COUNTIFS(Base!$B$3:$B$5001,J$197,Base!$A$3:$A$5001,"&gt;="&amp;$C$7,Base!$A$3:$A$5001,"&lt;="&amp;$B225,Base!$Y$3:$Y$5001,"&lt;&gt;")=0,"",SUMIFS(Base!$Y$3:$Y$5001,Base!$B$3:$B$5001,J$197,Base!$A$3:$A$5001,_xlfn.MAXIFS(Base!$A$3:$A$5001,Base!$B$3:$B$5001,J$197,Base!$A$3:$A$5001,"&gt;="&amp;$C$7,Base!$A$3:$A$5001,"&lt;="&amp;$B225,Base!$Y$3:$Y$5001,"&lt;&gt;"))))</f>
        <v/>
      </c>
      <c r="K225" t="str">
        <f>IF($A225&gt;$B$9,"",IF(COUNTIFS(Base!$B$3:$B$5001,K$197,Base!$A$3:$A$5001,"&gt;="&amp;$C$7,Base!$A$3:$A$5001,"&lt;="&amp;$B225,Base!$Y$3:$Y$5001,"&lt;&gt;")=0,"",SUMIFS(Base!$Y$3:$Y$5001,Base!$B$3:$B$5001,K$197,Base!$A$3:$A$5001,_xlfn.MAXIFS(Base!$A$3:$A$5001,Base!$B$3:$B$5001,K$197,Base!$A$3:$A$5001,"&gt;="&amp;$C$7,Base!$A$3:$A$5001,"&lt;="&amp;$B225,Base!$Y$3:$Y$5001,"&lt;&gt;"))))</f>
        <v/>
      </c>
    </row>
    <row r="226">
      <c r="A226">
        <v>29</v>
      </c>
      <c r="B226" s="152">
        <f>$B$40</f>
        <v>46294</v>
      </c>
      <c r="C226" t="str">
        <f>IF($A226&gt;$B$9,"",IF(COUNTIFS(Base!$B$3:$B$5001,C$197,Base!$A$3:$A$5001,"&gt;="&amp;$C$7,Base!$A$3:$A$5001,"&lt;="&amp;$B226,Base!$Y$3:$Y$5001,"&lt;&gt;")=0,"",SUMIFS(Base!$Y$3:$Y$5001,Base!$B$3:$B$5001,C$197,Base!$A$3:$A$5001,_xlfn.MAXIFS(Base!$A$3:$A$5001,Base!$B$3:$B$5001,C$197,Base!$A$3:$A$5001,"&gt;="&amp;$C$7,Base!$A$3:$A$5001,"&lt;="&amp;$B226,Base!$Y$3:$Y$5001,"&lt;&gt;"))))</f>
        <v/>
      </c>
      <c r="D226" t="str">
        <f>IF($A226&gt;$B$9,"",IF(COUNTIFS(Base!$B$3:$B$5001,D$197,Base!$A$3:$A$5001,"&gt;="&amp;$C$7,Base!$A$3:$A$5001,"&lt;="&amp;$B226,Base!$Y$3:$Y$5001,"&lt;&gt;")=0,"",SUMIFS(Base!$Y$3:$Y$5001,Base!$B$3:$B$5001,D$197,Base!$A$3:$A$5001,_xlfn.MAXIFS(Base!$A$3:$A$5001,Base!$B$3:$B$5001,D$197,Base!$A$3:$A$5001,"&gt;="&amp;$C$7,Base!$A$3:$A$5001,"&lt;="&amp;$B226,Base!$Y$3:$Y$5001,"&lt;&gt;"))))</f>
        <v/>
      </c>
      <c r="E226" t="str">
        <f>IF($A226&gt;$B$9,"",IF(COUNTIFS(Base!$B$3:$B$5001,E$197,Base!$A$3:$A$5001,"&gt;="&amp;$C$7,Base!$A$3:$A$5001,"&lt;="&amp;$B226,Base!$Y$3:$Y$5001,"&lt;&gt;")=0,"",SUMIFS(Base!$Y$3:$Y$5001,Base!$B$3:$B$5001,E$197,Base!$A$3:$A$5001,_xlfn.MAXIFS(Base!$A$3:$A$5001,Base!$B$3:$B$5001,E$197,Base!$A$3:$A$5001,"&gt;="&amp;$C$7,Base!$A$3:$A$5001,"&lt;="&amp;$B226,Base!$Y$3:$Y$5001,"&lt;&gt;"))))</f>
        <v/>
      </c>
      <c r="F226" t="str">
        <f>IF($A226&gt;$B$9,"",IF(COUNTIFS(Base!$B$3:$B$5001,F$197,Base!$A$3:$A$5001,"&gt;="&amp;$C$7,Base!$A$3:$A$5001,"&lt;="&amp;$B226,Base!$Y$3:$Y$5001,"&lt;&gt;")=0,"",SUMIFS(Base!$Y$3:$Y$5001,Base!$B$3:$B$5001,F$197,Base!$A$3:$A$5001,_xlfn.MAXIFS(Base!$A$3:$A$5001,Base!$B$3:$B$5001,F$197,Base!$A$3:$A$5001,"&gt;="&amp;$C$7,Base!$A$3:$A$5001,"&lt;="&amp;$B226,Base!$Y$3:$Y$5001,"&lt;&gt;"))))</f>
        <v/>
      </c>
      <c r="G226" t="str">
        <f>IF($A226&gt;$B$9,"",IF(COUNTIFS(Base!$B$3:$B$5001,G$197,Base!$A$3:$A$5001,"&gt;="&amp;$C$7,Base!$A$3:$A$5001,"&lt;="&amp;$B226,Base!$Y$3:$Y$5001,"&lt;&gt;")=0,"",SUMIFS(Base!$Y$3:$Y$5001,Base!$B$3:$B$5001,G$197,Base!$A$3:$A$5001,_xlfn.MAXIFS(Base!$A$3:$A$5001,Base!$B$3:$B$5001,G$197,Base!$A$3:$A$5001,"&gt;="&amp;$C$7,Base!$A$3:$A$5001,"&lt;="&amp;$B226,Base!$Y$3:$Y$5001,"&lt;&gt;"))))</f>
        <v/>
      </c>
      <c r="H226" t="str">
        <f>IF($A226&gt;$B$9,"",IF(COUNTIFS(Base!$B$3:$B$5001,H$197,Base!$A$3:$A$5001,"&gt;="&amp;$C$7,Base!$A$3:$A$5001,"&lt;="&amp;$B226,Base!$Y$3:$Y$5001,"&lt;&gt;")=0,"",SUMIFS(Base!$Y$3:$Y$5001,Base!$B$3:$B$5001,H$197,Base!$A$3:$A$5001,_xlfn.MAXIFS(Base!$A$3:$A$5001,Base!$B$3:$B$5001,H$197,Base!$A$3:$A$5001,"&gt;="&amp;$C$7,Base!$A$3:$A$5001,"&lt;="&amp;$B226,Base!$Y$3:$Y$5001,"&lt;&gt;"))))</f>
        <v/>
      </c>
      <c r="I226" t="str">
        <f>IF($A226&gt;$B$9,"",IF(COUNTIFS(Base!$B$3:$B$5001,I$197,Base!$A$3:$A$5001,"&gt;="&amp;$C$7,Base!$A$3:$A$5001,"&lt;="&amp;$B226,Base!$Y$3:$Y$5001,"&lt;&gt;")=0,"",SUMIFS(Base!$Y$3:$Y$5001,Base!$B$3:$B$5001,I$197,Base!$A$3:$A$5001,_xlfn.MAXIFS(Base!$A$3:$A$5001,Base!$B$3:$B$5001,I$197,Base!$A$3:$A$5001,"&gt;="&amp;$C$7,Base!$A$3:$A$5001,"&lt;="&amp;$B226,Base!$Y$3:$Y$5001,"&lt;&gt;"))))</f>
        <v/>
      </c>
      <c r="J226" t="str">
        <f>IF($A226&gt;$B$9,"",IF(COUNTIFS(Base!$B$3:$B$5001,J$197,Base!$A$3:$A$5001,"&gt;="&amp;$C$7,Base!$A$3:$A$5001,"&lt;="&amp;$B226,Base!$Y$3:$Y$5001,"&lt;&gt;")=0,"",SUMIFS(Base!$Y$3:$Y$5001,Base!$B$3:$B$5001,J$197,Base!$A$3:$A$5001,_xlfn.MAXIFS(Base!$A$3:$A$5001,Base!$B$3:$B$5001,J$197,Base!$A$3:$A$5001,"&gt;="&amp;$C$7,Base!$A$3:$A$5001,"&lt;="&amp;$B226,Base!$Y$3:$Y$5001,"&lt;&gt;"))))</f>
        <v/>
      </c>
      <c r="K226" t="str">
        <f>IF($A226&gt;$B$9,"",IF(COUNTIFS(Base!$B$3:$B$5001,K$197,Base!$A$3:$A$5001,"&gt;="&amp;$C$7,Base!$A$3:$A$5001,"&lt;="&amp;$B226,Base!$Y$3:$Y$5001,"&lt;&gt;")=0,"",SUMIFS(Base!$Y$3:$Y$5001,Base!$B$3:$B$5001,K$197,Base!$A$3:$A$5001,_xlfn.MAXIFS(Base!$A$3:$A$5001,Base!$B$3:$B$5001,K$197,Base!$A$3:$A$5001,"&gt;="&amp;$C$7,Base!$A$3:$A$5001,"&lt;="&amp;$B226,Base!$Y$3:$Y$5001,"&lt;&gt;"))))</f>
        <v/>
      </c>
    </row>
    <row r="227">
      <c r="A227">
        <v>30</v>
      </c>
      <c r="B227" s="152">
        <f>$B$41</f>
        <v>46295</v>
      </c>
      <c r="C227" t="str">
        <f>IF($A227&gt;$B$9,"",IF(COUNTIFS(Base!$B$3:$B$5001,C$197,Base!$A$3:$A$5001,"&gt;="&amp;$C$7,Base!$A$3:$A$5001,"&lt;="&amp;$B227,Base!$Y$3:$Y$5001,"&lt;&gt;")=0,"",SUMIFS(Base!$Y$3:$Y$5001,Base!$B$3:$B$5001,C$197,Base!$A$3:$A$5001,_xlfn.MAXIFS(Base!$A$3:$A$5001,Base!$B$3:$B$5001,C$197,Base!$A$3:$A$5001,"&gt;="&amp;$C$7,Base!$A$3:$A$5001,"&lt;="&amp;$B227,Base!$Y$3:$Y$5001,"&lt;&gt;"))))</f>
        <v/>
      </c>
      <c r="D227" t="str">
        <f>IF($A227&gt;$B$9,"",IF(COUNTIFS(Base!$B$3:$B$5001,D$197,Base!$A$3:$A$5001,"&gt;="&amp;$C$7,Base!$A$3:$A$5001,"&lt;="&amp;$B227,Base!$Y$3:$Y$5001,"&lt;&gt;")=0,"",SUMIFS(Base!$Y$3:$Y$5001,Base!$B$3:$B$5001,D$197,Base!$A$3:$A$5001,_xlfn.MAXIFS(Base!$A$3:$A$5001,Base!$B$3:$B$5001,D$197,Base!$A$3:$A$5001,"&gt;="&amp;$C$7,Base!$A$3:$A$5001,"&lt;="&amp;$B227,Base!$Y$3:$Y$5001,"&lt;&gt;"))))</f>
        <v/>
      </c>
      <c r="E227" t="str">
        <f>IF($A227&gt;$B$9,"",IF(COUNTIFS(Base!$B$3:$B$5001,E$197,Base!$A$3:$A$5001,"&gt;="&amp;$C$7,Base!$A$3:$A$5001,"&lt;="&amp;$B227,Base!$Y$3:$Y$5001,"&lt;&gt;")=0,"",SUMIFS(Base!$Y$3:$Y$5001,Base!$B$3:$B$5001,E$197,Base!$A$3:$A$5001,_xlfn.MAXIFS(Base!$A$3:$A$5001,Base!$B$3:$B$5001,E$197,Base!$A$3:$A$5001,"&gt;="&amp;$C$7,Base!$A$3:$A$5001,"&lt;="&amp;$B227,Base!$Y$3:$Y$5001,"&lt;&gt;"))))</f>
        <v/>
      </c>
      <c r="F227" t="str">
        <f>IF($A227&gt;$B$9,"",IF(COUNTIFS(Base!$B$3:$B$5001,F$197,Base!$A$3:$A$5001,"&gt;="&amp;$C$7,Base!$A$3:$A$5001,"&lt;="&amp;$B227,Base!$Y$3:$Y$5001,"&lt;&gt;")=0,"",SUMIFS(Base!$Y$3:$Y$5001,Base!$B$3:$B$5001,F$197,Base!$A$3:$A$5001,_xlfn.MAXIFS(Base!$A$3:$A$5001,Base!$B$3:$B$5001,F$197,Base!$A$3:$A$5001,"&gt;="&amp;$C$7,Base!$A$3:$A$5001,"&lt;="&amp;$B227,Base!$Y$3:$Y$5001,"&lt;&gt;"))))</f>
        <v/>
      </c>
      <c r="G227" t="str">
        <f>IF($A227&gt;$B$9,"",IF(COUNTIFS(Base!$B$3:$B$5001,G$197,Base!$A$3:$A$5001,"&gt;="&amp;$C$7,Base!$A$3:$A$5001,"&lt;="&amp;$B227,Base!$Y$3:$Y$5001,"&lt;&gt;")=0,"",SUMIFS(Base!$Y$3:$Y$5001,Base!$B$3:$B$5001,G$197,Base!$A$3:$A$5001,_xlfn.MAXIFS(Base!$A$3:$A$5001,Base!$B$3:$B$5001,G$197,Base!$A$3:$A$5001,"&gt;="&amp;$C$7,Base!$A$3:$A$5001,"&lt;="&amp;$B227,Base!$Y$3:$Y$5001,"&lt;&gt;"))))</f>
        <v/>
      </c>
      <c r="H227" t="str">
        <f>IF($A227&gt;$B$9,"",IF(COUNTIFS(Base!$B$3:$B$5001,H$197,Base!$A$3:$A$5001,"&gt;="&amp;$C$7,Base!$A$3:$A$5001,"&lt;="&amp;$B227,Base!$Y$3:$Y$5001,"&lt;&gt;")=0,"",SUMIFS(Base!$Y$3:$Y$5001,Base!$B$3:$B$5001,H$197,Base!$A$3:$A$5001,_xlfn.MAXIFS(Base!$A$3:$A$5001,Base!$B$3:$B$5001,H$197,Base!$A$3:$A$5001,"&gt;="&amp;$C$7,Base!$A$3:$A$5001,"&lt;="&amp;$B227,Base!$Y$3:$Y$5001,"&lt;&gt;"))))</f>
        <v/>
      </c>
      <c r="I227" t="str">
        <f>IF($A227&gt;$B$9,"",IF(COUNTIFS(Base!$B$3:$B$5001,I$197,Base!$A$3:$A$5001,"&gt;="&amp;$C$7,Base!$A$3:$A$5001,"&lt;="&amp;$B227,Base!$Y$3:$Y$5001,"&lt;&gt;")=0,"",SUMIFS(Base!$Y$3:$Y$5001,Base!$B$3:$B$5001,I$197,Base!$A$3:$A$5001,_xlfn.MAXIFS(Base!$A$3:$A$5001,Base!$B$3:$B$5001,I$197,Base!$A$3:$A$5001,"&gt;="&amp;$C$7,Base!$A$3:$A$5001,"&lt;="&amp;$B227,Base!$Y$3:$Y$5001,"&lt;&gt;"))))</f>
        <v/>
      </c>
      <c r="J227" t="str">
        <f>IF($A227&gt;$B$9,"",IF(COUNTIFS(Base!$B$3:$B$5001,J$197,Base!$A$3:$A$5001,"&gt;="&amp;$C$7,Base!$A$3:$A$5001,"&lt;="&amp;$B227,Base!$Y$3:$Y$5001,"&lt;&gt;")=0,"",SUMIFS(Base!$Y$3:$Y$5001,Base!$B$3:$B$5001,J$197,Base!$A$3:$A$5001,_xlfn.MAXIFS(Base!$A$3:$A$5001,Base!$B$3:$B$5001,J$197,Base!$A$3:$A$5001,"&gt;="&amp;$C$7,Base!$A$3:$A$5001,"&lt;="&amp;$B227,Base!$Y$3:$Y$5001,"&lt;&gt;"))))</f>
        <v/>
      </c>
      <c r="K227" t="str">
        <f>IF($A227&gt;$B$9,"",IF(COUNTIFS(Base!$B$3:$B$5001,K$197,Base!$A$3:$A$5001,"&gt;="&amp;$C$7,Base!$A$3:$A$5001,"&lt;="&amp;$B227,Base!$Y$3:$Y$5001,"&lt;&gt;")=0,"",SUMIFS(Base!$Y$3:$Y$5001,Base!$B$3:$B$5001,K$197,Base!$A$3:$A$5001,_xlfn.MAXIFS(Base!$A$3:$A$5001,Base!$B$3:$B$5001,K$197,Base!$A$3:$A$5001,"&gt;="&amp;$C$7,Base!$A$3:$A$5001,"&lt;="&amp;$B227,Base!$Y$3:$Y$5001,"&lt;&gt;"))))</f>
        <v/>
      </c>
    </row>
    <row r="228">
      <c r="A228">
        <v>31</v>
      </c>
      <c r="B228" s="152" t="str">
        <f>$B$42</f>
        <v/>
      </c>
      <c r="C228" t="str">
        <f>IF($A228&gt;$B$9,"",IF(COUNTIFS(Base!$B$3:$B$5001,C$197,Base!$A$3:$A$5001,"&gt;="&amp;$C$7,Base!$A$3:$A$5001,"&lt;="&amp;$B228,Base!$Y$3:$Y$5001,"&lt;&gt;")=0,"",SUMIFS(Base!$Y$3:$Y$5001,Base!$B$3:$B$5001,C$197,Base!$A$3:$A$5001,_xlfn.MAXIFS(Base!$A$3:$A$5001,Base!$B$3:$B$5001,C$197,Base!$A$3:$A$5001,"&gt;="&amp;$C$7,Base!$A$3:$A$5001,"&lt;="&amp;$B228,Base!$Y$3:$Y$5001,"&lt;&gt;"))))</f>
        <v/>
      </c>
      <c r="D228" t="str">
        <f>IF($A228&gt;$B$9,"",IF(COUNTIFS(Base!$B$3:$B$5001,D$197,Base!$A$3:$A$5001,"&gt;="&amp;$C$7,Base!$A$3:$A$5001,"&lt;="&amp;$B228,Base!$Y$3:$Y$5001,"&lt;&gt;")=0,"",SUMIFS(Base!$Y$3:$Y$5001,Base!$B$3:$B$5001,D$197,Base!$A$3:$A$5001,_xlfn.MAXIFS(Base!$A$3:$A$5001,Base!$B$3:$B$5001,D$197,Base!$A$3:$A$5001,"&gt;="&amp;$C$7,Base!$A$3:$A$5001,"&lt;="&amp;$B228,Base!$Y$3:$Y$5001,"&lt;&gt;"))))</f>
        <v/>
      </c>
      <c r="E228" t="str">
        <f>IF($A228&gt;$B$9,"",IF(COUNTIFS(Base!$B$3:$B$5001,E$197,Base!$A$3:$A$5001,"&gt;="&amp;$C$7,Base!$A$3:$A$5001,"&lt;="&amp;$B228,Base!$Y$3:$Y$5001,"&lt;&gt;")=0,"",SUMIFS(Base!$Y$3:$Y$5001,Base!$B$3:$B$5001,E$197,Base!$A$3:$A$5001,_xlfn.MAXIFS(Base!$A$3:$A$5001,Base!$B$3:$B$5001,E$197,Base!$A$3:$A$5001,"&gt;="&amp;$C$7,Base!$A$3:$A$5001,"&lt;="&amp;$B228,Base!$Y$3:$Y$5001,"&lt;&gt;"))))</f>
        <v/>
      </c>
      <c r="F228" t="str">
        <f>IF($A228&gt;$B$9,"",IF(COUNTIFS(Base!$B$3:$B$5001,F$197,Base!$A$3:$A$5001,"&gt;="&amp;$C$7,Base!$A$3:$A$5001,"&lt;="&amp;$B228,Base!$Y$3:$Y$5001,"&lt;&gt;")=0,"",SUMIFS(Base!$Y$3:$Y$5001,Base!$B$3:$B$5001,F$197,Base!$A$3:$A$5001,_xlfn.MAXIFS(Base!$A$3:$A$5001,Base!$B$3:$B$5001,F$197,Base!$A$3:$A$5001,"&gt;="&amp;$C$7,Base!$A$3:$A$5001,"&lt;="&amp;$B228,Base!$Y$3:$Y$5001,"&lt;&gt;"))))</f>
        <v/>
      </c>
      <c r="G228" t="str">
        <f>IF($A228&gt;$B$9,"",IF(COUNTIFS(Base!$B$3:$B$5001,G$197,Base!$A$3:$A$5001,"&gt;="&amp;$C$7,Base!$A$3:$A$5001,"&lt;="&amp;$B228,Base!$Y$3:$Y$5001,"&lt;&gt;")=0,"",SUMIFS(Base!$Y$3:$Y$5001,Base!$B$3:$B$5001,G$197,Base!$A$3:$A$5001,_xlfn.MAXIFS(Base!$A$3:$A$5001,Base!$B$3:$B$5001,G$197,Base!$A$3:$A$5001,"&gt;="&amp;$C$7,Base!$A$3:$A$5001,"&lt;="&amp;$B228,Base!$Y$3:$Y$5001,"&lt;&gt;"))))</f>
        <v/>
      </c>
      <c r="H228" t="str">
        <f>IF($A228&gt;$B$9,"",IF(COUNTIFS(Base!$B$3:$B$5001,H$197,Base!$A$3:$A$5001,"&gt;="&amp;$C$7,Base!$A$3:$A$5001,"&lt;="&amp;$B228,Base!$Y$3:$Y$5001,"&lt;&gt;")=0,"",SUMIFS(Base!$Y$3:$Y$5001,Base!$B$3:$B$5001,H$197,Base!$A$3:$A$5001,_xlfn.MAXIFS(Base!$A$3:$A$5001,Base!$B$3:$B$5001,H$197,Base!$A$3:$A$5001,"&gt;="&amp;$C$7,Base!$A$3:$A$5001,"&lt;="&amp;$B228,Base!$Y$3:$Y$5001,"&lt;&gt;"))))</f>
        <v/>
      </c>
      <c r="I228" t="str">
        <f>IF($A228&gt;$B$9,"",IF(COUNTIFS(Base!$B$3:$B$5001,I$197,Base!$A$3:$A$5001,"&gt;="&amp;$C$7,Base!$A$3:$A$5001,"&lt;="&amp;$B228,Base!$Y$3:$Y$5001,"&lt;&gt;")=0,"",SUMIFS(Base!$Y$3:$Y$5001,Base!$B$3:$B$5001,I$197,Base!$A$3:$A$5001,_xlfn.MAXIFS(Base!$A$3:$A$5001,Base!$B$3:$B$5001,I$197,Base!$A$3:$A$5001,"&gt;="&amp;$C$7,Base!$A$3:$A$5001,"&lt;="&amp;$B228,Base!$Y$3:$Y$5001,"&lt;&gt;"))))</f>
        <v/>
      </c>
      <c r="J228" t="str">
        <f>IF($A228&gt;$B$9,"",IF(COUNTIFS(Base!$B$3:$B$5001,J$197,Base!$A$3:$A$5001,"&gt;="&amp;$C$7,Base!$A$3:$A$5001,"&lt;="&amp;$B228,Base!$Y$3:$Y$5001,"&lt;&gt;")=0,"",SUMIFS(Base!$Y$3:$Y$5001,Base!$B$3:$B$5001,J$197,Base!$A$3:$A$5001,_xlfn.MAXIFS(Base!$A$3:$A$5001,Base!$B$3:$B$5001,J$197,Base!$A$3:$A$5001,"&gt;="&amp;$C$7,Base!$A$3:$A$5001,"&lt;="&amp;$B228,Base!$Y$3:$Y$5001,"&lt;&gt;"))))</f>
        <v/>
      </c>
      <c r="K228" t="str">
        <f>IF($A228&gt;$B$9,"",IF(COUNTIFS(Base!$B$3:$B$5001,K$197,Base!$A$3:$A$5001,"&gt;="&amp;$C$7,Base!$A$3:$A$5001,"&lt;="&amp;$B228,Base!$Y$3:$Y$5001,"&lt;&gt;")=0,"",SUMIFS(Base!$Y$3:$Y$5001,Base!$B$3:$B$5001,K$197,Base!$A$3:$A$5001,_xlfn.MAXIFS(Base!$A$3:$A$5001,Base!$B$3:$B$5001,K$197,Base!$A$3:$A$5001,"&gt;="&amp;$C$7,Base!$A$3:$A$5001,"&lt;="&amp;$B228,Base!$Y$3:$Y$5001,"&lt;&gt;"))))</f>
        <v/>
      </c>
    </row>
    <row r="229">
      <c r="A229" t="inlineStr">
        <is>
          <t xml:space="preserve">Mês anterior (último)</t>
        </is>
      </c>
      <c r="C229" t="str">
        <f>IF(COUNTIFS(Base!$B$3:$B$5001,C$197,Base!$A$3:$A$5001,"&gt;="&amp;$C$8,Base!$A$3:$A$5001,"&lt;="&amp;$D$8,Base!$Y$3:$Y$5001,"&lt;&gt;")=0,"",SUMIFS(Base!$Y$3:$Y$5001,Base!$B$3:$B$5001,C$197,Base!$A$3:$A$5001,_xlfn.MAXIFS(Base!$A$3:$A$5001,Base!$B$3:$B$5001,C$197,Base!$A$3:$A$5001,"&gt;="&amp;$C$8,Base!$A$3:$A$5001,"&lt;="&amp;$D$8,Base!$Y$3:$Y$5001,"&lt;&gt;")))</f>
        <v/>
      </c>
      <c r="D229" t="str">
        <f>IF(COUNTIFS(Base!$B$3:$B$5001,D$197,Base!$A$3:$A$5001,"&gt;="&amp;$C$8,Base!$A$3:$A$5001,"&lt;="&amp;$D$8,Base!$Y$3:$Y$5001,"&lt;&gt;")=0,"",SUMIFS(Base!$Y$3:$Y$5001,Base!$B$3:$B$5001,D$197,Base!$A$3:$A$5001,_xlfn.MAXIFS(Base!$A$3:$A$5001,Base!$B$3:$B$5001,D$197,Base!$A$3:$A$5001,"&gt;="&amp;$C$8,Base!$A$3:$A$5001,"&lt;="&amp;$D$8,Base!$Y$3:$Y$5001,"&lt;&gt;")))</f>
        <v/>
      </c>
      <c r="E229" t="str">
        <f>IF(COUNTIFS(Base!$B$3:$B$5001,E$197,Base!$A$3:$A$5001,"&gt;="&amp;$C$8,Base!$A$3:$A$5001,"&lt;="&amp;$D$8,Base!$Y$3:$Y$5001,"&lt;&gt;")=0,"",SUMIFS(Base!$Y$3:$Y$5001,Base!$B$3:$B$5001,E$197,Base!$A$3:$A$5001,_xlfn.MAXIFS(Base!$A$3:$A$5001,Base!$B$3:$B$5001,E$197,Base!$A$3:$A$5001,"&gt;="&amp;$C$8,Base!$A$3:$A$5001,"&lt;="&amp;$D$8,Base!$Y$3:$Y$5001,"&lt;&gt;")))</f>
        <v/>
      </c>
      <c r="F229" t="str">
        <f>IF(COUNTIFS(Base!$B$3:$B$5001,F$197,Base!$A$3:$A$5001,"&gt;="&amp;$C$8,Base!$A$3:$A$5001,"&lt;="&amp;$D$8,Base!$Y$3:$Y$5001,"&lt;&gt;")=0,"",SUMIFS(Base!$Y$3:$Y$5001,Base!$B$3:$B$5001,F$197,Base!$A$3:$A$5001,_xlfn.MAXIFS(Base!$A$3:$A$5001,Base!$B$3:$B$5001,F$197,Base!$A$3:$A$5001,"&gt;="&amp;$C$8,Base!$A$3:$A$5001,"&lt;="&amp;$D$8,Base!$Y$3:$Y$5001,"&lt;&gt;")))</f>
        <v/>
      </c>
      <c r="G229" t="str">
        <f>IF(COUNTIFS(Base!$B$3:$B$5001,G$197,Base!$A$3:$A$5001,"&gt;="&amp;$C$8,Base!$A$3:$A$5001,"&lt;="&amp;$D$8,Base!$Y$3:$Y$5001,"&lt;&gt;")=0,"",SUMIFS(Base!$Y$3:$Y$5001,Base!$B$3:$B$5001,G$197,Base!$A$3:$A$5001,_xlfn.MAXIFS(Base!$A$3:$A$5001,Base!$B$3:$B$5001,G$197,Base!$A$3:$A$5001,"&gt;="&amp;$C$8,Base!$A$3:$A$5001,"&lt;="&amp;$D$8,Base!$Y$3:$Y$5001,"&lt;&gt;")))</f>
        <v/>
      </c>
      <c r="H229" t="str">
        <f>IF(COUNTIFS(Base!$B$3:$B$5001,H$197,Base!$A$3:$A$5001,"&gt;="&amp;$C$8,Base!$A$3:$A$5001,"&lt;="&amp;$D$8,Base!$Y$3:$Y$5001,"&lt;&gt;")=0,"",SUMIFS(Base!$Y$3:$Y$5001,Base!$B$3:$B$5001,H$197,Base!$A$3:$A$5001,_xlfn.MAXIFS(Base!$A$3:$A$5001,Base!$B$3:$B$5001,H$197,Base!$A$3:$A$5001,"&gt;="&amp;$C$8,Base!$A$3:$A$5001,"&lt;="&amp;$D$8,Base!$Y$3:$Y$5001,"&lt;&gt;")))</f>
        <v/>
      </c>
      <c r="I229" t="str">
        <f>IF(COUNTIFS(Base!$B$3:$B$5001,I$197,Base!$A$3:$A$5001,"&gt;="&amp;$C$8,Base!$A$3:$A$5001,"&lt;="&amp;$D$8,Base!$Y$3:$Y$5001,"&lt;&gt;")=0,"",SUMIFS(Base!$Y$3:$Y$5001,Base!$B$3:$B$5001,I$197,Base!$A$3:$A$5001,_xlfn.MAXIFS(Base!$A$3:$A$5001,Base!$B$3:$B$5001,I$197,Base!$A$3:$A$5001,"&gt;="&amp;$C$8,Base!$A$3:$A$5001,"&lt;="&amp;$D$8,Base!$Y$3:$Y$5001,"&lt;&gt;")))</f>
        <v/>
      </c>
      <c r="J229" t="str">
        <f>IF(COUNTIFS(Base!$B$3:$B$5001,J$197,Base!$A$3:$A$5001,"&gt;="&amp;$C$8,Base!$A$3:$A$5001,"&lt;="&amp;$D$8,Base!$Y$3:$Y$5001,"&lt;&gt;")=0,"",SUMIFS(Base!$Y$3:$Y$5001,Base!$B$3:$B$5001,J$197,Base!$A$3:$A$5001,_xlfn.MAXIFS(Base!$A$3:$A$5001,Base!$B$3:$B$5001,J$197,Base!$A$3:$A$5001,"&gt;="&amp;$C$8,Base!$A$3:$A$5001,"&lt;="&amp;$D$8,Base!$Y$3:$Y$5001,"&lt;&gt;")))</f>
        <v/>
      </c>
      <c r="K229" t="str">
        <f>IF(COUNTIFS(Base!$B$3:$B$5001,K$197,Base!$A$3:$A$5001,"&gt;="&amp;$C$8,Base!$A$3:$A$5001,"&lt;="&amp;$D$8,Base!$Y$3:$Y$5001,"&lt;&gt;")=0,"",SUMIFS(Base!$Y$3:$Y$5001,Base!$B$3:$B$5001,K$197,Base!$A$3:$A$5001,_xlfn.MAXIFS(Base!$A$3:$A$5001,Base!$B$3:$B$5001,K$197,Base!$A$3:$A$5001,"&gt;="&amp;$C$8,Base!$A$3:$A$5001,"&lt;="&amp;$D$8,Base!$Y$3:$Y$5001,"&lt;&gt;")))</f>
        <v/>
      </c>
    </row>
    <row r="232">
      <c r="A232" s="145" t="inlineStr">
        <is>
          <t xml:space="preserve">Efetivo</t>
        </is>
      </c>
      <c r="B232" s="145" t="inlineStr">
        <is>
          <t xml:space="preserve">Data</t>
        </is>
      </c>
      <c r="C232" s="145" t="inlineStr">
        <is>
          <t xml:space="preserve">BASF</t>
        </is>
      </c>
      <c r="D232" s="145" t="inlineStr">
        <is>
          <t xml:space="preserve">BEAUTYBIZ</t>
        </is>
      </c>
      <c r="E232" s="145" t="inlineStr">
        <is>
          <t xml:space="preserve">BOTICÁRIO</t>
        </is>
      </c>
      <c r="F232" s="145" t="inlineStr">
        <is>
          <t xml:space="preserve">SUPPLY</t>
        </is>
      </c>
      <c r="G232" s="145" t="inlineStr">
        <is>
          <t xml:space="preserve">GE VERNOVA</t>
        </is>
      </c>
      <c r="H232" s="145" t="inlineStr">
        <is>
          <t xml:space="preserve">VESTAS</t>
        </is>
      </c>
      <c r="I232" s="145" t="inlineStr">
        <is>
          <t xml:space="preserve">VEDACIT</t>
        </is>
      </c>
      <c r="J232" s="145" t="inlineStr">
        <is>
          <t xml:space="preserve">OMNLIFE</t>
        </is>
      </c>
      <c r="K232" s="145" t="inlineStr">
        <is>
          <t xml:space="preserve">ALPARGATAS</t>
        </is>
      </c>
    </row>
    <row r="233">
      <c r="A233">
        <v>1</v>
      </c>
      <c r="B233" s="152">
        <f>$B$12</f>
        <v>46266</v>
      </c>
      <c r="C233" t="str">
        <f>IF($A233&gt;$B$9,"",IF(COUNTIFS(Base!$B$3:$B$5001,C$232,Base!$A$3:$A$5001,"&gt;="&amp;$C$7,Base!$A$3:$A$5001,"&lt;="&amp;$B233,Base!$Z$3:$Z$5001,"&lt;&gt;")=0,"",SUMIFS(Base!$Z$3:$Z$5001,Base!$B$3:$B$5001,C$232,Base!$A$3:$A$5001,_xlfn.MAXIFS(Base!$A$3:$A$5001,Base!$B$3:$B$5001,C$232,Base!$A$3:$A$5001,"&gt;="&amp;$C$7,Base!$A$3:$A$5001,"&lt;="&amp;$B233,Base!$Z$3:$Z$5001,"&lt;&gt;"))))</f>
        <v/>
      </c>
      <c r="D233" t="str">
        <f>IF($A233&gt;$B$9,"",IF(COUNTIFS(Base!$B$3:$B$5001,D$232,Base!$A$3:$A$5001,"&gt;="&amp;$C$7,Base!$A$3:$A$5001,"&lt;="&amp;$B233,Base!$Z$3:$Z$5001,"&lt;&gt;")=0,"",SUMIFS(Base!$Z$3:$Z$5001,Base!$B$3:$B$5001,D$232,Base!$A$3:$A$5001,_xlfn.MAXIFS(Base!$A$3:$A$5001,Base!$B$3:$B$5001,D$232,Base!$A$3:$A$5001,"&gt;="&amp;$C$7,Base!$A$3:$A$5001,"&lt;="&amp;$B233,Base!$Z$3:$Z$5001,"&lt;&gt;"))))</f>
        <v/>
      </c>
      <c r="E233" t="str">
        <f>IF($A233&gt;$B$9,"",IF(COUNTIFS(Base!$B$3:$B$5001,E$232,Base!$A$3:$A$5001,"&gt;="&amp;$C$7,Base!$A$3:$A$5001,"&lt;="&amp;$B233,Base!$Z$3:$Z$5001,"&lt;&gt;")=0,"",SUMIFS(Base!$Z$3:$Z$5001,Base!$B$3:$B$5001,E$232,Base!$A$3:$A$5001,_xlfn.MAXIFS(Base!$A$3:$A$5001,Base!$B$3:$B$5001,E$232,Base!$A$3:$A$5001,"&gt;="&amp;$C$7,Base!$A$3:$A$5001,"&lt;="&amp;$B233,Base!$Z$3:$Z$5001,"&lt;&gt;"))))</f>
        <v/>
      </c>
      <c r="F233" t="str">
        <f>IF($A233&gt;$B$9,"",IF(COUNTIFS(Base!$B$3:$B$5001,F$232,Base!$A$3:$A$5001,"&gt;="&amp;$C$7,Base!$A$3:$A$5001,"&lt;="&amp;$B233,Base!$Z$3:$Z$5001,"&lt;&gt;")=0,"",SUMIFS(Base!$Z$3:$Z$5001,Base!$B$3:$B$5001,F$232,Base!$A$3:$A$5001,_xlfn.MAXIFS(Base!$A$3:$A$5001,Base!$B$3:$B$5001,F$232,Base!$A$3:$A$5001,"&gt;="&amp;$C$7,Base!$A$3:$A$5001,"&lt;="&amp;$B233,Base!$Z$3:$Z$5001,"&lt;&gt;"))))</f>
        <v/>
      </c>
      <c r="G233" t="str">
        <f>IF($A233&gt;$B$9,"",IF(COUNTIFS(Base!$B$3:$B$5001,G$232,Base!$A$3:$A$5001,"&gt;="&amp;$C$7,Base!$A$3:$A$5001,"&lt;="&amp;$B233,Base!$Z$3:$Z$5001,"&lt;&gt;")=0,"",SUMIFS(Base!$Z$3:$Z$5001,Base!$B$3:$B$5001,G$232,Base!$A$3:$A$5001,_xlfn.MAXIFS(Base!$A$3:$A$5001,Base!$B$3:$B$5001,G$232,Base!$A$3:$A$5001,"&gt;="&amp;$C$7,Base!$A$3:$A$5001,"&lt;="&amp;$B233,Base!$Z$3:$Z$5001,"&lt;&gt;"))))</f>
        <v/>
      </c>
      <c r="H233" t="str">
        <f>IF($A233&gt;$B$9,"",IF(COUNTIFS(Base!$B$3:$B$5001,H$232,Base!$A$3:$A$5001,"&gt;="&amp;$C$7,Base!$A$3:$A$5001,"&lt;="&amp;$B233,Base!$Z$3:$Z$5001,"&lt;&gt;")=0,"",SUMIFS(Base!$Z$3:$Z$5001,Base!$B$3:$B$5001,H$232,Base!$A$3:$A$5001,_xlfn.MAXIFS(Base!$A$3:$A$5001,Base!$B$3:$B$5001,H$232,Base!$A$3:$A$5001,"&gt;="&amp;$C$7,Base!$A$3:$A$5001,"&lt;="&amp;$B233,Base!$Z$3:$Z$5001,"&lt;&gt;"))))</f>
        <v/>
      </c>
      <c r="I233" t="str">
        <f>IF($A233&gt;$B$9,"",IF(COUNTIFS(Base!$B$3:$B$5001,I$232,Base!$A$3:$A$5001,"&gt;="&amp;$C$7,Base!$A$3:$A$5001,"&lt;="&amp;$B233,Base!$Z$3:$Z$5001,"&lt;&gt;")=0,"",SUMIFS(Base!$Z$3:$Z$5001,Base!$B$3:$B$5001,I$232,Base!$A$3:$A$5001,_xlfn.MAXIFS(Base!$A$3:$A$5001,Base!$B$3:$B$5001,I$232,Base!$A$3:$A$5001,"&gt;="&amp;$C$7,Base!$A$3:$A$5001,"&lt;="&amp;$B233,Base!$Z$3:$Z$5001,"&lt;&gt;"))))</f>
        <v/>
      </c>
      <c r="J233" t="str">
        <f>IF($A233&gt;$B$9,"",IF(COUNTIFS(Base!$B$3:$B$5001,J$232,Base!$A$3:$A$5001,"&gt;="&amp;$C$7,Base!$A$3:$A$5001,"&lt;="&amp;$B233,Base!$Z$3:$Z$5001,"&lt;&gt;")=0,"",SUMIFS(Base!$Z$3:$Z$5001,Base!$B$3:$B$5001,J$232,Base!$A$3:$A$5001,_xlfn.MAXIFS(Base!$A$3:$A$5001,Base!$B$3:$B$5001,J$232,Base!$A$3:$A$5001,"&gt;="&amp;$C$7,Base!$A$3:$A$5001,"&lt;="&amp;$B233,Base!$Z$3:$Z$5001,"&lt;&gt;"))))</f>
        <v/>
      </c>
      <c r="K233" t="str">
        <f>IF($A233&gt;$B$9,"",IF(COUNTIFS(Base!$B$3:$B$5001,K$232,Base!$A$3:$A$5001,"&gt;="&amp;$C$7,Base!$A$3:$A$5001,"&lt;="&amp;$B233,Base!$Z$3:$Z$5001,"&lt;&gt;")=0,"",SUMIFS(Base!$Z$3:$Z$5001,Base!$B$3:$B$5001,K$232,Base!$A$3:$A$5001,_xlfn.MAXIFS(Base!$A$3:$A$5001,Base!$B$3:$B$5001,K$232,Base!$A$3:$A$5001,"&gt;="&amp;$C$7,Base!$A$3:$A$5001,"&lt;="&amp;$B233,Base!$Z$3:$Z$5001,"&lt;&gt;"))))</f>
        <v/>
      </c>
    </row>
    <row r="234">
      <c r="A234">
        <v>2</v>
      </c>
      <c r="B234" s="152">
        <f>$B$13</f>
        <v>46267</v>
      </c>
      <c r="C234" t="str">
        <f>IF($A234&gt;$B$9,"",IF(COUNTIFS(Base!$B$3:$B$5001,C$232,Base!$A$3:$A$5001,"&gt;="&amp;$C$7,Base!$A$3:$A$5001,"&lt;="&amp;$B234,Base!$Z$3:$Z$5001,"&lt;&gt;")=0,"",SUMIFS(Base!$Z$3:$Z$5001,Base!$B$3:$B$5001,C$232,Base!$A$3:$A$5001,_xlfn.MAXIFS(Base!$A$3:$A$5001,Base!$B$3:$B$5001,C$232,Base!$A$3:$A$5001,"&gt;="&amp;$C$7,Base!$A$3:$A$5001,"&lt;="&amp;$B234,Base!$Z$3:$Z$5001,"&lt;&gt;"))))</f>
        <v/>
      </c>
      <c r="D234" t="str">
        <f>IF($A234&gt;$B$9,"",IF(COUNTIFS(Base!$B$3:$B$5001,D$232,Base!$A$3:$A$5001,"&gt;="&amp;$C$7,Base!$A$3:$A$5001,"&lt;="&amp;$B234,Base!$Z$3:$Z$5001,"&lt;&gt;")=0,"",SUMIFS(Base!$Z$3:$Z$5001,Base!$B$3:$B$5001,D$232,Base!$A$3:$A$5001,_xlfn.MAXIFS(Base!$A$3:$A$5001,Base!$B$3:$B$5001,D$232,Base!$A$3:$A$5001,"&gt;="&amp;$C$7,Base!$A$3:$A$5001,"&lt;="&amp;$B234,Base!$Z$3:$Z$5001,"&lt;&gt;"))))</f>
        <v/>
      </c>
      <c r="E234" t="str">
        <f>IF($A234&gt;$B$9,"",IF(COUNTIFS(Base!$B$3:$B$5001,E$232,Base!$A$3:$A$5001,"&gt;="&amp;$C$7,Base!$A$3:$A$5001,"&lt;="&amp;$B234,Base!$Z$3:$Z$5001,"&lt;&gt;")=0,"",SUMIFS(Base!$Z$3:$Z$5001,Base!$B$3:$B$5001,E$232,Base!$A$3:$A$5001,_xlfn.MAXIFS(Base!$A$3:$A$5001,Base!$B$3:$B$5001,E$232,Base!$A$3:$A$5001,"&gt;="&amp;$C$7,Base!$A$3:$A$5001,"&lt;="&amp;$B234,Base!$Z$3:$Z$5001,"&lt;&gt;"))))</f>
        <v/>
      </c>
      <c r="F234" t="str">
        <f>IF($A234&gt;$B$9,"",IF(COUNTIFS(Base!$B$3:$B$5001,F$232,Base!$A$3:$A$5001,"&gt;="&amp;$C$7,Base!$A$3:$A$5001,"&lt;="&amp;$B234,Base!$Z$3:$Z$5001,"&lt;&gt;")=0,"",SUMIFS(Base!$Z$3:$Z$5001,Base!$B$3:$B$5001,F$232,Base!$A$3:$A$5001,_xlfn.MAXIFS(Base!$A$3:$A$5001,Base!$B$3:$B$5001,F$232,Base!$A$3:$A$5001,"&gt;="&amp;$C$7,Base!$A$3:$A$5001,"&lt;="&amp;$B234,Base!$Z$3:$Z$5001,"&lt;&gt;"))))</f>
        <v/>
      </c>
      <c r="G234" t="str">
        <f>IF($A234&gt;$B$9,"",IF(COUNTIFS(Base!$B$3:$B$5001,G$232,Base!$A$3:$A$5001,"&gt;="&amp;$C$7,Base!$A$3:$A$5001,"&lt;="&amp;$B234,Base!$Z$3:$Z$5001,"&lt;&gt;")=0,"",SUMIFS(Base!$Z$3:$Z$5001,Base!$B$3:$B$5001,G$232,Base!$A$3:$A$5001,_xlfn.MAXIFS(Base!$A$3:$A$5001,Base!$B$3:$B$5001,G$232,Base!$A$3:$A$5001,"&gt;="&amp;$C$7,Base!$A$3:$A$5001,"&lt;="&amp;$B234,Base!$Z$3:$Z$5001,"&lt;&gt;"))))</f>
        <v/>
      </c>
      <c r="H234" t="str">
        <f>IF($A234&gt;$B$9,"",IF(COUNTIFS(Base!$B$3:$B$5001,H$232,Base!$A$3:$A$5001,"&gt;="&amp;$C$7,Base!$A$3:$A$5001,"&lt;="&amp;$B234,Base!$Z$3:$Z$5001,"&lt;&gt;")=0,"",SUMIFS(Base!$Z$3:$Z$5001,Base!$B$3:$B$5001,H$232,Base!$A$3:$A$5001,_xlfn.MAXIFS(Base!$A$3:$A$5001,Base!$B$3:$B$5001,H$232,Base!$A$3:$A$5001,"&gt;="&amp;$C$7,Base!$A$3:$A$5001,"&lt;="&amp;$B234,Base!$Z$3:$Z$5001,"&lt;&gt;"))))</f>
        <v/>
      </c>
      <c r="I234" t="str">
        <f>IF($A234&gt;$B$9,"",IF(COUNTIFS(Base!$B$3:$B$5001,I$232,Base!$A$3:$A$5001,"&gt;="&amp;$C$7,Base!$A$3:$A$5001,"&lt;="&amp;$B234,Base!$Z$3:$Z$5001,"&lt;&gt;")=0,"",SUMIFS(Base!$Z$3:$Z$5001,Base!$B$3:$B$5001,I$232,Base!$A$3:$A$5001,_xlfn.MAXIFS(Base!$A$3:$A$5001,Base!$B$3:$B$5001,I$232,Base!$A$3:$A$5001,"&gt;="&amp;$C$7,Base!$A$3:$A$5001,"&lt;="&amp;$B234,Base!$Z$3:$Z$5001,"&lt;&gt;"))))</f>
        <v/>
      </c>
      <c r="J234" t="str">
        <f>IF($A234&gt;$B$9,"",IF(COUNTIFS(Base!$B$3:$B$5001,J$232,Base!$A$3:$A$5001,"&gt;="&amp;$C$7,Base!$A$3:$A$5001,"&lt;="&amp;$B234,Base!$Z$3:$Z$5001,"&lt;&gt;")=0,"",SUMIFS(Base!$Z$3:$Z$5001,Base!$B$3:$B$5001,J$232,Base!$A$3:$A$5001,_xlfn.MAXIFS(Base!$A$3:$A$5001,Base!$B$3:$B$5001,J$232,Base!$A$3:$A$5001,"&gt;="&amp;$C$7,Base!$A$3:$A$5001,"&lt;="&amp;$B234,Base!$Z$3:$Z$5001,"&lt;&gt;"))))</f>
        <v/>
      </c>
      <c r="K234" t="str">
        <f>IF($A234&gt;$B$9,"",IF(COUNTIFS(Base!$B$3:$B$5001,K$232,Base!$A$3:$A$5001,"&gt;="&amp;$C$7,Base!$A$3:$A$5001,"&lt;="&amp;$B234,Base!$Z$3:$Z$5001,"&lt;&gt;")=0,"",SUMIFS(Base!$Z$3:$Z$5001,Base!$B$3:$B$5001,K$232,Base!$A$3:$A$5001,_xlfn.MAXIFS(Base!$A$3:$A$5001,Base!$B$3:$B$5001,K$232,Base!$A$3:$A$5001,"&gt;="&amp;$C$7,Base!$A$3:$A$5001,"&lt;="&amp;$B234,Base!$Z$3:$Z$5001,"&lt;&gt;"))))</f>
        <v/>
      </c>
    </row>
    <row r="235">
      <c r="A235">
        <v>3</v>
      </c>
      <c r="B235" s="152">
        <f>$B$14</f>
        <v>46268</v>
      </c>
      <c r="C235" t="str">
        <f>IF($A235&gt;$B$9,"",IF(COUNTIFS(Base!$B$3:$B$5001,C$232,Base!$A$3:$A$5001,"&gt;="&amp;$C$7,Base!$A$3:$A$5001,"&lt;="&amp;$B235,Base!$Z$3:$Z$5001,"&lt;&gt;")=0,"",SUMIFS(Base!$Z$3:$Z$5001,Base!$B$3:$B$5001,C$232,Base!$A$3:$A$5001,_xlfn.MAXIFS(Base!$A$3:$A$5001,Base!$B$3:$B$5001,C$232,Base!$A$3:$A$5001,"&gt;="&amp;$C$7,Base!$A$3:$A$5001,"&lt;="&amp;$B235,Base!$Z$3:$Z$5001,"&lt;&gt;"))))</f>
        <v/>
      </c>
      <c r="D235" t="str">
        <f>IF($A235&gt;$B$9,"",IF(COUNTIFS(Base!$B$3:$B$5001,D$232,Base!$A$3:$A$5001,"&gt;="&amp;$C$7,Base!$A$3:$A$5001,"&lt;="&amp;$B235,Base!$Z$3:$Z$5001,"&lt;&gt;")=0,"",SUMIFS(Base!$Z$3:$Z$5001,Base!$B$3:$B$5001,D$232,Base!$A$3:$A$5001,_xlfn.MAXIFS(Base!$A$3:$A$5001,Base!$B$3:$B$5001,D$232,Base!$A$3:$A$5001,"&gt;="&amp;$C$7,Base!$A$3:$A$5001,"&lt;="&amp;$B235,Base!$Z$3:$Z$5001,"&lt;&gt;"))))</f>
        <v/>
      </c>
      <c r="E235" t="str">
        <f>IF($A235&gt;$B$9,"",IF(COUNTIFS(Base!$B$3:$B$5001,E$232,Base!$A$3:$A$5001,"&gt;="&amp;$C$7,Base!$A$3:$A$5001,"&lt;="&amp;$B235,Base!$Z$3:$Z$5001,"&lt;&gt;")=0,"",SUMIFS(Base!$Z$3:$Z$5001,Base!$B$3:$B$5001,E$232,Base!$A$3:$A$5001,_xlfn.MAXIFS(Base!$A$3:$A$5001,Base!$B$3:$B$5001,E$232,Base!$A$3:$A$5001,"&gt;="&amp;$C$7,Base!$A$3:$A$5001,"&lt;="&amp;$B235,Base!$Z$3:$Z$5001,"&lt;&gt;"))))</f>
        <v/>
      </c>
      <c r="F235" t="str">
        <f>IF($A235&gt;$B$9,"",IF(COUNTIFS(Base!$B$3:$B$5001,F$232,Base!$A$3:$A$5001,"&gt;="&amp;$C$7,Base!$A$3:$A$5001,"&lt;="&amp;$B235,Base!$Z$3:$Z$5001,"&lt;&gt;")=0,"",SUMIFS(Base!$Z$3:$Z$5001,Base!$B$3:$B$5001,F$232,Base!$A$3:$A$5001,_xlfn.MAXIFS(Base!$A$3:$A$5001,Base!$B$3:$B$5001,F$232,Base!$A$3:$A$5001,"&gt;="&amp;$C$7,Base!$A$3:$A$5001,"&lt;="&amp;$B235,Base!$Z$3:$Z$5001,"&lt;&gt;"))))</f>
        <v/>
      </c>
      <c r="G235" t="str">
        <f>IF($A235&gt;$B$9,"",IF(COUNTIFS(Base!$B$3:$B$5001,G$232,Base!$A$3:$A$5001,"&gt;="&amp;$C$7,Base!$A$3:$A$5001,"&lt;="&amp;$B235,Base!$Z$3:$Z$5001,"&lt;&gt;")=0,"",SUMIFS(Base!$Z$3:$Z$5001,Base!$B$3:$B$5001,G$232,Base!$A$3:$A$5001,_xlfn.MAXIFS(Base!$A$3:$A$5001,Base!$B$3:$B$5001,G$232,Base!$A$3:$A$5001,"&gt;="&amp;$C$7,Base!$A$3:$A$5001,"&lt;="&amp;$B235,Base!$Z$3:$Z$5001,"&lt;&gt;"))))</f>
        <v/>
      </c>
      <c r="H235" t="str">
        <f>IF($A235&gt;$B$9,"",IF(COUNTIFS(Base!$B$3:$B$5001,H$232,Base!$A$3:$A$5001,"&gt;="&amp;$C$7,Base!$A$3:$A$5001,"&lt;="&amp;$B235,Base!$Z$3:$Z$5001,"&lt;&gt;")=0,"",SUMIFS(Base!$Z$3:$Z$5001,Base!$B$3:$B$5001,H$232,Base!$A$3:$A$5001,_xlfn.MAXIFS(Base!$A$3:$A$5001,Base!$B$3:$B$5001,H$232,Base!$A$3:$A$5001,"&gt;="&amp;$C$7,Base!$A$3:$A$5001,"&lt;="&amp;$B235,Base!$Z$3:$Z$5001,"&lt;&gt;"))))</f>
        <v/>
      </c>
      <c r="I235" t="str">
        <f>IF($A235&gt;$B$9,"",IF(COUNTIFS(Base!$B$3:$B$5001,I$232,Base!$A$3:$A$5001,"&gt;="&amp;$C$7,Base!$A$3:$A$5001,"&lt;="&amp;$B235,Base!$Z$3:$Z$5001,"&lt;&gt;")=0,"",SUMIFS(Base!$Z$3:$Z$5001,Base!$B$3:$B$5001,I$232,Base!$A$3:$A$5001,_xlfn.MAXIFS(Base!$A$3:$A$5001,Base!$B$3:$B$5001,I$232,Base!$A$3:$A$5001,"&gt;="&amp;$C$7,Base!$A$3:$A$5001,"&lt;="&amp;$B235,Base!$Z$3:$Z$5001,"&lt;&gt;"))))</f>
        <v/>
      </c>
      <c r="J235" t="str">
        <f>IF($A235&gt;$B$9,"",IF(COUNTIFS(Base!$B$3:$B$5001,J$232,Base!$A$3:$A$5001,"&gt;="&amp;$C$7,Base!$A$3:$A$5001,"&lt;="&amp;$B235,Base!$Z$3:$Z$5001,"&lt;&gt;")=0,"",SUMIFS(Base!$Z$3:$Z$5001,Base!$B$3:$B$5001,J$232,Base!$A$3:$A$5001,_xlfn.MAXIFS(Base!$A$3:$A$5001,Base!$B$3:$B$5001,J$232,Base!$A$3:$A$5001,"&gt;="&amp;$C$7,Base!$A$3:$A$5001,"&lt;="&amp;$B235,Base!$Z$3:$Z$5001,"&lt;&gt;"))))</f>
        <v/>
      </c>
      <c r="K235" t="str">
        <f>IF($A235&gt;$B$9,"",IF(COUNTIFS(Base!$B$3:$B$5001,K$232,Base!$A$3:$A$5001,"&gt;="&amp;$C$7,Base!$A$3:$A$5001,"&lt;="&amp;$B235,Base!$Z$3:$Z$5001,"&lt;&gt;")=0,"",SUMIFS(Base!$Z$3:$Z$5001,Base!$B$3:$B$5001,K$232,Base!$A$3:$A$5001,_xlfn.MAXIFS(Base!$A$3:$A$5001,Base!$B$3:$B$5001,K$232,Base!$A$3:$A$5001,"&gt;="&amp;$C$7,Base!$A$3:$A$5001,"&lt;="&amp;$B235,Base!$Z$3:$Z$5001,"&lt;&gt;"))))</f>
        <v/>
      </c>
    </row>
    <row r="236">
      <c r="A236">
        <v>4</v>
      </c>
      <c r="B236" s="152">
        <f>$B$15</f>
        <v>46269</v>
      </c>
      <c r="C236" t="str">
        <f>IF($A236&gt;$B$9,"",IF(COUNTIFS(Base!$B$3:$B$5001,C$232,Base!$A$3:$A$5001,"&gt;="&amp;$C$7,Base!$A$3:$A$5001,"&lt;="&amp;$B236,Base!$Z$3:$Z$5001,"&lt;&gt;")=0,"",SUMIFS(Base!$Z$3:$Z$5001,Base!$B$3:$B$5001,C$232,Base!$A$3:$A$5001,_xlfn.MAXIFS(Base!$A$3:$A$5001,Base!$B$3:$B$5001,C$232,Base!$A$3:$A$5001,"&gt;="&amp;$C$7,Base!$A$3:$A$5001,"&lt;="&amp;$B236,Base!$Z$3:$Z$5001,"&lt;&gt;"))))</f>
        <v/>
      </c>
      <c r="D236" t="str">
        <f>IF($A236&gt;$B$9,"",IF(COUNTIFS(Base!$B$3:$B$5001,D$232,Base!$A$3:$A$5001,"&gt;="&amp;$C$7,Base!$A$3:$A$5001,"&lt;="&amp;$B236,Base!$Z$3:$Z$5001,"&lt;&gt;")=0,"",SUMIFS(Base!$Z$3:$Z$5001,Base!$B$3:$B$5001,D$232,Base!$A$3:$A$5001,_xlfn.MAXIFS(Base!$A$3:$A$5001,Base!$B$3:$B$5001,D$232,Base!$A$3:$A$5001,"&gt;="&amp;$C$7,Base!$A$3:$A$5001,"&lt;="&amp;$B236,Base!$Z$3:$Z$5001,"&lt;&gt;"))))</f>
        <v/>
      </c>
      <c r="E236" t="str">
        <f>IF($A236&gt;$B$9,"",IF(COUNTIFS(Base!$B$3:$B$5001,E$232,Base!$A$3:$A$5001,"&gt;="&amp;$C$7,Base!$A$3:$A$5001,"&lt;="&amp;$B236,Base!$Z$3:$Z$5001,"&lt;&gt;")=0,"",SUMIFS(Base!$Z$3:$Z$5001,Base!$B$3:$B$5001,E$232,Base!$A$3:$A$5001,_xlfn.MAXIFS(Base!$A$3:$A$5001,Base!$B$3:$B$5001,E$232,Base!$A$3:$A$5001,"&gt;="&amp;$C$7,Base!$A$3:$A$5001,"&lt;="&amp;$B236,Base!$Z$3:$Z$5001,"&lt;&gt;"))))</f>
        <v/>
      </c>
      <c r="F236" t="str">
        <f>IF($A236&gt;$B$9,"",IF(COUNTIFS(Base!$B$3:$B$5001,F$232,Base!$A$3:$A$5001,"&gt;="&amp;$C$7,Base!$A$3:$A$5001,"&lt;="&amp;$B236,Base!$Z$3:$Z$5001,"&lt;&gt;")=0,"",SUMIFS(Base!$Z$3:$Z$5001,Base!$B$3:$B$5001,F$232,Base!$A$3:$A$5001,_xlfn.MAXIFS(Base!$A$3:$A$5001,Base!$B$3:$B$5001,F$232,Base!$A$3:$A$5001,"&gt;="&amp;$C$7,Base!$A$3:$A$5001,"&lt;="&amp;$B236,Base!$Z$3:$Z$5001,"&lt;&gt;"))))</f>
        <v/>
      </c>
      <c r="G236" t="str">
        <f>IF($A236&gt;$B$9,"",IF(COUNTIFS(Base!$B$3:$B$5001,G$232,Base!$A$3:$A$5001,"&gt;="&amp;$C$7,Base!$A$3:$A$5001,"&lt;="&amp;$B236,Base!$Z$3:$Z$5001,"&lt;&gt;")=0,"",SUMIFS(Base!$Z$3:$Z$5001,Base!$B$3:$B$5001,G$232,Base!$A$3:$A$5001,_xlfn.MAXIFS(Base!$A$3:$A$5001,Base!$B$3:$B$5001,G$232,Base!$A$3:$A$5001,"&gt;="&amp;$C$7,Base!$A$3:$A$5001,"&lt;="&amp;$B236,Base!$Z$3:$Z$5001,"&lt;&gt;"))))</f>
        <v/>
      </c>
      <c r="H236" t="str">
        <f>IF($A236&gt;$B$9,"",IF(COUNTIFS(Base!$B$3:$B$5001,H$232,Base!$A$3:$A$5001,"&gt;="&amp;$C$7,Base!$A$3:$A$5001,"&lt;="&amp;$B236,Base!$Z$3:$Z$5001,"&lt;&gt;")=0,"",SUMIFS(Base!$Z$3:$Z$5001,Base!$B$3:$B$5001,H$232,Base!$A$3:$A$5001,_xlfn.MAXIFS(Base!$A$3:$A$5001,Base!$B$3:$B$5001,H$232,Base!$A$3:$A$5001,"&gt;="&amp;$C$7,Base!$A$3:$A$5001,"&lt;="&amp;$B236,Base!$Z$3:$Z$5001,"&lt;&gt;"))))</f>
        <v/>
      </c>
      <c r="I236" t="str">
        <f>IF($A236&gt;$B$9,"",IF(COUNTIFS(Base!$B$3:$B$5001,I$232,Base!$A$3:$A$5001,"&gt;="&amp;$C$7,Base!$A$3:$A$5001,"&lt;="&amp;$B236,Base!$Z$3:$Z$5001,"&lt;&gt;")=0,"",SUMIFS(Base!$Z$3:$Z$5001,Base!$B$3:$B$5001,I$232,Base!$A$3:$A$5001,_xlfn.MAXIFS(Base!$A$3:$A$5001,Base!$B$3:$B$5001,I$232,Base!$A$3:$A$5001,"&gt;="&amp;$C$7,Base!$A$3:$A$5001,"&lt;="&amp;$B236,Base!$Z$3:$Z$5001,"&lt;&gt;"))))</f>
        <v/>
      </c>
      <c r="J236" t="str">
        <f>IF($A236&gt;$B$9,"",IF(COUNTIFS(Base!$B$3:$B$5001,J$232,Base!$A$3:$A$5001,"&gt;="&amp;$C$7,Base!$A$3:$A$5001,"&lt;="&amp;$B236,Base!$Z$3:$Z$5001,"&lt;&gt;")=0,"",SUMIFS(Base!$Z$3:$Z$5001,Base!$B$3:$B$5001,J$232,Base!$A$3:$A$5001,_xlfn.MAXIFS(Base!$A$3:$A$5001,Base!$B$3:$B$5001,J$232,Base!$A$3:$A$5001,"&gt;="&amp;$C$7,Base!$A$3:$A$5001,"&lt;="&amp;$B236,Base!$Z$3:$Z$5001,"&lt;&gt;"))))</f>
        <v/>
      </c>
      <c r="K236" t="str">
        <f>IF($A236&gt;$B$9,"",IF(COUNTIFS(Base!$B$3:$B$5001,K$232,Base!$A$3:$A$5001,"&gt;="&amp;$C$7,Base!$A$3:$A$5001,"&lt;="&amp;$B236,Base!$Z$3:$Z$5001,"&lt;&gt;")=0,"",SUMIFS(Base!$Z$3:$Z$5001,Base!$B$3:$B$5001,K$232,Base!$A$3:$A$5001,_xlfn.MAXIFS(Base!$A$3:$A$5001,Base!$B$3:$B$5001,K$232,Base!$A$3:$A$5001,"&gt;="&amp;$C$7,Base!$A$3:$A$5001,"&lt;="&amp;$B236,Base!$Z$3:$Z$5001,"&lt;&gt;"))))</f>
        <v/>
      </c>
    </row>
    <row r="237">
      <c r="A237">
        <v>5</v>
      </c>
      <c r="B237" s="152">
        <f>$B$16</f>
        <v>46270</v>
      </c>
      <c r="C237" t="str">
        <f>IF($A237&gt;$B$9,"",IF(COUNTIFS(Base!$B$3:$B$5001,C$232,Base!$A$3:$A$5001,"&gt;="&amp;$C$7,Base!$A$3:$A$5001,"&lt;="&amp;$B237,Base!$Z$3:$Z$5001,"&lt;&gt;")=0,"",SUMIFS(Base!$Z$3:$Z$5001,Base!$B$3:$B$5001,C$232,Base!$A$3:$A$5001,_xlfn.MAXIFS(Base!$A$3:$A$5001,Base!$B$3:$B$5001,C$232,Base!$A$3:$A$5001,"&gt;="&amp;$C$7,Base!$A$3:$A$5001,"&lt;="&amp;$B237,Base!$Z$3:$Z$5001,"&lt;&gt;"))))</f>
        <v/>
      </c>
      <c r="D237" t="str">
        <f>IF($A237&gt;$B$9,"",IF(COUNTIFS(Base!$B$3:$B$5001,D$232,Base!$A$3:$A$5001,"&gt;="&amp;$C$7,Base!$A$3:$A$5001,"&lt;="&amp;$B237,Base!$Z$3:$Z$5001,"&lt;&gt;")=0,"",SUMIFS(Base!$Z$3:$Z$5001,Base!$B$3:$B$5001,D$232,Base!$A$3:$A$5001,_xlfn.MAXIFS(Base!$A$3:$A$5001,Base!$B$3:$B$5001,D$232,Base!$A$3:$A$5001,"&gt;="&amp;$C$7,Base!$A$3:$A$5001,"&lt;="&amp;$B237,Base!$Z$3:$Z$5001,"&lt;&gt;"))))</f>
        <v/>
      </c>
      <c r="E237" t="str">
        <f>IF($A237&gt;$B$9,"",IF(COUNTIFS(Base!$B$3:$B$5001,E$232,Base!$A$3:$A$5001,"&gt;="&amp;$C$7,Base!$A$3:$A$5001,"&lt;="&amp;$B237,Base!$Z$3:$Z$5001,"&lt;&gt;")=0,"",SUMIFS(Base!$Z$3:$Z$5001,Base!$B$3:$B$5001,E$232,Base!$A$3:$A$5001,_xlfn.MAXIFS(Base!$A$3:$A$5001,Base!$B$3:$B$5001,E$232,Base!$A$3:$A$5001,"&gt;="&amp;$C$7,Base!$A$3:$A$5001,"&lt;="&amp;$B237,Base!$Z$3:$Z$5001,"&lt;&gt;"))))</f>
        <v/>
      </c>
      <c r="F237" t="str">
        <f>IF($A237&gt;$B$9,"",IF(COUNTIFS(Base!$B$3:$B$5001,F$232,Base!$A$3:$A$5001,"&gt;="&amp;$C$7,Base!$A$3:$A$5001,"&lt;="&amp;$B237,Base!$Z$3:$Z$5001,"&lt;&gt;")=0,"",SUMIFS(Base!$Z$3:$Z$5001,Base!$B$3:$B$5001,F$232,Base!$A$3:$A$5001,_xlfn.MAXIFS(Base!$A$3:$A$5001,Base!$B$3:$B$5001,F$232,Base!$A$3:$A$5001,"&gt;="&amp;$C$7,Base!$A$3:$A$5001,"&lt;="&amp;$B237,Base!$Z$3:$Z$5001,"&lt;&gt;"))))</f>
        <v/>
      </c>
      <c r="G237" t="str">
        <f>IF($A237&gt;$B$9,"",IF(COUNTIFS(Base!$B$3:$B$5001,G$232,Base!$A$3:$A$5001,"&gt;="&amp;$C$7,Base!$A$3:$A$5001,"&lt;="&amp;$B237,Base!$Z$3:$Z$5001,"&lt;&gt;")=0,"",SUMIFS(Base!$Z$3:$Z$5001,Base!$B$3:$B$5001,G$232,Base!$A$3:$A$5001,_xlfn.MAXIFS(Base!$A$3:$A$5001,Base!$B$3:$B$5001,G$232,Base!$A$3:$A$5001,"&gt;="&amp;$C$7,Base!$A$3:$A$5001,"&lt;="&amp;$B237,Base!$Z$3:$Z$5001,"&lt;&gt;"))))</f>
        <v/>
      </c>
      <c r="H237" t="str">
        <f>IF($A237&gt;$B$9,"",IF(COUNTIFS(Base!$B$3:$B$5001,H$232,Base!$A$3:$A$5001,"&gt;="&amp;$C$7,Base!$A$3:$A$5001,"&lt;="&amp;$B237,Base!$Z$3:$Z$5001,"&lt;&gt;")=0,"",SUMIFS(Base!$Z$3:$Z$5001,Base!$B$3:$B$5001,H$232,Base!$A$3:$A$5001,_xlfn.MAXIFS(Base!$A$3:$A$5001,Base!$B$3:$B$5001,H$232,Base!$A$3:$A$5001,"&gt;="&amp;$C$7,Base!$A$3:$A$5001,"&lt;="&amp;$B237,Base!$Z$3:$Z$5001,"&lt;&gt;"))))</f>
        <v/>
      </c>
      <c r="I237" t="str">
        <f>IF($A237&gt;$B$9,"",IF(COUNTIFS(Base!$B$3:$B$5001,I$232,Base!$A$3:$A$5001,"&gt;="&amp;$C$7,Base!$A$3:$A$5001,"&lt;="&amp;$B237,Base!$Z$3:$Z$5001,"&lt;&gt;")=0,"",SUMIFS(Base!$Z$3:$Z$5001,Base!$B$3:$B$5001,I$232,Base!$A$3:$A$5001,_xlfn.MAXIFS(Base!$A$3:$A$5001,Base!$B$3:$B$5001,I$232,Base!$A$3:$A$5001,"&gt;="&amp;$C$7,Base!$A$3:$A$5001,"&lt;="&amp;$B237,Base!$Z$3:$Z$5001,"&lt;&gt;"))))</f>
        <v/>
      </c>
      <c r="J237" t="str">
        <f>IF($A237&gt;$B$9,"",IF(COUNTIFS(Base!$B$3:$B$5001,J$232,Base!$A$3:$A$5001,"&gt;="&amp;$C$7,Base!$A$3:$A$5001,"&lt;="&amp;$B237,Base!$Z$3:$Z$5001,"&lt;&gt;")=0,"",SUMIFS(Base!$Z$3:$Z$5001,Base!$B$3:$B$5001,J$232,Base!$A$3:$A$5001,_xlfn.MAXIFS(Base!$A$3:$A$5001,Base!$B$3:$B$5001,J$232,Base!$A$3:$A$5001,"&gt;="&amp;$C$7,Base!$A$3:$A$5001,"&lt;="&amp;$B237,Base!$Z$3:$Z$5001,"&lt;&gt;"))))</f>
        <v/>
      </c>
      <c r="K237" t="str">
        <f>IF($A237&gt;$B$9,"",IF(COUNTIFS(Base!$B$3:$B$5001,K$232,Base!$A$3:$A$5001,"&gt;="&amp;$C$7,Base!$A$3:$A$5001,"&lt;="&amp;$B237,Base!$Z$3:$Z$5001,"&lt;&gt;")=0,"",SUMIFS(Base!$Z$3:$Z$5001,Base!$B$3:$B$5001,K$232,Base!$A$3:$A$5001,_xlfn.MAXIFS(Base!$A$3:$A$5001,Base!$B$3:$B$5001,K$232,Base!$A$3:$A$5001,"&gt;="&amp;$C$7,Base!$A$3:$A$5001,"&lt;="&amp;$B237,Base!$Z$3:$Z$5001,"&lt;&gt;"))))</f>
        <v/>
      </c>
    </row>
    <row r="238">
      <c r="A238">
        <v>6</v>
      </c>
      <c r="B238" s="152">
        <f>$B$17</f>
        <v>46271</v>
      </c>
      <c r="C238" t="str">
        <f>IF($A238&gt;$B$9,"",IF(COUNTIFS(Base!$B$3:$B$5001,C$232,Base!$A$3:$A$5001,"&gt;="&amp;$C$7,Base!$A$3:$A$5001,"&lt;="&amp;$B238,Base!$Z$3:$Z$5001,"&lt;&gt;")=0,"",SUMIFS(Base!$Z$3:$Z$5001,Base!$B$3:$B$5001,C$232,Base!$A$3:$A$5001,_xlfn.MAXIFS(Base!$A$3:$A$5001,Base!$B$3:$B$5001,C$232,Base!$A$3:$A$5001,"&gt;="&amp;$C$7,Base!$A$3:$A$5001,"&lt;="&amp;$B238,Base!$Z$3:$Z$5001,"&lt;&gt;"))))</f>
        <v/>
      </c>
      <c r="D238" t="str">
        <f>IF($A238&gt;$B$9,"",IF(COUNTIFS(Base!$B$3:$B$5001,D$232,Base!$A$3:$A$5001,"&gt;="&amp;$C$7,Base!$A$3:$A$5001,"&lt;="&amp;$B238,Base!$Z$3:$Z$5001,"&lt;&gt;")=0,"",SUMIFS(Base!$Z$3:$Z$5001,Base!$B$3:$B$5001,D$232,Base!$A$3:$A$5001,_xlfn.MAXIFS(Base!$A$3:$A$5001,Base!$B$3:$B$5001,D$232,Base!$A$3:$A$5001,"&gt;="&amp;$C$7,Base!$A$3:$A$5001,"&lt;="&amp;$B238,Base!$Z$3:$Z$5001,"&lt;&gt;"))))</f>
        <v/>
      </c>
      <c r="E238" t="str">
        <f>IF($A238&gt;$B$9,"",IF(COUNTIFS(Base!$B$3:$B$5001,E$232,Base!$A$3:$A$5001,"&gt;="&amp;$C$7,Base!$A$3:$A$5001,"&lt;="&amp;$B238,Base!$Z$3:$Z$5001,"&lt;&gt;")=0,"",SUMIFS(Base!$Z$3:$Z$5001,Base!$B$3:$B$5001,E$232,Base!$A$3:$A$5001,_xlfn.MAXIFS(Base!$A$3:$A$5001,Base!$B$3:$B$5001,E$232,Base!$A$3:$A$5001,"&gt;="&amp;$C$7,Base!$A$3:$A$5001,"&lt;="&amp;$B238,Base!$Z$3:$Z$5001,"&lt;&gt;"))))</f>
        <v/>
      </c>
      <c r="F238" t="str">
        <f>IF($A238&gt;$B$9,"",IF(COUNTIFS(Base!$B$3:$B$5001,F$232,Base!$A$3:$A$5001,"&gt;="&amp;$C$7,Base!$A$3:$A$5001,"&lt;="&amp;$B238,Base!$Z$3:$Z$5001,"&lt;&gt;")=0,"",SUMIFS(Base!$Z$3:$Z$5001,Base!$B$3:$B$5001,F$232,Base!$A$3:$A$5001,_xlfn.MAXIFS(Base!$A$3:$A$5001,Base!$B$3:$B$5001,F$232,Base!$A$3:$A$5001,"&gt;="&amp;$C$7,Base!$A$3:$A$5001,"&lt;="&amp;$B238,Base!$Z$3:$Z$5001,"&lt;&gt;"))))</f>
        <v/>
      </c>
      <c r="G238" t="str">
        <f>IF($A238&gt;$B$9,"",IF(COUNTIFS(Base!$B$3:$B$5001,G$232,Base!$A$3:$A$5001,"&gt;="&amp;$C$7,Base!$A$3:$A$5001,"&lt;="&amp;$B238,Base!$Z$3:$Z$5001,"&lt;&gt;")=0,"",SUMIFS(Base!$Z$3:$Z$5001,Base!$B$3:$B$5001,G$232,Base!$A$3:$A$5001,_xlfn.MAXIFS(Base!$A$3:$A$5001,Base!$B$3:$B$5001,G$232,Base!$A$3:$A$5001,"&gt;="&amp;$C$7,Base!$A$3:$A$5001,"&lt;="&amp;$B238,Base!$Z$3:$Z$5001,"&lt;&gt;"))))</f>
        <v/>
      </c>
      <c r="H238" t="str">
        <f>IF($A238&gt;$B$9,"",IF(COUNTIFS(Base!$B$3:$B$5001,H$232,Base!$A$3:$A$5001,"&gt;="&amp;$C$7,Base!$A$3:$A$5001,"&lt;="&amp;$B238,Base!$Z$3:$Z$5001,"&lt;&gt;")=0,"",SUMIFS(Base!$Z$3:$Z$5001,Base!$B$3:$B$5001,H$232,Base!$A$3:$A$5001,_xlfn.MAXIFS(Base!$A$3:$A$5001,Base!$B$3:$B$5001,H$232,Base!$A$3:$A$5001,"&gt;="&amp;$C$7,Base!$A$3:$A$5001,"&lt;="&amp;$B238,Base!$Z$3:$Z$5001,"&lt;&gt;"))))</f>
        <v/>
      </c>
      <c r="I238" t="str">
        <f>IF($A238&gt;$B$9,"",IF(COUNTIFS(Base!$B$3:$B$5001,I$232,Base!$A$3:$A$5001,"&gt;="&amp;$C$7,Base!$A$3:$A$5001,"&lt;="&amp;$B238,Base!$Z$3:$Z$5001,"&lt;&gt;")=0,"",SUMIFS(Base!$Z$3:$Z$5001,Base!$B$3:$B$5001,I$232,Base!$A$3:$A$5001,_xlfn.MAXIFS(Base!$A$3:$A$5001,Base!$B$3:$B$5001,I$232,Base!$A$3:$A$5001,"&gt;="&amp;$C$7,Base!$A$3:$A$5001,"&lt;="&amp;$B238,Base!$Z$3:$Z$5001,"&lt;&gt;"))))</f>
        <v/>
      </c>
      <c r="J238" t="str">
        <f>IF($A238&gt;$B$9,"",IF(COUNTIFS(Base!$B$3:$B$5001,J$232,Base!$A$3:$A$5001,"&gt;="&amp;$C$7,Base!$A$3:$A$5001,"&lt;="&amp;$B238,Base!$Z$3:$Z$5001,"&lt;&gt;")=0,"",SUMIFS(Base!$Z$3:$Z$5001,Base!$B$3:$B$5001,J$232,Base!$A$3:$A$5001,_xlfn.MAXIFS(Base!$A$3:$A$5001,Base!$B$3:$B$5001,J$232,Base!$A$3:$A$5001,"&gt;="&amp;$C$7,Base!$A$3:$A$5001,"&lt;="&amp;$B238,Base!$Z$3:$Z$5001,"&lt;&gt;"))))</f>
        <v/>
      </c>
      <c r="K238" t="str">
        <f>IF($A238&gt;$B$9,"",IF(COUNTIFS(Base!$B$3:$B$5001,K$232,Base!$A$3:$A$5001,"&gt;="&amp;$C$7,Base!$A$3:$A$5001,"&lt;="&amp;$B238,Base!$Z$3:$Z$5001,"&lt;&gt;")=0,"",SUMIFS(Base!$Z$3:$Z$5001,Base!$B$3:$B$5001,K$232,Base!$A$3:$A$5001,_xlfn.MAXIFS(Base!$A$3:$A$5001,Base!$B$3:$B$5001,K$232,Base!$A$3:$A$5001,"&gt;="&amp;$C$7,Base!$A$3:$A$5001,"&lt;="&amp;$B238,Base!$Z$3:$Z$5001,"&lt;&gt;"))))</f>
        <v/>
      </c>
    </row>
    <row r="239">
      <c r="A239">
        <v>7</v>
      </c>
      <c r="B239" s="152">
        <f>$B$18</f>
        <v>46272</v>
      </c>
      <c r="C239" t="str">
        <f>IF($A239&gt;$B$9,"",IF(COUNTIFS(Base!$B$3:$B$5001,C$232,Base!$A$3:$A$5001,"&gt;="&amp;$C$7,Base!$A$3:$A$5001,"&lt;="&amp;$B239,Base!$Z$3:$Z$5001,"&lt;&gt;")=0,"",SUMIFS(Base!$Z$3:$Z$5001,Base!$B$3:$B$5001,C$232,Base!$A$3:$A$5001,_xlfn.MAXIFS(Base!$A$3:$A$5001,Base!$B$3:$B$5001,C$232,Base!$A$3:$A$5001,"&gt;="&amp;$C$7,Base!$A$3:$A$5001,"&lt;="&amp;$B239,Base!$Z$3:$Z$5001,"&lt;&gt;"))))</f>
        <v/>
      </c>
      <c r="D239" t="str">
        <f>IF($A239&gt;$B$9,"",IF(COUNTIFS(Base!$B$3:$B$5001,D$232,Base!$A$3:$A$5001,"&gt;="&amp;$C$7,Base!$A$3:$A$5001,"&lt;="&amp;$B239,Base!$Z$3:$Z$5001,"&lt;&gt;")=0,"",SUMIFS(Base!$Z$3:$Z$5001,Base!$B$3:$B$5001,D$232,Base!$A$3:$A$5001,_xlfn.MAXIFS(Base!$A$3:$A$5001,Base!$B$3:$B$5001,D$232,Base!$A$3:$A$5001,"&gt;="&amp;$C$7,Base!$A$3:$A$5001,"&lt;="&amp;$B239,Base!$Z$3:$Z$5001,"&lt;&gt;"))))</f>
        <v/>
      </c>
      <c r="E239" t="str">
        <f>IF($A239&gt;$B$9,"",IF(COUNTIFS(Base!$B$3:$B$5001,E$232,Base!$A$3:$A$5001,"&gt;="&amp;$C$7,Base!$A$3:$A$5001,"&lt;="&amp;$B239,Base!$Z$3:$Z$5001,"&lt;&gt;")=0,"",SUMIFS(Base!$Z$3:$Z$5001,Base!$B$3:$B$5001,E$232,Base!$A$3:$A$5001,_xlfn.MAXIFS(Base!$A$3:$A$5001,Base!$B$3:$B$5001,E$232,Base!$A$3:$A$5001,"&gt;="&amp;$C$7,Base!$A$3:$A$5001,"&lt;="&amp;$B239,Base!$Z$3:$Z$5001,"&lt;&gt;"))))</f>
        <v/>
      </c>
      <c r="F239" t="str">
        <f>IF($A239&gt;$B$9,"",IF(COUNTIFS(Base!$B$3:$B$5001,F$232,Base!$A$3:$A$5001,"&gt;="&amp;$C$7,Base!$A$3:$A$5001,"&lt;="&amp;$B239,Base!$Z$3:$Z$5001,"&lt;&gt;")=0,"",SUMIFS(Base!$Z$3:$Z$5001,Base!$B$3:$B$5001,F$232,Base!$A$3:$A$5001,_xlfn.MAXIFS(Base!$A$3:$A$5001,Base!$B$3:$B$5001,F$232,Base!$A$3:$A$5001,"&gt;="&amp;$C$7,Base!$A$3:$A$5001,"&lt;="&amp;$B239,Base!$Z$3:$Z$5001,"&lt;&gt;"))))</f>
        <v/>
      </c>
      <c r="G239" t="str">
        <f>IF($A239&gt;$B$9,"",IF(COUNTIFS(Base!$B$3:$B$5001,G$232,Base!$A$3:$A$5001,"&gt;="&amp;$C$7,Base!$A$3:$A$5001,"&lt;="&amp;$B239,Base!$Z$3:$Z$5001,"&lt;&gt;")=0,"",SUMIFS(Base!$Z$3:$Z$5001,Base!$B$3:$B$5001,G$232,Base!$A$3:$A$5001,_xlfn.MAXIFS(Base!$A$3:$A$5001,Base!$B$3:$B$5001,G$232,Base!$A$3:$A$5001,"&gt;="&amp;$C$7,Base!$A$3:$A$5001,"&lt;="&amp;$B239,Base!$Z$3:$Z$5001,"&lt;&gt;"))))</f>
        <v/>
      </c>
      <c r="H239" t="str">
        <f>IF($A239&gt;$B$9,"",IF(COUNTIFS(Base!$B$3:$B$5001,H$232,Base!$A$3:$A$5001,"&gt;="&amp;$C$7,Base!$A$3:$A$5001,"&lt;="&amp;$B239,Base!$Z$3:$Z$5001,"&lt;&gt;")=0,"",SUMIFS(Base!$Z$3:$Z$5001,Base!$B$3:$B$5001,H$232,Base!$A$3:$A$5001,_xlfn.MAXIFS(Base!$A$3:$A$5001,Base!$B$3:$B$5001,H$232,Base!$A$3:$A$5001,"&gt;="&amp;$C$7,Base!$A$3:$A$5001,"&lt;="&amp;$B239,Base!$Z$3:$Z$5001,"&lt;&gt;"))))</f>
        <v/>
      </c>
      <c r="I239" t="str">
        <f>IF($A239&gt;$B$9,"",IF(COUNTIFS(Base!$B$3:$B$5001,I$232,Base!$A$3:$A$5001,"&gt;="&amp;$C$7,Base!$A$3:$A$5001,"&lt;="&amp;$B239,Base!$Z$3:$Z$5001,"&lt;&gt;")=0,"",SUMIFS(Base!$Z$3:$Z$5001,Base!$B$3:$B$5001,I$232,Base!$A$3:$A$5001,_xlfn.MAXIFS(Base!$A$3:$A$5001,Base!$B$3:$B$5001,I$232,Base!$A$3:$A$5001,"&gt;="&amp;$C$7,Base!$A$3:$A$5001,"&lt;="&amp;$B239,Base!$Z$3:$Z$5001,"&lt;&gt;"))))</f>
        <v/>
      </c>
      <c r="J239" t="str">
        <f>IF($A239&gt;$B$9,"",IF(COUNTIFS(Base!$B$3:$B$5001,J$232,Base!$A$3:$A$5001,"&gt;="&amp;$C$7,Base!$A$3:$A$5001,"&lt;="&amp;$B239,Base!$Z$3:$Z$5001,"&lt;&gt;")=0,"",SUMIFS(Base!$Z$3:$Z$5001,Base!$B$3:$B$5001,J$232,Base!$A$3:$A$5001,_xlfn.MAXIFS(Base!$A$3:$A$5001,Base!$B$3:$B$5001,J$232,Base!$A$3:$A$5001,"&gt;="&amp;$C$7,Base!$A$3:$A$5001,"&lt;="&amp;$B239,Base!$Z$3:$Z$5001,"&lt;&gt;"))))</f>
        <v/>
      </c>
      <c r="K239" t="str">
        <f>IF($A239&gt;$B$9,"",IF(COUNTIFS(Base!$B$3:$B$5001,K$232,Base!$A$3:$A$5001,"&gt;="&amp;$C$7,Base!$A$3:$A$5001,"&lt;="&amp;$B239,Base!$Z$3:$Z$5001,"&lt;&gt;")=0,"",SUMIFS(Base!$Z$3:$Z$5001,Base!$B$3:$B$5001,K$232,Base!$A$3:$A$5001,_xlfn.MAXIFS(Base!$A$3:$A$5001,Base!$B$3:$B$5001,K$232,Base!$A$3:$A$5001,"&gt;="&amp;$C$7,Base!$A$3:$A$5001,"&lt;="&amp;$B239,Base!$Z$3:$Z$5001,"&lt;&gt;"))))</f>
        <v/>
      </c>
    </row>
    <row r="240">
      <c r="A240">
        <v>8</v>
      </c>
      <c r="B240" s="152">
        <f>$B$19</f>
        <v>46273</v>
      </c>
      <c r="C240" t="str">
        <f>IF($A240&gt;$B$9,"",IF(COUNTIFS(Base!$B$3:$B$5001,C$232,Base!$A$3:$A$5001,"&gt;="&amp;$C$7,Base!$A$3:$A$5001,"&lt;="&amp;$B240,Base!$Z$3:$Z$5001,"&lt;&gt;")=0,"",SUMIFS(Base!$Z$3:$Z$5001,Base!$B$3:$B$5001,C$232,Base!$A$3:$A$5001,_xlfn.MAXIFS(Base!$A$3:$A$5001,Base!$B$3:$B$5001,C$232,Base!$A$3:$A$5001,"&gt;="&amp;$C$7,Base!$A$3:$A$5001,"&lt;="&amp;$B240,Base!$Z$3:$Z$5001,"&lt;&gt;"))))</f>
        <v/>
      </c>
      <c r="D240" t="str">
        <f>IF($A240&gt;$B$9,"",IF(COUNTIFS(Base!$B$3:$B$5001,D$232,Base!$A$3:$A$5001,"&gt;="&amp;$C$7,Base!$A$3:$A$5001,"&lt;="&amp;$B240,Base!$Z$3:$Z$5001,"&lt;&gt;")=0,"",SUMIFS(Base!$Z$3:$Z$5001,Base!$B$3:$B$5001,D$232,Base!$A$3:$A$5001,_xlfn.MAXIFS(Base!$A$3:$A$5001,Base!$B$3:$B$5001,D$232,Base!$A$3:$A$5001,"&gt;="&amp;$C$7,Base!$A$3:$A$5001,"&lt;="&amp;$B240,Base!$Z$3:$Z$5001,"&lt;&gt;"))))</f>
        <v/>
      </c>
      <c r="E240" t="str">
        <f>IF($A240&gt;$B$9,"",IF(COUNTIFS(Base!$B$3:$B$5001,E$232,Base!$A$3:$A$5001,"&gt;="&amp;$C$7,Base!$A$3:$A$5001,"&lt;="&amp;$B240,Base!$Z$3:$Z$5001,"&lt;&gt;")=0,"",SUMIFS(Base!$Z$3:$Z$5001,Base!$B$3:$B$5001,E$232,Base!$A$3:$A$5001,_xlfn.MAXIFS(Base!$A$3:$A$5001,Base!$B$3:$B$5001,E$232,Base!$A$3:$A$5001,"&gt;="&amp;$C$7,Base!$A$3:$A$5001,"&lt;="&amp;$B240,Base!$Z$3:$Z$5001,"&lt;&gt;"))))</f>
        <v/>
      </c>
      <c r="F240" t="str">
        <f>IF($A240&gt;$B$9,"",IF(COUNTIFS(Base!$B$3:$B$5001,F$232,Base!$A$3:$A$5001,"&gt;="&amp;$C$7,Base!$A$3:$A$5001,"&lt;="&amp;$B240,Base!$Z$3:$Z$5001,"&lt;&gt;")=0,"",SUMIFS(Base!$Z$3:$Z$5001,Base!$B$3:$B$5001,F$232,Base!$A$3:$A$5001,_xlfn.MAXIFS(Base!$A$3:$A$5001,Base!$B$3:$B$5001,F$232,Base!$A$3:$A$5001,"&gt;="&amp;$C$7,Base!$A$3:$A$5001,"&lt;="&amp;$B240,Base!$Z$3:$Z$5001,"&lt;&gt;"))))</f>
        <v/>
      </c>
      <c r="G240" t="str">
        <f>IF($A240&gt;$B$9,"",IF(COUNTIFS(Base!$B$3:$B$5001,G$232,Base!$A$3:$A$5001,"&gt;="&amp;$C$7,Base!$A$3:$A$5001,"&lt;="&amp;$B240,Base!$Z$3:$Z$5001,"&lt;&gt;")=0,"",SUMIFS(Base!$Z$3:$Z$5001,Base!$B$3:$B$5001,G$232,Base!$A$3:$A$5001,_xlfn.MAXIFS(Base!$A$3:$A$5001,Base!$B$3:$B$5001,G$232,Base!$A$3:$A$5001,"&gt;="&amp;$C$7,Base!$A$3:$A$5001,"&lt;="&amp;$B240,Base!$Z$3:$Z$5001,"&lt;&gt;"))))</f>
        <v/>
      </c>
      <c r="H240" t="str">
        <f>IF($A240&gt;$B$9,"",IF(COUNTIFS(Base!$B$3:$B$5001,H$232,Base!$A$3:$A$5001,"&gt;="&amp;$C$7,Base!$A$3:$A$5001,"&lt;="&amp;$B240,Base!$Z$3:$Z$5001,"&lt;&gt;")=0,"",SUMIFS(Base!$Z$3:$Z$5001,Base!$B$3:$B$5001,H$232,Base!$A$3:$A$5001,_xlfn.MAXIFS(Base!$A$3:$A$5001,Base!$B$3:$B$5001,H$232,Base!$A$3:$A$5001,"&gt;="&amp;$C$7,Base!$A$3:$A$5001,"&lt;="&amp;$B240,Base!$Z$3:$Z$5001,"&lt;&gt;"))))</f>
        <v/>
      </c>
      <c r="I240" t="str">
        <f>IF($A240&gt;$B$9,"",IF(COUNTIFS(Base!$B$3:$B$5001,I$232,Base!$A$3:$A$5001,"&gt;="&amp;$C$7,Base!$A$3:$A$5001,"&lt;="&amp;$B240,Base!$Z$3:$Z$5001,"&lt;&gt;")=0,"",SUMIFS(Base!$Z$3:$Z$5001,Base!$B$3:$B$5001,I$232,Base!$A$3:$A$5001,_xlfn.MAXIFS(Base!$A$3:$A$5001,Base!$B$3:$B$5001,I$232,Base!$A$3:$A$5001,"&gt;="&amp;$C$7,Base!$A$3:$A$5001,"&lt;="&amp;$B240,Base!$Z$3:$Z$5001,"&lt;&gt;"))))</f>
        <v/>
      </c>
      <c r="J240" t="str">
        <f>IF($A240&gt;$B$9,"",IF(COUNTIFS(Base!$B$3:$B$5001,J$232,Base!$A$3:$A$5001,"&gt;="&amp;$C$7,Base!$A$3:$A$5001,"&lt;="&amp;$B240,Base!$Z$3:$Z$5001,"&lt;&gt;")=0,"",SUMIFS(Base!$Z$3:$Z$5001,Base!$B$3:$B$5001,J$232,Base!$A$3:$A$5001,_xlfn.MAXIFS(Base!$A$3:$A$5001,Base!$B$3:$B$5001,J$232,Base!$A$3:$A$5001,"&gt;="&amp;$C$7,Base!$A$3:$A$5001,"&lt;="&amp;$B240,Base!$Z$3:$Z$5001,"&lt;&gt;"))))</f>
        <v/>
      </c>
      <c r="K240" t="str">
        <f>IF($A240&gt;$B$9,"",IF(COUNTIFS(Base!$B$3:$B$5001,K$232,Base!$A$3:$A$5001,"&gt;="&amp;$C$7,Base!$A$3:$A$5001,"&lt;="&amp;$B240,Base!$Z$3:$Z$5001,"&lt;&gt;")=0,"",SUMIFS(Base!$Z$3:$Z$5001,Base!$B$3:$B$5001,K$232,Base!$A$3:$A$5001,_xlfn.MAXIFS(Base!$A$3:$A$5001,Base!$B$3:$B$5001,K$232,Base!$A$3:$A$5001,"&gt;="&amp;$C$7,Base!$A$3:$A$5001,"&lt;="&amp;$B240,Base!$Z$3:$Z$5001,"&lt;&gt;"))))</f>
        <v/>
      </c>
    </row>
    <row r="241">
      <c r="A241">
        <v>9</v>
      </c>
      <c r="B241" s="152">
        <f>$B$20</f>
        <v>46274</v>
      </c>
      <c r="C241" t="str">
        <f>IF($A241&gt;$B$9,"",IF(COUNTIFS(Base!$B$3:$B$5001,C$232,Base!$A$3:$A$5001,"&gt;="&amp;$C$7,Base!$A$3:$A$5001,"&lt;="&amp;$B241,Base!$Z$3:$Z$5001,"&lt;&gt;")=0,"",SUMIFS(Base!$Z$3:$Z$5001,Base!$B$3:$B$5001,C$232,Base!$A$3:$A$5001,_xlfn.MAXIFS(Base!$A$3:$A$5001,Base!$B$3:$B$5001,C$232,Base!$A$3:$A$5001,"&gt;="&amp;$C$7,Base!$A$3:$A$5001,"&lt;="&amp;$B241,Base!$Z$3:$Z$5001,"&lt;&gt;"))))</f>
        <v/>
      </c>
      <c r="D241" t="str">
        <f>IF($A241&gt;$B$9,"",IF(COUNTIFS(Base!$B$3:$B$5001,D$232,Base!$A$3:$A$5001,"&gt;="&amp;$C$7,Base!$A$3:$A$5001,"&lt;="&amp;$B241,Base!$Z$3:$Z$5001,"&lt;&gt;")=0,"",SUMIFS(Base!$Z$3:$Z$5001,Base!$B$3:$B$5001,D$232,Base!$A$3:$A$5001,_xlfn.MAXIFS(Base!$A$3:$A$5001,Base!$B$3:$B$5001,D$232,Base!$A$3:$A$5001,"&gt;="&amp;$C$7,Base!$A$3:$A$5001,"&lt;="&amp;$B241,Base!$Z$3:$Z$5001,"&lt;&gt;"))))</f>
        <v/>
      </c>
      <c r="E241" t="str">
        <f>IF($A241&gt;$B$9,"",IF(COUNTIFS(Base!$B$3:$B$5001,E$232,Base!$A$3:$A$5001,"&gt;="&amp;$C$7,Base!$A$3:$A$5001,"&lt;="&amp;$B241,Base!$Z$3:$Z$5001,"&lt;&gt;")=0,"",SUMIFS(Base!$Z$3:$Z$5001,Base!$B$3:$B$5001,E$232,Base!$A$3:$A$5001,_xlfn.MAXIFS(Base!$A$3:$A$5001,Base!$B$3:$B$5001,E$232,Base!$A$3:$A$5001,"&gt;="&amp;$C$7,Base!$A$3:$A$5001,"&lt;="&amp;$B241,Base!$Z$3:$Z$5001,"&lt;&gt;"))))</f>
        <v/>
      </c>
      <c r="F241" t="str">
        <f>IF($A241&gt;$B$9,"",IF(COUNTIFS(Base!$B$3:$B$5001,F$232,Base!$A$3:$A$5001,"&gt;="&amp;$C$7,Base!$A$3:$A$5001,"&lt;="&amp;$B241,Base!$Z$3:$Z$5001,"&lt;&gt;")=0,"",SUMIFS(Base!$Z$3:$Z$5001,Base!$B$3:$B$5001,F$232,Base!$A$3:$A$5001,_xlfn.MAXIFS(Base!$A$3:$A$5001,Base!$B$3:$B$5001,F$232,Base!$A$3:$A$5001,"&gt;="&amp;$C$7,Base!$A$3:$A$5001,"&lt;="&amp;$B241,Base!$Z$3:$Z$5001,"&lt;&gt;"))))</f>
        <v/>
      </c>
      <c r="G241" t="str">
        <f>IF($A241&gt;$B$9,"",IF(COUNTIFS(Base!$B$3:$B$5001,G$232,Base!$A$3:$A$5001,"&gt;="&amp;$C$7,Base!$A$3:$A$5001,"&lt;="&amp;$B241,Base!$Z$3:$Z$5001,"&lt;&gt;")=0,"",SUMIFS(Base!$Z$3:$Z$5001,Base!$B$3:$B$5001,G$232,Base!$A$3:$A$5001,_xlfn.MAXIFS(Base!$A$3:$A$5001,Base!$B$3:$B$5001,G$232,Base!$A$3:$A$5001,"&gt;="&amp;$C$7,Base!$A$3:$A$5001,"&lt;="&amp;$B241,Base!$Z$3:$Z$5001,"&lt;&gt;"))))</f>
        <v/>
      </c>
      <c r="H241" t="str">
        <f>IF($A241&gt;$B$9,"",IF(COUNTIFS(Base!$B$3:$B$5001,H$232,Base!$A$3:$A$5001,"&gt;="&amp;$C$7,Base!$A$3:$A$5001,"&lt;="&amp;$B241,Base!$Z$3:$Z$5001,"&lt;&gt;")=0,"",SUMIFS(Base!$Z$3:$Z$5001,Base!$B$3:$B$5001,H$232,Base!$A$3:$A$5001,_xlfn.MAXIFS(Base!$A$3:$A$5001,Base!$B$3:$B$5001,H$232,Base!$A$3:$A$5001,"&gt;="&amp;$C$7,Base!$A$3:$A$5001,"&lt;="&amp;$B241,Base!$Z$3:$Z$5001,"&lt;&gt;"))))</f>
        <v/>
      </c>
      <c r="I241" t="str">
        <f>IF($A241&gt;$B$9,"",IF(COUNTIFS(Base!$B$3:$B$5001,I$232,Base!$A$3:$A$5001,"&gt;="&amp;$C$7,Base!$A$3:$A$5001,"&lt;="&amp;$B241,Base!$Z$3:$Z$5001,"&lt;&gt;")=0,"",SUMIFS(Base!$Z$3:$Z$5001,Base!$B$3:$B$5001,I$232,Base!$A$3:$A$5001,_xlfn.MAXIFS(Base!$A$3:$A$5001,Base!$B$3:$B$5001,I$232,Base!$A$3:$A$5001,"&gt;="&amp;$C$7,Base!$A$3:$A$5001,"&lt;="&amp;$B241,Base!$Z$3:$Z$5001,"&lt;&gt;"))))</f>
        <v/>
      </c>
      <c r="J241" t="str">
        <f>IF($A241&gt;$B$9,"",IF(COUNTIFS(Base!$B$3:$B$5001,J$232,Base!$A$3:$A$5001,"&gt;="&amp;$C$7,Base!$A$3:$A$5001,"&lt;="&amp;$B241,Base!$Z$3:$Z$5001,"&lt;&gt;")=0,"",SUMIFS(Base!$Z$3:$Z$5001,Base!$B$3:$B$5001,J$232,Base!$A$3:$A$5001,_xlfn.MAXIFS(Base!$A$3:$A$5001,Base!$B$3:$B$5001,J$232,Base!$A$3:$A$5001,"&gt;="&amp;$C$7,Base!$A$3:$A$5001,"&lt;="&amp;$B241,Base!$Z$3:$Z$5001,"&lt;&gt;"))))</f>
        <v/>
      </c>
      <c r="K241" t="str">
        <f>IF($A241&gt;$B$9,"",IF(COUNTIFS(Base!$B$3:$B$5001,K$232,Base!$A$3:$A$5001,"&gt;="&amp;$C$7,Base!$A$3:$A$5001,"&lt;="&amp;$B241,Base!$Z$3:$Z$5001,"&lt;&gt;")=0,"",SUMIFS(Base!$Z$3:$Z$5001,Base!$B$3:$B$5001,K$232,Base!$A$3:$A$5001,_xlfn.MAXIFS(Base!$A$3:$A$5001,Base!$B$3:$B$5001,K$232,Base!$A$3:$A$5001,"&gt;="&amp;$C$7,Base!$A$3:$A$5001,"&lt;="&amp;$B241,Base!$Z$3:$Z$5001,"&lt;&gt;"))))</f>
        <v/>
      </c>
    </row>
    <row r="242">
      <c r="A242">
        <v>10</v>
      </c>
      <c r="B242" s="152">
        <f>$B$21</f>
        <v>46275</v>
      </c>
      <c r="C242" t="str">
        <f>IF($A242&gt;$B$9,"",IF(COUNTIFS(Base!$B$3:$B$5001,C$232,Base!$A$3:$A$5001,"&gt;="&amp;$C$7,Base!$A$3:$A$5001,"&lt;="&amp;$B242,Base!$Z$3:$Z$5001,"&lt;&gt;")=0,"",SUMIFS(Base!$Z$3:$Z$5001,Base!$B$3:$B$5001,C$232,Base!$A$3:$A$5001,_xlfn.MAXIFS(Base!$A$3:$A$5001,Base!$B$3:$B$5001,C$232,Base!$A$3:$A$5001,"&gt;="&amp;$C$7,Base!$A$3:$A$5001,"&lt;="&amp;$B242,Base!$Z$3:$Z$5001,"&lt;&gt;"))))</f>
        <v/>
      </c>
      <c r="D242" t="str">
        <f>IF($A242&gt;$B$9,"",IF(COUNTIFS(Base!$B$3:$B$5001,D$232,Base!$A$3:$A$5001,"&gt;="&amp;$C$7,Base!$A$3:$A$5001,"&lt;="&amp;$B242,Base!$Z$3:$Z$5001,"&lt;&gt;")=0,"",SUMIFS(Base!$Z$3:$Z$5001,Base!$B$3:$B$5001,D$232,Base!$A$3:$A$5001,_xlfn.MAXIFS(Base!$A$3:$A$5001,Base!$B$3:$B$5001,D$232,Base!$A$3:$A$5001,"&gt;="&amp;$C$7,Base!$A$3:$A$5001,"&lt;="&amp;$B242,Base!$Z$3:$Z$5001,"&lt;&gt;"))))</f>
        <v/>
      </c>
      <c r="E242" t="str">
        <f>IF($A242&gt;$B$9,"",IF(COUNTIFS(Base!$B$3:$B$5001,E$232,Base!$A$3:$A$5001,"&gt;="&amp;$C$7,Base!$A$3:$A$5001,"&lt;="&amp;$B242,Base!$Z$3:$Z$5001,"&lt;&gt;")=0,"",SUMIFS(Base!$Z$3:$Z$5001,Base!$B$3:$B$5001,E$232,Base!$A$3:$A$5001,_xlfn.MAXIFS(Base!$A$3:$A$5001,Base!$B$3:$B$5001,E$232,Base!$A$3:$A$5001,"&gt;="&amp;$C$7,Base!$A$3:$A$5001,"&lt;="&amp;$B242,Base!$Z$3:$Z$5001,"&lt;&gt;"))))</f>
        <v/>
      </c>
      <c r="F242" t="str">
        <f>IF($A242&gt;$B$9,"",IF(COUNTIFS(Base!$B$3:$B$5001,F$232,Base!$A$3:$A$5001,"&gt;="&amp;$C$7,Base!$A$3:$A$5001,"&lt;="&amp;$B242,Base!$Z$3:$Z$5001,"&lt;&gt;")=0,"",SUMIFS(Base!$Z$3:$Z$5001,Base!$B$3:$B$5001,F$232,Base!$A$3:$A$5001,_xlfn.MAXIFS(Base!$A$3:$A$5001,Base!$B$3:$B$5001,F$232,Base!$A$3:$A$5001,"&gt;="&amp;$C$7,Base!$A$3:$A$5001,"&lt;="&amp;$B242,Base!$Z$3:$Z$5001,"&lt;&gt;"))))</f>
        <v/>
      </c>
      <c r="G242" t="str">
        <f>IF($A242&gt;$B$9,"",IF(COUNTIFS(Base!$B$3:$B$5001,G$232,Base!$A$3:$A$5001,"&gt;="&amp;$C$7,Base!$A$3:$A$5001,"&lt;="&amp;$B242,Base!$Z$3:$Z$5001,"&lt;&gt;")=0,"",SUMIFS(Base!$Z$3:$Z$5001,Base!$B$3:$B$5001,G$232,Base!$A$3:$A$5001,_xlfn.MAXIFS(Base!$A$3:$A$5001,Base!$B$3:$B$5001,G$232,Base!$A$3:$A$5001,"&gt;="&amp;$C$7,Base!$A$3:$A$5001,"&lt;="&amp;$B242,Base!$Z$3:$Z$5001,"&lt;&gt;"))))</f>
        <v/>
      </c>
      <c r="H242" t="str">
        <f>IF($A242&gt;$B$9,"",IF(COUNTIFS(Base!$B$3:$B$5001,H$232,Base!$A$3:$A$5001,"&gt;="&amp;$C$7,Base!$A$3:$A$5001,"&lt;="&amp;$B242,Base!$Z$3:$Z$5001,"&lt;&gt;")=0,"",SUMIFS(Base!$Z$3:$Z$5001,Base!$B$3:$B$5001,H$232,Base!$A$3:$A$5001,_xlfn.MAXIFS(Base!$A$3:$A$5001,Base!$B$3:$B$5001,H$232,Base!$A$3:$A$5001,"&gt;="&amp;$C$7,Base!$A$3:$A$5001,"&lt;="&amp;$B242,Base!$Z$3:$Z$5001,"&lt;&gt;"))))</f>
        <v/>
      </c>
      <c r="I242" t="str">
        <f>IF($A242&gt;$B$9,"",IF(COUNTIFS(Base!$B$3:$B$5001,I$232,Base!$A$3:$A$5001,"&gt;="&amp;$C$7,Base!$A$3:$A$5001,"&lt;="&amp;$B242,Base!$Z$3:$Z$5001,"&lt;&gt;")=0,"",SUMIFS(Base!$Z$3:$Z$5001,Base!$B$3:$B$5001,I$232,Base!$A$3:$A$5001,_xlfn.MAXIFS(Base!$A$3:$A$5001,Base!$B$3:$B$5001,I$232,Base!$A$3:$A$5001,"&gt;="&amp;$C$7,Base!$A$3:$A$5001,"&lt;="&amp;$B242,Base!$Z$3:$Z$5001,"&lt;&gt;"))))</f>
        <v/>
      </c>
      <c r="J242" t="str">
        <f>IF($A242&gt;$B$9,"",IF(COUNTIFS(Base!$B$3:$B$5001,J$232,Base!$A$3:$A$5001,"&gt;="&amp;$C$7,Base!$A$3:$A$5001,"&lt;="&amp;$B242,Base!$Z$3:$Z$5001,"&lt;&gt;")=0,"",SUMIFS(Base!$Z$3:$Z$5001,Base!$B$3:$B$5001,J$232,Base!$A$3:$A$5001,_xlfn.MAXIFS(Base!$A$3:$A$5001,Base!$B$3:$B$5001,J$232,Base!$A$3:$A$5001,"&gt;="&amp;$C$7,Base!$A$3:$A$5001,"&lt;="&amp;$B242,Base!$Z$3:$Z$5001,"&lt;&gt;"))))</f>
        <v/>
      </c>
      <c r="K242" t="str">
        <f>IF($A242&gt;$B$9,"",IF(COUNTIFS(Base!$B$3:$B$5001,K$232,Base!$A$3:$A$5001,"&gt;="&amp;$C$7,Base!$A$3:$A$5001,"&lt;="&amp;$B242,Base!$Z$3:$Z$5001,"&lt;&gt;")=0,"",SUMIFS(Base!$Z$3:$Z$5001,Base!$B$3:$B$5001,K$232,Base!$A$3:$A$5001,_xlfn.MAXIFS(Base!$A$3:$A$5001,Base!$B$3:$B$5001,K$232,Base!$A$3:$A$5001,"&gt;="&amp;$C$7,Base!$A$3:$A$5001,"&lt;="&amp;$B242,Base!$Z$3:$Z$5001,"&lt;&gt;"))))</f>
        <v/>
      </c>
    </row>
    <row r="243">
      <c r="A243">
        <v>11</v>
      </c>
      <c r="B243" s="152">
        <f>$B$22</f>
        <v>46276</v>
      </c>
      <c r="C243" t="str">
        <f>IF($A243&gt;$B$9,"",IF(COUNTIFS(Base!$B$3:$B$5001,C$232,Base!$A$3:$A$5001,"&gt;="&amp;$C$7,Base!$A$3:$A$5001,"&lt;="&amp;$B243,Base!$Z$3:$Z$5001,"&lt;&gt;")=0,"",SUMIFS(Base!$Z$3:$Z$5001,Base!$B$3:$B$5001,C$232,Base!$A$3:$A$5001,_xlfn.MAXIFS(Base!$A$3:$A$5001,Base!$B$3:$B$5001,C$232,Base!$A$3:$A$5001,"&gt;="&amp;$C$7,Base!$A$3:$A$5001,"&lt;="&amp;$B243,Base!$Z$3:$Z$5001,"&lt;&gt;"))))</f>
        <v/>
      </c>
      <c r="D243" t="str">
        <f>IF($A243&gt;$B$9,"",IF(COUNTIFS(Base!$B$3:$B$5001,D$232,Base!$A$3:$A$5001,"&gt;="&amp;$C$7,Base!$A$3:$A$5001,"&lt;="&amp;$B243,Base!$Z$3:$Z$5001,"&lt;&gt;")=0,"",SUMIFS(Base!$Z$3:$Z$5001,Base!$B$3:$B$5001,D$232,Base!$A$3:$A$5001,_xlfn.MAXIFS(Base!$A$3:$A$5001,Base!$B$3:$B$5001,D$232,Base!$A$3:$A$5001,"&gt;="&amp;$C$7,Base!$A$3:$A$5001,"&lt;="&amp;$B243,Base!$Z$3:$Z$5001,"&lt;&gt;"))))</f>
        <v/>
      </c>
      <c r="E243" t="str">
        <f>IF($A243&gt;$B$9,"",IF(COUNTIFS(Base!$B$3:$B$5001,E$232,Base!$A$3:$A$5001,"&gt;="&amp;$C$7,Base!$A$3:$A$5001,"&lt;="&amp;$B243,Base!$Z$3:$Z$5001,"&lt;&gt;")=0,"",SUMIFS(Base!$Z$3:$Z$5001,Base!$B$3:$B$5001,E$232,Base!$A$3:$A$5001,_xlfn.MAXIFS(Base!$A$3:$A$5001,Base!$B$3:$B$5001,E$232,Base!$A$3:$A$5001,"&gt;="&amp;$C$7,Base!$A$3:$A$5001,"&lt;="&amp;$B243,Base!$Z$3:$Z$5001,"&lt;&gt;"))))</f>
        <v/>
      </c>
      <c r="F243" t="str">
        <f>IF($A243&gt;$B$9,"",IF(COUNTIFS(Base!$B$3:$B$5001,F$232,Base!$A$3:$A$5001,"&gt;="&amp;$C$7,Base!$A$3:$A$5001,"&lt;="&amp;$B243,Base!$Z$3:$Z$5001,"&lt;&gt;")=0,"",SUMIFS(Base!$Z$3:$Z$5001,Base!$B$3:$B$5001,F$232,Base!$A$3:$A$5001,_xlfn.MAXIFS(Base!$A$3:$A$5001,Base!$B$3:$B$5001,F$232,Base!$A$3:$A$5001,"&gt;="&amp;$C$7,Base!$A$3:$A$5001,"&lt;="&amp;$B243,Base!$Z$3:$Z$5001,"&lt;&gt;"))))</f>
        <v/>
      </c>
      <c r="G243" t="str">
        <f>IF($A243&gt;$B$9,"",IF(COUNTIFS(Base!$B$3:$B$5001,G$232,Base!$A$3:$A$5001,"&gt;="&amp;$C$7,Base!$A$3:$A$5001,"&lt;="&amp;$B243,Base!$Z$3:$Z$5001,"&lt;&gt;")=0,"",SUMIFS(Base!$Z$3:$Z$5001,Base!$B$3:$B$5001,G$232,Base!$A$3:$A$5001,_xlfn.MAXIFS(Base!$A$3:$A$5001,Base!$B$3:$B$5001,G$232,Base!$A$3:$A$5001,"&gt;="&amp;$C$7,Base!$A$3:$A$5001,"&lt;="&amp;$B243,Base!$Z$3:$Z$5001,"&lt;&gt;"))))</f>
        <v/>
      </c>
      <c r="H243" t="str">
        <f>IF($A243&gt;$B$9,"",IF(COUNTIFS(Base!$B$3:$B$5001,H$232,Base!$A$3:$A$5001,"&gt;="&amp;$C$7,Base!$A$3:$A$5001,"&lt;="&amp;$B243,Base!$Z$3:$Z$5001,"&lt;&gt;")=0,"",SUMIFS(Base!$Z$3:$Z$5001,Base!$B$3:$B$5001,H$232,Base!$A$3:$A$5001,_xlfn.MAXIFS(Base!$A$3:$A$5001,Base!$B$3:$B$5001,H$232,Base!$A$3:$A$5001,"&gt;="&amp;$C$7,Base!$A$3:$A$5001,"&lt;="&amp;$B243,Base!$Z$3:$Z$5001,"&lt;&gt;"))))</f>
        <v/>
      </c>
      <c r="I243" t="str">
        <f>IF($A243&gt;$B$9,"",IF(COUNTIFS(Base!$B$3:$B$5001,I$232,Base!$A$3:$A$5001,"&gt;="&amp;$C$7,Base!$A$3:$A$5001,"&lt;="&amp;$B243,Base!$Z$3:$Z$5001,"&lt;&gt;")=0,"",SUMIFS(Base!$Z$3:$Z$5001,Base!$B$3:$B$5001,I$232,Base!$A$3:$A$5001,_xlfn.MAXIFS(Base!$A$3:$A$5001,Base!$B$3:$B$5001,I$232,Base!$A$3:$A$5001,"&gt;="&amp;$C$7,Base!$A$3:$A$5001,"&lt;="&amp;$B243,Base!$Z$3:$Z$5001,"&lt;&gt;"))))</f>
        <v/>
      </c>
      <c r="J243" t="str">
        <f>IF($A243&gt;$B$9,"",IF(COUNTIFS(Base!$B$3:$B$5001,J$232,Base!$A$3:$A$5001,"&gt;="&amp;$C$7,Base!$A$3:$A$5001,"&lt;="&amp;$B243,Base!$Z$3:$Z$5001,"&lt;&gt;")=0,"",SUMIFS(Base!$Z$3:$Z$5001,Base!$B$3:$B$5001,J$232,Base!$A$3:$A$5001,_xlfn.MAXIFS(Base!$A$3:$A$5001,Base!$B$3:$B$5001,J$232,Base!$A$3:$A$5001,"&gt;="&amp;$C$7,Base!$A$3:$A$5001,"&lt;="&amp;$B243,Base!$Z$3:$Z$5001,"&lt;&gt;"))))</f>
        <v/>
      </c>
      <c r="K243" t="str">
        <f>IF($A243&gt;$B$9,"",IF(COUNTIFS(Base!$B$3:$B$5001,K$232,Base!$A$3:$A$5001,"&gt;="&amp;$C$7,Base!$A$3:$A$5001,"&lt;="&amp;$B243,Base!$Z$3:$Z$5001,"&lt;&gt;")=0,"",SUMIFS(Base!$Z$3:$Z$5001,Base!$B$3:$B$5001,K$232,Base!$A$3:$A$5001,_xlfn.MAXIFS(Base!$A$3:$A$5001,Base!$B$3:$B$5001,K$232,Base!$A$3:$A$5001,"&gt;="&amp;$C$7,Base!$A$3:$A$5001,"&lt;="&amp;$B243,Base!$Z$3:$Z$5001,"&lt;&gt;"))))</f>
        <v/>
      </c>
    </row>
    <row r="244">
      <c r="A244">
        <v>12</v>
      </c>
      <c r="B244" s="152">
        <f>$B$23</f>
        <v>46277</v>
      </c>
      <c r="C244" t="str">
        <f>IF($A244&gt;$B$9,"",IF(COUNTIFS(Base!$B$3:$B$5001,C$232,Base!$A$3:$A$5001,"&gt;="&amp;$C$7,Base!$A$3:$A$5001,"&lt;="&amp;$B244,Base!$Z$3:$Z$5001,"&lt;&gt;")=0,"",SUMIFS(Base!$Z$3:$Z$5001,Base!$B$3:$B$5001,C$232,Base!$A$3:$A$5001,_xlfn.MAXIFS(Base!$A$3:$A$5001,Base!$B$3:$B$5001,C$232,Base!$A$3:$A$5001,"&gt;="&amp;$C$7,Base!$A$3:$A$5001,"&lt;="&amp;$B244,Base!$Z$3:$Z$5001,"&lt;&gt;"))))</f>
        <v/>
      </c>
      <c r="D244" t="str">
        <f>IF($A244&gt;$B$9,"",IF(COUNTIFS(Base!$B$3:$B$5001,D$232,Base!$A$3:$A$5001,"&gt;="&amp;$C$7,Base!$A$3:$A$5001,"&lt;="&amp;$B244,Base!$Z$3:$Z$5001,"&lt;&gt;")=0,"",SUMIFS(Base!$Z$3:$Z$5001,Base!$B$3:$B$5001,D$232,Base!$A$3:$A$5001,_xlfn.MAXIFS(Base!$A$3:$A$5001,Base!$B$3:$B$5001,D$232,Base!$A$3:$A$5001,"&gt;="&amp;$C$7,Base!$A$3:$A$5001,"&lt;="&amp;$B244,Base!$Z$3:$Z$5001,"&lt;&gt;"))))</f>
        <v/>
      </c>
      <c r="E244" t="str">
        <f>IF($A244&gt;$B$9,"",IF(COUNTIFS(Base!$B$3:$B$5001,E$232,Base!$A$3:$A$5001,"&gt;="&amp;$C$7,Base!$A$3:$A$5001,"&lt;="&amp;$B244,Base!$Z$3:$Z$5001,"&lt;&gt;")=0,"",SUMIFS(Base!$Z$3:$Z$5001,Base!$B$3:$B$5001,E$232,Base!$A$3:$A$5001,_xlfn.MAXIFS(Base!$A$3:$A$5001,Base!$B$3:$B$5001,E$232,Base!$A$3:$A$5001,"&gt;="&amp;$C$7,Base!$A$3:$A$5001,"&lt;="&amp;$B244,Base!$Z$3:$Z$5001,"&lt;&gt;"))))</f>
        <v/>
      </c>
      <c r="F244" t="str">
        <f>IF($A244&gt;$B$9,"",IF(COUNTIFS(Base!$B$3:$B$5001,F$232,Base!$A$3:$A$5001,"&gt;="&amp;$C$7,Base!$A$3:$A$5001,"&lt;="&amp;$B244,Base!$Z$3:$Z$5001,"&lt;&gt;")=0,"",SUMIFS(Base!$Z$3:$Z$5001,Base!$B$3:$B$5001,F$232,Base!$A$3:$A$5001,_xlfn.MAXIFS(Base!$A$3:$A$5001,Base!$B$3:$B$5001,F$232,Base!$A$3:$A$5001,"&gt;="&amp;$C$7,Base!$A$3:$A$5001,"&lt;="&amp;$B244,Base!$Z$3:$Z$5001,"&lt;&gt;"))))</f>
        <v/>
      </c>
      <c r="G244" t="str">
        <f>IF($A244&gt;$B$9,"",IF(COUNTIFS(Base!$B$3:$B$5001,G$232,Base!$A$3:$A$5001,"&gt;="&amp;$C$7,Base!$A$3:$A$5001,"&lt;="&amp;$B244,Base!$Z$3:$Z$5001,"&lt;&gt;")=0,"",SUMIFS(Base!$Z$3:$Z$5001,Base!$B$3:$B$5001,G$232,Base!$A$3:$A$5001,_xlfn.MAXIFS(Base!$A$3:$A$5001,Base!$B$3:$B$5001,G$232,Base!$A$3:$A$5001,"&gt;="&amp;$C$7,Base!$A$3:$A$5001,"&lt;="&amp;$B244,Base!$Z$3:$Z$5001,"&lt;&gt;"))))</f>
        <v/>
      </c>
      <c r="H244" t="str">
        <f>IF($A244&gt;$B$9,"",IF(COUNTIFS(Base!$B$3:$B$5001,H$232,Base!$A$3:$A$5001,"&gt;="&amp;$C$7,Base!$A$3:$A$5001,"&lt;="&amp;$B244,Base!$Z$3:$Z$5001,"&lt;&gt;")=0,"",SUMIFS(Base!$Z$3:$Z$5001,Base!$B$3:$B$5001,H$232,Base!$A$3:$A$5001,_xlfn.MAXIFS(Base!$A$3:$A$5001,Base!$B$3:$B$5001,H$232,Base!$A$3:$A$5001,"&gt;="&amp;$C$7,Base!$A$3:$A$5001,"&lt;="&amp;$B244,Base!$Z$3:$Z$5001,"&lt;&gt;"))))</f>
        <v/>
      </c>
      <c r="I244" t="str">
        <f>IF($A244&gt;$B$9,"",IF(COUNTIFS(Base!$B$3:$B$5001,I$232,Base!$A$3:$A$5001,"&gt;="&amp;$C$7,Base!$A$3:$A$5001,"&lt;="&amp;$B244,Base!$Z$3:$Z$5001,"&lt;&gt;")=0,"",SUMIFS(Base!$Z$3:$Z$5001,Base!$B$3:$B$5001,I$232,Base!$A$3:$A$5001,_xlfn.MAXIFS(Base!$A$3:$A$5001,Base!$B$3:$B$5001,I$232,Base!$A$3:$A$5001,"&gt;="&amp;$C$7,Base!$A$3:$A$5001,"&lt;="&amp;$B244,Base!$Z$3:$Z$5001,"&lt;&gt;"))))</f>
        <v/>
      </c>
      <c r="J244" t="str">
        <f>IF($A244&gt;$B$9,"",IF(COUNTIFS(Base!$B$3:$B$5001,J$232,Base!$A$3:$A$5001,"&gt;="&amp;$C$7,Base!$A$3:$A$5001,"&lt;="&amp;$B244,Base!$Z$3:$Z$5001,"&lt;&gt;")=0,"",SUMIFS(Base!$Z$3:$Z$5001,Base!$B$3:$B$5001,J$232,Base!$A$3:$A$5001,_xlfn.MAXIFS(Base!$A$3:$A$5001,Base!$B$3:$B$5001,J$232,Base!$A$3:$A$5001,"&gt;="&amp;$C$7,Base!$A$3:$A$5001,"&lt;="&amp;$B244,Base!$Z$3:$Z$5001,"&lt;&gt;"))))</f>
        <v/>
      </c>
      <c r="K244" t="str">
        <f>IF($A244&gt;$B$9,"",IF(COUNTIFS(Base!$B$3:$B$5001,K$232,Base!$A$3:$A$5001,"&gt;="&amp;$C$7,Base!$A$3:$A$5001,"&lt;="&amp;$B244,Base!$Z$3:$Z$5001,"&lt;&gt;")=0,"",SUMIFS(Base!$Z$3:$Z$5001,Base!$B$3:$B$5001,K$232,Base!$A$3:$A$5001,_xlfn.MAXIFS(Base!$A$3:$A$5001,Base!$B$3:$B$5001,K$232,Base!$A$3:$A$5001,"&gt;="&amp;$C$7,Base!$A$3:$A$5001,"&lt;="&amp;$B244,Base!$Z$3:$Z$5001,"&lt;&gt;"))))</f>
        <v/>
      </c>
    </row>
    <row r="245">
      <c r="A245">
        <v>13</v>
      </c>
      <c r="B245" s="152">
        <f>$B$24</f>
        <v>46278</v>
      </c>
      <c r="C245" t="str">
        <f>IF($A245&gt;$B$9,"",IF(COUNTIFS(Base!$B$3:$B$5001,C$232,Base!$A$3:$A$5001,"&gt;="&amp;$C$7,Base!$A$3:$A$5001,"&lt;="&amp;$B245,Base!$Z$3:$Z$5001,"&lt;&gt;")=0,"",SUMIFS(Base!$Z$3:$Z$5001,Base!$B$3:$B$5001,C$232,Base!$A$3:$A$5001,_xlfn.MAXIFS(Base!$A$3:$A$5001,Base!$B$3:$B$5001,C$232,Base!$A$3:$A$5001,"&gt;="&amp;$C$7,Base!$A$3:$A$5001,"&lt;="&amp;$B245,Base!$Z$3:$Z$5001,"&lt;&gt;"))))</f>
        <v/>
      </c>
      <c r="D245" t="str">
        <f>IF($A245&gt;$B$9,"",IF(COUNTIFS(Base!$B$3:$B$5001,D$232,Base!$A$3:$A$5001,"&gt;="&amp;$C$7,Base!$A$3:$A$5001,"&lt;="&amp;$B245,Base!$Z$3:$Z$5001,"&lt;&gt;")=0,"",SUMIFS(Base!$Z$3:$Z$5001,Base!$B$3:$B$5001,D$232,Base!$A$3:$A$5001,_xlfn.MAXIFS(Base!$A$3:$A$5001,Base!$B$3:$B$5001,D$232,Base!$A$3:$A$5001,"&gt;="&amp;$C$7,Base!$A$3:$A$5001,"&lt;="&amp;$B245,Base!$Z$3:$Z$5001,"&lt;&gt;"))))</f>
        <v/>
      </c>
      <c r="E245" t="str">
        <f>IF($A245&gt;$B$9,"",IF(COUNTIFS(Base!$B$3:$B$5001,E$232,Base!$A$3:$A$5001,"&gt;="&amp;$C$7,Base!$A$3:$A$5001,"&lt;="&amp;$B245,Base!$Z$3:$Z$5001,"&lt;&gt;")=0,"",SUMIFS(Base!$Z$3:$Z$5001,Base!$B$3:$B$5001,E$232,Base!$A$3:$A$5001,_xlfn.MAXIFS(Base!$A$3:$A$5001,Base!$B$3:$B$5001,E$232,Base!$A$3:$A$5001,"&gt;="&amp;$C$7,Base!$A$3:$A$5001,"&lt;="&amp;$B245,Base!$Z$3:$Z$5001,"&lt;&gt;"))))</f>
        <v/>
      </c>
      <c r="F245" t="str">
        <f>IF($A245&gt;$B$9,"",IF(COUNTIFS(Base!$B$3:$B$5001,F$232,Base!$A$3:$A$5001,"&gt;="&amp;$C$7,Base!$A$3:$A$5001,"&lt;="&amp;$B245,Base!$Z$3:$Z$5001,"&lt;&gt;")=0,"",SUMIFS(Base!$Z$3:$Z$5001,Base!$B$3:$B$5001,F$232,Base!$A$3:$A$5001,_xlfn.MAXIFS(Base!$A$3:$A$5001,Base!$B$3:$B$5001,F$232,Base!$A$3:$A$5001,"&gt;="&amp;$C$7,Base!$A$3:$A$5001,"&lt;="&amp;$B245,Base!$Z$3:$Z$5001,"&lt;&gt;"))))</f>
        <v/>
      </c>
      <c r="G245" t="str">
        <f>IF($A245&gt;$B$9,"",IF(COUNTIFS(Base!$B$3:$B$5001,G$232,Base!$A$3:$A$5001,"&gt;="&amp;$C$7,Base!$A$3:$A$5001,"&lt;="&amp;$B245,Base!$Z$3:$Z$5001,"&lt;&gt;")=0,"",SUMIFS(Base!$Z$3:$Z$5001,Base!$B$3:$B$5001,G$232,Base!$A$3:$A$5001,_xlfn.MAXIFS(Base!$A$3:$A$5001,Base!$B$3:$B$5001,G$232,Base!$A$3:$A$5001,"&gt;="&amp;$C$7,Base!$A$3:$A$5001,"&lt;="&amp;$B245,Base!$Z$3:$Z$5001,"&lt;&gt;"))))</f>
        <v/>
      </c>
      <c r="H245" t="str">
        <f>IF($A245&gt;$B$9,"",IF(COUNTIFS(Base!$B$3:$B$5001,H$232,Base!$A$3:$A$5001,"&gt;="&amp;$C$7,Base!$A$3:$A$5001,"&lt;="&amp;$B245,Base!$Z$3:$Z$5001,"&lt;&gt;")=0,"",SUMIFS(Base!$Z$3:$Z$5001,Base!$B$3:$B$5001,H$232,Base!$A$3:$A$5001,_xlfn.MAXIFS(Base!$A$3:$A$5001,Base!$B$3:$B$5001,H$232,Base!$A$3:$A$5001,"&gt;="&amp;$C$7,Base!$A$3:$A$5001,"&lt;="&amp;$B245,Base!$Z$3:$Z$5001,"&lt;&gt;"))))</f>
        <v/>
      </c>
      <c r="I245" t="str">
        <f>IF($A245&gt;$B$9,"",IF(COUNTIFS(Base!$B$3:$B$5001,I$232,Base!$A$3:$A$5001,"&gt;="&amp;$C$7,Base!$A$3:$A$5001,"&lt;="&amp;$B245,Base!$Z$3:$Z$5001,"&lt;&gt;")=0,"",SUMIFS(Base!$Z$3:$Z$5001,Base!$B$3:$B$5001,I$232,Base!$A$3:$A$5001,_xlfn.MAXIFS(Base!$A$3:$A$5001,Base!$B$3:$B$5001,I$232,Base!$A$3:$A$5001,"&gt;="&amp;$C$7,Base!$A$3:$A$5001,"&lt;="&amp;$B245,Base!$Z$3:$Z$5001,"&lt;&gt;"))))</f>
        <v/>
      </c>
      <c r="J245" t="str">
        <f>IF($A245&gt;$B$9,"",IF(COUNTIFS(Base!$B$3:$B$5001,J$232,Base!$A$3:$A$5001,"&gt;="&amp;$C$7,Base!$A$3:$A$5001,"&lt;="&amp;$B245,Base!$Z$3:$Z$5001,"&lt;&gt;")=0,"",SUMIFS(Base!$Z$3:$Z$5001,Base!$B$3:$B$5001,J$232,Base!$A$3:$A$5001,_xlfn.MAXIFS(Base!$A$3:$A$5001,Base!$B$3:$B$5001,J$232,Base!$A$3:$A$5001,"&gt;="&amp;$C$7,Base!$A$3:$A$5001,"&lt;="&amp;$B245,Base!$Z$3:$Z$5001,"&lt;&gt;"))))</f>
        <v/>
      </c>
      <c r="K245" t="str">
        <f>IF($A245&gt;$B$9,"",IF(COUNTIFS(Base!$B$3:$B$5001,K$232,Base!$A$3:$A$5001,"&gt;="&amp;$C$7,Base!$A$3:$A$5001,"&lt;="&amp;$B245,Base!$Z$3:$Z$5001,"&lt;&gt;")=0,"",SUMIFS(Base!$Z$3:$Z$5001,Base!$B$3:$B$5001,K$232,Base!$A$3:$A$5001,_xlfn.MAXIFS(Base!$A$3:$A$5001,Base!$B$3:$B$5001,K$232,Base!$A$3:$A$5001,"&gt;="&amp;$C$7,Base!$A$3:$A$5001,"&lt;="&amp;$B245,Base!$Z$3:$Z$5001,"&lt;&gt;"))))</f>
        <v/>
      </c>
    </row>
    <row r="246">
      <c r="A246">
        <v>14</v>
      </c>
      <c r="B246" s="152">
        <f>$B$25</f>
        <v>46279</v>
      </c>
      <c r="C246" t="str">
        <f>IF($A246&gt;$B$9,"",IF(COUNTIFS(Base!$B$3:$B$5001,C$232,Base!$A$3:$A$5001,"&gt;="&amp;$C$7,Base!$A$3:$A$5001,"&lt;="&amp;$B246,Base!$Z$3:$Z$5001,"&lt;&gt;")=0,"",SUMIFS(Base!$Z$3:$Z$5001,Base!$B$3:$B$5001,C$232,Base!$A$3:$A$5001,_xlfn.MAXIFS(Base!$A$3:$A$5001,Base!$B$3:$B$5001,C$232,Base!$A$3:$A$5001,"&gt;="&amp;$C$7,Base!$A$3:$A$5001,"&lt;="&amp;$B246,Base!$Z$3:$Z$5001,"&lt;&gt;"))))</f>
        <v/>
      </c>
      <c r="D246" t="str">
        <f>IF($A246&gt;$B$9,"",IF(COUNTIFS(Base!$B$3:$B$5001,D$232,Base!$A$3:$A$5001,"&gt;="&amp;$C$7,Base!$A$3:$A$5001,"&lt;="&amp;$B246,Base!$Z$3:$Z$5001,"&lt;&gt;")=0,"",SUMIFS(Base!$Z$3:$Z$5001,Base!$B$3:$B$5001,D$232,Base!$A$3:$A$5001,_xlfn.MAXIFS(Base!$A$3:$A$5001,Base!$B$3:$B$5001,D$232,Base!$A$3:$A$5001,"&gt;="&amp;$C$7,Base!$A$3:$A$5001,"&lt;="&amp;$B246,Base!$Z$3:$Z$5001,"&lt;&gt;"))))</f>
        <v/>
      </c>
      <c r="E246" t="str">
        <f>IF($A246&gt;$B$9,"",IF(COUNTIFS(Base!$B$3:$B$5001,E$232,Base!$A$3:$A$5001,"&gt;="&amp;$C$7,Base!$A$3:$A$5001,"&lt;="&amp;$B246,Base!$Z$3:$Z$5001,"&lt;&gt;")=0,"",SUMIFS(Base!$Z$3:$Z$5001,Base!$B$3:$B$5001,E$232,Base!$A$3:$A$5001,_xlfn.MAXIFS(Base!$A$3:$A$5001,Base!$B$3:$B$5001,E$232,Base!$A$3:$A$5001,"&gt;="&amp;$C$7,Base!$A$3:$A$5001,"&lt;="&amp;$B246,Base!$Z$3:$Z$5001,"&lt;&gt;"))))</f>
        <v/>
      </c>
      <c r="F246" t="str">
        <f>IF($A246&gt;$B$9,"",IF(COUNTIFS(Base!$B$3:$B$5001,F$232,Base!$A$3:$A$5001,"&gt;="&amp;$C$7,Base!$A$3:$A$5001,"&lt;="&amp;$B246,Base!$Z$3:$Z$5001,"&lt;&gt;")=0,"",SUMIFS(Base!$Z$3:$Z$5001,Base!$B$3:$B$5001,F$232,Base!$A$3:$A$5001,_xlfn.MAXIFS(Base!$A$3:$A$5001,Base!$B$3:$B$5001,F$232,Base!$A$3:$A$5001,"&gt;="&amp;$C$7,Base!$A$3:$A$5001,"&lt;="&amp;$B246,Base!$Z$3:$Z$5001,"&lt;&gt;"))))</f>
        <v/>
      </c>
      <c r="G246" t="str">
        <f>IF($A246&gt;$B$9,"",IF(COUNTIFS(Base!$B$3:$B$5001,G$232,Base!$A$3:$A$5001,"&gt;="&amp;$C$7,Base!$A$3:$A$5001,"&lt;="&amp;$B246,Base!$Z$3:$Z$5001,"&lt;&gt;")=0,"",SUMIFS(Base!$Z$3:$Z$5001,Base!$B$3:$B$5001,G$232,Base!$A$3:$A$5001,_xlfn.MAXIFS(Base!$A$3:$A$5001,Base!$B$3:$B$5001,G$232,Base!$A$3:$A$5001,"&gt;="&amp;$C$7,Base!$A$3:$A$5001,"&lt;="&amp;$B246,Base!$Z$3:$Z$5001,"&lt;&gt;"))))</f>
        <v/>
      </c>
      <c r="H246" t="str">
        <f>IF($A246&gt;$B$9,"",IF(COUNTIFS(Base!$B$3:$B$5001,H$232,Base!$A$3:$A$5001,"&gt;="&amp;$C$7,Base!$A$3:$A$5001,"&lt;="&amp;$B246,Base!$Z$3:$Z$5001,"&lt;&gt;")=0,"",SUMIFS(Base!$Z$3:$Z$5001,Base!$B$3:$B$5001,H$232,Base!$A$3:$A$5001,_xlfn.MAXIFS(Base!$A$3:$A$5001,Base!$B$3:$B$5001,H$232,Base!$A$3:$A$5001,"&gt;="&amp;$C$7,Base!$A$3:$A$5001,"&lt;="&amp;$B246,Base!$Z$3:$Z$5001,"&lt;&gt;"))))</f>
        <v/>
      </c>
      <c r="I246" t="str">
        <f>IF($A246&gt;$B$9,"",IF(COUNTIFS(Base!$B$3:$B$5001,I$232,Base!$A$3:$A$5001,"&gt;="&amp;$C$7,Base!$A$3:$A$5001,"&lt;="&amp;$B246,Base!$Z$3:$Z$5001,"&lt;&gt;")=0,"",SUMIFS(Base!$Z$3:$Z$5001,Base!$B$3:$B$5001,I$232,Base!$A$3:$A$5001,_xlfn.MAXIFS(Base!$A$3:$A$5001,Base!$B$3:$B$5001,I$232,Base!$A$3:$A$5001,"&gt;="&amp;$C$7,Base!$A$3:$A$5001,"&lt;="&amp;$B246,Base!$Z$3:$Z$5001,"&lt;&gt;"))))</f>
        <v/>
      </c>
      <c r="J246" t="str">
        <f>IF($A246&gt;$B$9,"",IF(COUNTIFS(Base!$B$3:$B$5001,J$232,Base!$A$3:$A$5001,"&gt;="&amp;$C$7,Base!$A$3:$A$5001,"&lt;="&amp;$B246,Base!$Z$3:$Z$5001,"&lt;&gt;")=0,"",SUMIFS(Base!$Z$3:$Z$5001,Base!$B$3:$B$5001,J$232,Base!$A$3:$A$5001,_xlfn.MAXIFS(Base!$A$3:$A$5001,Base!$B$3:$B$5001,J$232,Base!$A$3:$A$5001,"&gt;="&amp;$C$7,Base!$A$3:$A$5001,"&lt;="&amp;$B246,Base!$Z$3:$Z$5001,"&lt;&gt;"))))</f>
        <v/>
      </c>
      <c r="K246" t="str">
        <f>IF($A246&gt;$B$9,"",IF(COUNTIFS(Base!$B$3:$B$5001,K$232,Base!$A$3:$A$5001,"&gt;="&amp;$C$7,Base!$A$3:$A$5001,"&lt;="&amp;$B246,Base!$Z$3:$Z$5001,"&lt;&gt;")=0,"",SUMIFS(Base!$Z$3:$Z$5001,Base!$B$3:$B$5001,K$232,Base!$A$3:$A$5001,_xlfn.MAXIFS(Base!$A$3:$A$5001,Base!$B$3:$B$5001,K$232,Base!$A$3:$A$5001,"&gt;="&amp;$C$7,Base!$A$3:$A$5001,"&lt;="&amp;$B246,Base!$Z$3:$Z$5001,"&lt;&gt;"))))</f>
        <v/>
      </c>
    </row>
    <row r="247">
      <c r="A247">
        <v>15</v>
      </c>
      <c r="B247" s="152">
        <f>$B$26</f>
        <v>46280</v>
      </c>
      <c r="C247" t="str">
        <f>IF($A247&gt;$B$9,"",IF(COUNTIFS(Base!$B$3:$B$5001,C$232,Base!$A$3:$A$5001,"&gt;="&amp;$C$7,Base!$A$3:$A$5001,"&lt;="&amp;$B247,Base!$Z$3:$Z$5001,"&lt;&gt;")=0,"",SUMIFS(Base!$Z$3:$Z$5001,Base!$B$3:$B$5001,C$232,Base!$A$3:$A$5001,_xlfn.MAXIFS(Base!$A$3:$A$5001,Base!$B$3:$B$5001,C$232,Base!$A$3:$A$5001,"&gt;="&amp;$C$7,Base!$A$3:$A$5001,"&lt;="&amp;$B247,Base!$Z$3:$Z$5001,"&lt;&gt;"))))</f>
        <v/>
      </c>
      <c r="D247" t="str">
        <f>IF($A247&gt;$B$9,"",IF(COUNTIFS(Base!$B$3:$B$5001,D$232,Base!$A$3:$A$5001,"&gt;="&amp;$C$7,Base!$A$3:$A$5001,"&lt;="&amp;$B247,Base!$Z$3:$Z$5001,"&lt;&gt;")=0,"",SUMIFS(Base!$Z$3:$Z$5001,Base!$B$3:$B$5001,D$232,Base!$A$3:$A$5001,_xlfn.MAXIFS(Base!$A$3:$A$5001,Base!$B$3:$B$5001,D$232,Base!$A$3:$A$5001,"&gt;="&amp;$C$7,Base!$A$3:$A$5001,"&lt;="&amp;$B247,Base!$Z$3:$Z$5001,"&lt;&gt;"))))</f>
        <v/>
      </c>
      <c r="E247" t="str">
        <f>IF($A247&gt;$B$9,"",IF(COUNTIFS(Base!$B$3:$B$5001,E$232,Base!$A$3:$A$5001,"&gt;="&amp;$C$7,Base!$A$3:$A$5001,"&lt;="&amp;$B247,Base!$Z$3:$Z$5001,"&lt;&gt;")=0,"",SUMIFS(Base!$Z$3:$Z$5001,Base!$B$3:$B$5001,E$232,Base!$A$3:$A$5001,_xlfn.MAXIFS(Base!$A$3:$A$5001,Base!$B$3:$B$5001,E$232,Base!$A$3:$A$5001,"&gt;="&amp;$C$7,Base!$A$3:$A$5001,"&lt;="&amp;$B247,Base!$Z$3:$Z$5001,"&lt;&gt;"))))</f>
        <v/>
      </c>
      <c r="F247" t="str">
        <f>IF($A247&gt;$B$9,"",IF(COUNTIFS(Base!$B$3:$B$5001,F$232,Base!$A$3:$A$5001,"&gt;="&amp;$C$7,Base!$A$3:$A$5001,"&lt;="&amp;$B247,Base!$Z$3:$Z$5001,"&lt;&gt;")=0,"",SUMIFS(Base!$Z$3:$Z$5001,Base!$B$3:$B$5001,F$232,Base!$A$3:$A$5001,_xlfn.MAXIFS(Base!$A$3:$A$5001,Base!$B$3:$B$5001,F$232,Base!$A$3:$A$5001,"&gt;="&amp;$C$7,Base!$A$3:$A$5001,"&lt;="&amp;$B247,Base!$Z$3:$Z$5001,"&lt;&gt;"))))</f>
        <v/>
      </c>
      <c r="G247" t="str">
        <f>IF($A247&gt;$B$9,"",IF(COUNTIFS(Base!$B$3:$B$5001,G$232,Base!$A$3:$A$5001,"&gt;="&amp;$C$7,Base!$A$3:$A$5001,"&lt;="&amp;$B247,Base!$Z$3:$Z$5001,"&lt;&gt;")=0,"",SUMIFS(Base!$Z$3:$Z$5001,Base!$B$3:$B$5001,G$232,Base!$A$3:$A$5001,_xlfn.MAXIFS(Base!$A$3:$A$5001,Base!$B$3:$B$5001,G$232,Base!$A$3:$A$5001,"&gt;="&amp;$C$7,Base!$A$3:$A$5001,"&lt;="&amp;$B247,Base!$Z$3:$Z$5001,"&lt;&gt;"))))</f>
        <v/>
      </c>
      <c r="H247" t="str">
        <f>IF($A247&gt;$B$9,"",IF(COUNTIFS(Base!$B$3:$B$5001,H$232,Base!$A$3:$A$5001,"&gt;="&amp;$C$7,Base!$A$3:$A$5001,"&lt;="&amp;$B247,Base!$Z$3:$Z$5001,"&lt;&gt;")=0,"",SUMIFS(Base!$Z$3:$Z$5001,Base!$B$3:$B$5001,H$232,Base!$A$3:$A$5001,_xlfn.MAXIFS(Base!$A$3:$A$5001,Base!$B$3:$B$5001,H$232,Base!$A$3:$A$5001,"&gt;="&amp;$C$7,Base!$A$3:$A$5001,"&lt;="&amp;$B247,Base!$Z$3:$Z$5001,"&lt;&gt;"))))</f>
        <v/>
      </c>
      <c r="I247" t="str">
        <f>IF($A247&gt;$B$9,"",IF(COUNTIFS(Base!$B$3:$B$5001,I$232,Base!$A$3:$A$5001,"&gt;="&amp;$C$7,Base!$A$3:$A$5001,"&lt;="&amp;$B247,Base!$Z$3:$Z$5001,"&lt;&gt;")=0,"",SUMIFS(Base!$Z$3:$Z$5001,Base!$B$3:$B$5001,I$232,Base!$A$3:$A$5001,_xlfn.MAXIFS(Base!$A$3:$A$5001,Base!$B$3:$B$5001,I$232,Base!$A$3:$A$5001,"&gt;="&amp;$C$7,Base!$A$3:$A$5001,"&lt;="&amp;$B247,Base!$Z$3:$Z$5001,"&lt;&gt;"))))</f>
        <v/>
      </c>
      <c r="J247" t="str">
        <f>IF($A247&gt;$B$9,"",IF(COUNTIFS(Base!$B$3:$B$5001,J$232,Base!$A$3:$A$5001,"&gt;="&amp;$C$7,Base!$A$3:$A$5001,"&lt;="&amp;$B247,Base!$Z$3:$Z$5001,"&lt;&gt;")=0,"",SUMIFS(Base!$Z$3:$Z$5001,Base!$B$3:$B$5001,J$232,Base!$A$3:$A$5001,_xlfn.MAXIFS(Base!$A$3:$A$5001,Base!$B$3:$B$5001,J$232,Base!$A$3:$A$5001,"&gt;="&amp;$C$7,Base!$A$3:$A$5001,"&lt;="&amp;$B247,Base!$Z$3:$Z$5001,"&lt;&gt;"))))</f>
        <v/>
      </c>
      <c r="K247" t="str">
        <f>IF($A247&gt;$B$9,"",IF(COUNTIFS(Base!$B$3:$B$5001,K$232,Base!$A$3:$A$5001,"&gt;="&amp;$C$7,Base!$A$3:$A$5001,"&lt;="&amp;$B247,Base!$Z$3:$Z$5001,"&lt;&gt;")=0,"",SUMIFS(Base!$Z$3:$Z$5001,Base!$B$3:$B$5001,K$232,Base!$A$3:$A$5001,_xlfn.MAXIFS(Base!$A$3:$A$5001,Base!$B$3:$B$5001,K$232,Base!$A$3:$A$5001,"&gt;="&amp;$C$7,Base!$A$3:$A$5001,"&lt;="&amp;$B247,Base!$Z$3:$Z$5001,"&lt;&gt;"))))</f>
        <v/>
      </c>
    </row>
    <row r="248">
      <c r="A248">
        <v>16</v>
      </c>
      <c r="B248" s="152">
        <f>$B$27</f>
        <v>46281</v>
      </c>
      <c r="C248" t="str">
        <f>IF($A248&gt;$B$9,"",IF(COUNTIFS(Base!$B$3:$B$5001,C$232,Base!$A$3:$A$5001,"&gt;="&amp;$C$7,Base!$A$3:$A$5001,"&lt;="&amp;$B248,Base!$Z$3:$Z$5001,"&lt;&gt;")=0,"",SUMIFS(Base!$Z$3:$Z$5001,Base!$B$3:$B$5001,C$232,Base!$A$3:$A$5001,_xlfn.MAXIFS(Base!$A$3:$A$5001,Base!$B$3:$B$5001,C$232,Base!$A$3:$A$5001,"&gt;="&amp;$C$7,Base!$A$3:$A$5001,"&lt;="&amp;$B248,Base!$Z$3:$Z$5001,"&lt;&gt;"))))</f>
        <v/>
      </c>
      <c r="D248" t="str">
        <f>IF($A248&gt;$B$9,"",IF(COUNTIFS(Base!$B$3:$B$5001,D$232,Base!$A$3:$A$5001,"&gt;="&amp;$C$7,Base!$A$3:$A$5001,"&lt;="&amp;$B248,Base!$Z$3:$Z$5001,"&lt;&gt;")=0,"",SUMIFS(Base!$Z$3:$Z$5001,Base!$B$3:$B$5001,D$232,Base!$A$3:$A$5001,_xlfn.MAXIFS(Base!$A$3:$A$5001,Base!$B$3:$B$5001,D$232,Base!$A$3:$A$5001,"&gt;="&amp;$C$7,Base!$A$3:$A$5001,"&lt;="&amp;$B248,Base!$Z$3:$Z$5001,"&lt;&gt;"))))</f>
        <v/>
      </c>
      <c r="E248" t="str">
        <f>IF($A248&gt;$B$9,"",IF(COUNTIFS(Base!$B$3:$B$5001,E$232,Base!$A$3:$A$5001,"&gt;="&amp;$C$7,Base!$A$3:$A$5001,"&lt;="&amp;$B248,Base!$Z$3:$Z$5001,"&lt;&gt;")=0,"",SUMIFS(Base!$Z$3:$Z$5001,Base!$B$3:$B$5001,E$232,Base!$A$3:$A$5001,_xlfn.MAXIFS(Base!$A$3:$A$5001,Base!$B$3:$B$5001,E$232,Base!$A$3:$A$5001,"&gt;="&amp;$C$7,Base!$A$3:$A$5001,"&lt;="&amp;$B248,Base!$Z$3:$Z$5001,"&lt;&gt;"))))</f>
        <v/>
      </c>
      <c r="F248" t="str">
        <f>IF($A248&gt;$B$9,"",IF(COUNTIFS(Base!$B$3:$B$5001,F$232,Base!$A$3:$A$5001,"&gt;="&amp;$C$7,Base!$A$3:$A$5001,"&lt;="&amp;$B248,Base!$Z$3:$Z$5001,"&lt;&gt;")=0,"",SUMIFS(Base!$Z$3:$Z$5001,Base!$B$3:$B$5001,F$232,Base!$A$3:$A$5001,_xlfn.MAXIFS(Base!$A$3:$A$5001,Base!$B$3:$B$5001,F$232,Base!$A$3:$A$5001,"&gt;="&amp;$C$7,Base!$A$3:$A$5001,"&lt;="&amp;$B248,Base!$Z$3:$Z$5001,"&lt;&gt;"))))</f>
        <v/>
      </c>
      <c r="G248" t="str">
        <f>IF($A248&gt;$B$9,"",IF(COUNTIFS(Base!$B$3:$B$5001,G$232,Base!$A$3:$A$5001,"&gt;="&amp;$C$7,Base!$A$3:$A$5001,"&lt;="&amp;$B248,Base!$Z$3:$Z$5001,"&lt;&gt;")=0,"",SUMIFS(Base!$Z$3:$Z$5001,Base!$B$3:$B$5001,G$232,Base!$A$3:$A$5001,_xlfn.MAXIFS(Base!$A$3:$A$5001,Base!$B$3:$B$5001,G$232,Base!$A$3:$A$5001,"&gt;="&amp;$C$7,Base!$A$3:$A$5001,"&lt;="&amp;$B248,Base!$Z$3:$Z$5001,"&lt;&gt;"))))</f>
        <v/>
      </c>
      <c r="H248" t="str">
        <f>IF($A248&gt;$B$9,"",IF(COUNTIFS(Base!$B$3:$B$5001,H$232,Base!$A$3:$A$5001,"&gt;="&amp;$C$7,Base!$A$3:$A$5001,"&lt;="&amp;$B248,Base!$Z$3:$Z$5001,"&lt;&gt;")=0,"",SUMIFS(Base!$Z$3:$Z$5001,Base!$B$3:$B$5001,H$232,Base!$A$3:$A$5001,_xlfn.MAXIFS(Base!$A$3:$A$5001,Base!$B$3:$B$5001,H$232,Base!$A$3:$A$5001,"&gt;="&amp;$C$7,Base!$A$3:$A$5001,"&lt;="&amp;$B248,Base!$Z$3:$Z$5001,"&lt;&gt;"))))</f>
        <v/>
      </c>
      <c r="I248" t="str">
        <f>IF($A248&gt;$B$9,"",IF(COUNTIFS(Base!$B$3:$B$5001,I$232,Base!$A$3:$A$5001,"&gt;="&amp;$C$7,Base!$A$3:$A$5001,"&lt;="&amp;$B248,Base!$Z$3:$Z$5001,"&lt;&gt;")=0,"",SUMIFS(Base!$Z$3:$Z$5001,Base!$B$3:$B$5001,I$232,Base!$A$3:$A$5001,_xlfn.MAXIFS(Base!$A$3:$A$5001,Base!$B$3:$B$5001,I$232,Base!$A$3:$A$5001,"&gt;="&amp;$C$7,Base!$A$3:$A$5001,"&lt;="&amp;$B248,Base!$Z$3:$Z$5001,"&lt;&gt;"))))</f>
        <v/>
      </c>
      <c r="J248" t="str">
        <f>IF($A248&gt;$B$9,"",IF(COUNTIFS(Base!$B$3:$B$5001,J$232,Base!$A$3:$A$5001,"&gt;="&amp;$C$7,Base!$A$3:$A$5001,"&lt;="&amp;$B248,Base!$Z$3:$Z$5001,"&lt;&gt;")=0,"",SUMIFS(Base!$Z$3:$Z$5001,Base!$B$3:$B$5001,J$232,Base!$A$3:$A$5001,_xlfn.MAXIFS(Base!$A$3:$A$5001,Base!$B$3:$B$5001,J$232,Base!$A$3:$A$5001,"&gt;="&amp;$C$7,Base!$A$3:$A$5001,"&lt;="&amp;$B248,Base!$Z$3:$Z$5001,"&lt;&gt;"))))</f>
        <v/>
      </c>
      <c r="K248" t="str">
        <f>IF($A248&gt;$B$9,"",IF(COUNTIFS(Base!$B$3:$B$5001,K$232,Base!$A$3:$A$5001,"&gt;="&amp;$C$7,Base!$A$3:$A$5001,"&lt;="&amp;$B248,Base!$Z$3:$Z$5001,"&lt;&gt;")=0,"",SUMIFS(Base!$Z$3:$Z$5001,Base!$B$3:$B$5001,K$232,Base!$A$3:$A$5001,_xlfn.MAXIFS(Base!$A$3:$A$5001,Base!$B$3:$B$5001,K$232,Base!$A$3:$A$5001,"&gt;="&amp;$C$7,Base!$A$3:$A$5001,"&lt;="&amp;$B248,Base!$Z$3:$Z$5001,"&lt;&gt;"))))</f>
        <v/>
      </c>
    </row>
    <row r="249">
      <c r="A249">
        <v>17</v>
      </c>
      <c r="B249" s="152">
        <f>$B$28</f>
        <v>46282</v>
      </c>
      <c r="C249" t="str">
        <f>IF($A249&gt;$B$9,"",IF(COUNTIFS(Base!$B$3:$B$5001,C$232,Base!$A$3:$A$5001,"&gt;="&amp;$C$7,Base!$A$3:$A$5001,"&lt;="&amp;$B249,Base!$Z$3:$Z$5001,"&lt;&gt;")=0,"",SUMIFS(Base!$Z$3:$Z$5001,Base!$B$3:$B$5001,C$232,Base!$A$3:$A$5001,_xlfn.MAXIFS(Base!$A$3:$A$5001,Base!$B$3:$B$5001,C$232,Base!$A$3:$A$5001,"&gt;="&amp;$C$7,Base!$A$3:$A$5001,"&lt;="&amp;$B249,Base!$Z$3:$Z$5001,"&lt;&gt;"))))</f>
        <v/>
      </c>
      <c r="D249" t="str">
        <f>IF($A249&gt;$B$9,"",IF(COUNTIFS(Base!$B$3:$B$5001,D$232,Base!$A$3:$A$5001,"&gt;="&amp;$C$7,Base!$A$3:$A$5001,"&lt;="&amp;$B249,Base!$Z$3:$Z$5001,"&lt;&gt;")=0,"",SUMIFS(Base!$Z$3:$Z$5001,Base!$B$3:$B$5001,D$232,Base!$A$3:$A$5001,_xlfn.MAXIFS(Base!$A$3:$A$5001,Base!$B$3:$B$5001,D$232,Base!$A$3:$A$5001,"&gt;="&amp;$C$7,Base!$A$3:$A$5001,"&lt;="&amp;$B249,Base!$Z$3:$Z$5001,"&lt;&gt;"))))</f>
        <v/>
      </c>
      <c r="E249" t="str">
        <f>IF($A249&gt;$B$9,"",IF(COUNTIFS(Base!$B$3:$B$5001,E$232,Base!$A$3:$A$5001,"&gt;="&amp;$C$7,Base!$A$3:$A$5001,"&lt;="&amp;$B249,Base!$Z$3:$Z$5001,"&lt;&gt;")=0,"",SUMIFS(Base!$Z$3:$Z$5001,Base!$B$3:$B$5001,E$232,Base!$A$3:$A$5001,_xlfn.MAXIFS(Base!$A$3:$A$5001,Base!$B$3:$B$5001,E$232,Base!$A$3:$A$5001,"&gt;="&amp;$C$7,Base!$A$3:$A$5001,"&lt;="&amp;$B249,Base!$Z$3:$Z$5001,"&lt;&gt;"))))</f>
        <v/>
      </c>
      <c r="F249" t="str">
        <f>IF($A249&gt;$B$9,"",IF(COUNTIFS(Base!$B$3:$B$5001,F$232,Base!$A$3:$A$5001,"&gt;="&amp;$C$7,Base!$A$3:$A$5001,"&lt;="&amp;$B249,Base!$Z$3:$Z$5001,"&lt;&gt;")=0,"",SUMIFS(Base!$Z$3:$Z$5001,Base!$B$3:$B$5001,F$232,Base!$A$3:$A$5001,_xlfn.MAXIFS(Base!$A$3:$A$5001,Base!$B$3:$B$5001,F$232,Base!$A$3:$A$5001,"&gt;="&amp;$C$7,Base!$A$3:$A$5001,"&lt;="&amp;$B249,Base!$Z$3:$Z$5001,"&lt;&gt;"))))</f>
        <v/>
      </c>
      <c r="G249" t="str">
        <f>IF($A249&gt;$B$9,"",IF(COUNTIFS(Base!$B$3:$B$5001,G$232,Base!$A$3:$A$5001,"&gt;="&amp;$C$7,Base!$A$3:$A$5001,"&lt;="&amp;$B249,Base!$Z$3:$Z$5001,"&lt;&gt;")=0,"",SUMIFS(Base!$Z$3:$Z$5001,Base!$B$3:$B$5001,G$232,Base!$A$3:$A$5001,_xlfn.MAXIFS(Base!$A$3:$A$5001,Base!$B$3:$B$5001,G$232,Base!$A$3:$A$5001,"&gt;="&amp;$C$7,Base!$A$3:$A$5001,"&lt;="&amp;$B249,Base!$Z$3:$Z$5001,"&lt;&gt;"))))</f>
        <v/>
      </c>
      <c r="H249" t="str">
        <f>IF($A249&gt;$B$9,"",IF(COUNTIFS(Base!$B$3:$B$5001,H$232,Base!$A$3:$A$5001,"&gt;="&amp;$C$7,Base!$A$3:$A$5001,"&lt;="&amp;$B249,Base!$Z$3:$Z$5001,"&lt;&gt;")=0,"",SUMIFS(Base!$Z$3:$Z$5001,Base!$B$3:$B$5001,H$232,Base!$A$3:$A$5001,_xlfn.MAXIFS(Base!$A$3:$A$5001,Base!$B$3:$B$5001,H$232,Base!$A$3:$A$5001,"&gt;="&amp;$C$7,Base!$A$3:$A$5001,"&lt;="&amp;$B249,Base!$Z$3:$Z$5001,"&lt;&gt;"))))</f>
        <v/>
      </c>
      <c r="I249" t="str">
        <f>IF($A249&gt;$B$9,"",IF(COUNTIFS(Base!$B$3:$B$5001,I$232,Base!$A$3:$A$5001,"&gt;="&amp;$C$7,Base!$A$3:$A$5001,"&lt;="&amp;$B249,Base!$Z$3:$Z$5001,"&lt;&gt;")=0,"",SUMIFS(Base!$Z$3:$Z$5001,Base!$B$3:$B$5001,I$232,Base!$A$3:$A$5001,_xlfn.MAXIFS(Base!$A$3:$A$5001,Base!$B$3:$B$5001,I$232,Base!$A$3:$A$5001,"&gt;="&amp;$C$7,Base!$A$3:$A$5001,"&lt;="&amp;$B249,Base!$Z$3:$Z$5001,"&lt;&gt;"))))</f>
        <v/>
      </c>
      <c r="J249" t="str">
        <f>IF($A249&gt;$B$9,"",IF(COUNTIFS(Base!$B$3:$B$5001,J$232,Base!$A$3:$A$5001,"&gt;="&amp;$C$7,Base!$A$3:$A$5001,"&lt;="&amp;$B249,Base!$Z$3:$Z$5001,"&lt;&gt;")=0,"",SUMIFS(Base!$Z$3:$Z$5001,Base!$B$3:$B$5001,J$232,Base!$A$3:$A$5001,_xlfn.MAXIFS(Base!$A$3:$A$5001,Base!$B$3:$B$5001,J$232,Base!$A$3:$A$5001,"&gt;="&amp;$C$7,Base!$A$3:$A$5001,"&lt;="&amp;$B249,Base!$Z$3:$Z$5001,"&lt;&gt;"))))</f>
        <v/>
      </c>
      <c r="K249" t="str">
        <f>IF($A249&gt;$B$9,"",IF(COUNTIFS(Base!$B$3:$B$5001,K$232,Base!$A$3:$A$5001,"&gt;="&amp;$C$7,Base!$A$3:$A$5001,"&lt;="&amp;$B249,Base!$Z$3:$Z$5001,"&lt;&gt;")=0,"",SUMIFS(Base!$Z$3:$Z$5001,Base!$B$3:$B$5001,K$232,Base!$A$3:$A$5001,_xlfn.MAXIFS(Base!$A$3:$A$5001,Base!$B$3:$B$5001,K$232,Base!$A$3:$A$5001,"&gt;="&amp;$C$7,Base!$A$3:$A$5001,"&lt;="&amp;$B249,Base!$Z$3:$Z$5001,"&lt;&gt;"))))</f>
        <v/>
      </c>
    </row>
    <row r="250">
      <c r="A250">
        <v>18</v>
      </c>
      <c r="B250" s="152">
        <f>$B$29</f>
        <v>46283</v>
      </c>
      <c r="C250" t="str">
        <f>IF($A250&gt;$B$9,"",IF(COUNTIFS(Base!$B$3:$B$5001,C$232,Base!$A$3:$A$5001,"&gt;="&amp;$C$7,Base!$A$3:$A$5001,"&lt;="&amp;$B250,Base!$Z$3:$Z$5001,"&lt;&gt;")=0,"",SUMIFS(Base!$Z$3:$Z$5001,Base!$B$3:$B$5001,C$232,Base!$A$3:$A$5001,_xlfn.MAXIFS(Base!$A$3:$A$5001,Base!$B$3:$B$5001,C$232,Base!$A$3:$A$5001,"&gt;="&amp;$C$7,Base!$A$3:$A$5001,"&lt;="&amp;$B250,Base!$Z$3:$Z$5001,"&lt;&gt;"))))</f>
        <v/>
      </c>
      <c r="D250" t="str">
        <f>IF($A250&gt;$B$9,"",IF(COUNTIFS(Base!$B$3:$B$5001,D$232,Base!$A$3:$A$5001,"&gt;="&amp;$C$7,Base!$A$3:$A$5001,"&lt;="&amp;$B250,Base!$Z$3:$Z$5001,"&lt;&gt;")=0,"",SUMIFS(Base!$Z$3:$Z$5001,Base!$B$3:$B$5001,D$232,Base!$A$3:$A$5001,_xlfn.MAXIFS(Base!$A$3:$A$5001,Base!$B$3:$B$5001,D$232,Base!$A$3:$A$5001,"&gt;="&amp;$C$7,Base!$A$3:$A$5001,"&lt;="&amp;$B250,Base!$Z$3:$Z$5001,"&lt;&gt;"))))</f>
        <v/>
      </c>
      <c r="E250" t="str">
        <f>IF($A250&gt;$B$9,"",IF(COUNTIFS(Base!$B$3:$B$5001,E$232,Base!$A$3:$A$5001,"&gt;="&amp;$C$7,Base!$A$3:$A$5001,"&lt;="&amp;$B250,Base!$Z$3:$Z$5001,"&lt;&gt;")=0,"",SUMIFS(Base!$Z$3:$Z$5001,Base!$B$3:$B$5001,E$232,Base!$A$3:$A$5001,_xlfn.MAXIFS(Base!$A$3:$A$5001,Base!$B$3:$B$5001,E$232,Base!$A$3:$A$5001,"&gt;="&amp;$C$7,Base!$A$3:$A$5001,"&lt;="&amp;$B250,Base!$Z$3:$Z$5001,"&lt;&gt;"))))</f>
        <v/>
      </c>
      <c r="F250" t="str">
        <f>IF($A250&gt;$B$9,"",IF(COUNTIFS(Base!$B$3:$B$5001,F$232,Base!$A$3:$A$5001,"&gt;="&amp;$C$7,Base!$A$3:$A$5001,"&lt;="&amp;$B250,Base!$Z$3:$Z$5001,"&lt;&gt;")=0,"",SUMIFS(Base!$Z$3:$Z$5001,Base!$B$3:$B$5001,F$232,Base!$A$3:$A$5001,_xlfn.MAXIFS(Base!$A$3:$A$5001,Base!$B$3:$B$5001,F$232,Base!$A$3:$A$5001,"&gt;="&amp;$C$7,Base!$A$3:$A$5001,"&lt;="&amp;$B250,Base!$Z$3:$Z$5001,"&lt;&gt;"))))</f>
        <v/>
      </c>
      <c r="G250" t="str">
        <f>IF($A250&gt;$B$9,"",IF(COUNTIFS(Base!$B$3:$B$5001,G$232,Base!$A$3:$A$5001,"&gt;="&amp;$C$7,Base!$A$3:$A$5001,"&lt;="&amp;$B250,Base!$Z$3:$Z$5001,"&lt;&gt;")=0,"",SUMIFS(Base!$Z$3:$Z$5001,Base!$B$3:$B$5001,G$232,Base!$A$3:$A$5001,_xlfn.MAXIFS(Base!$A$3:$A$5001,Base!$B$3:$B$5001,G$232,Base!$A$3:$A$5001,"&gt;="&amp;$C$7,Base!$A$3:$A$5001,"&lt;="&amp;$B250,Base!$Z$3:$Z$5001,"&lt;&gt;"))))</f>
        <v/>
      </c>
      <c r="H250" t="str">
        <f>IF($A250&gt;$B$9,"",IF(COUNTIFS(Base!$B$3:$B$5001,H$232,Base!$A$3:$A$5001,"&gt;="&amp;$C$7,Base!$A$3:$A$5001,"&lt;="&amp;$B250,Base!$Z$3:$Z$5001,"&lt;&gt;")=0,"",SUMIFS(Base!$Z$3:$Z$5001,Base!$B$3:$B$5001,H$232,Base!$A$3:$A$5001,_xlfn.MAXIFS(Base!$A$3:$A$5001,Base!$B$3:$B$5001,H$232,Base!$A$3:$A$5001,"&gt;="&amp;$C$7,Base!$A$3:$A$5001,"&lt;="&amp;$B250,Base!$Z$3:$Z$5001,"&lt;&gt;"))))</f>
        <v/>
      </c>
      <c r="I250" t="str">
        <f>IF($A250&gt;$B$9,"",IF(COUNTIFS(Base!$B$3:$B$5001,I$232,Base!$A$3:$A$5001,"&gt;="&amp;$C$7,Base!$A$3:$A$5001,"&lt;="&amp;$B250,Base!$Z$3:$Z$5001,"&lt;&gt;")=0,"",SUMIFS(Base!$Z$3:$Z$5001,Base!$B$3:$B$5001,I$232,Base!$A$3:$A$5001,_xlfn.MAXIFS(Base!$A$3:$A$5001,Base!$B$3:$B$5001,I$232,Base!$A$3:$A$5001,"&gt;="&amp;$C$7,Base!$A$3:$A$5001,"&lt;="&amp;$B250,Base!$Z$3:$Z$5001,"&lt;&gt;"))))</f>
        <v/>
      </c>
      <c r="J250" t="str">
        <f>IF($A250&gt;$B$9,"",IF(COUNTIFS(Base!$B$3:$B$5001,J$232,Base!$A$3:$A$5001,"&gt;="&amp;$C$7,Base!$A$3:$A$5001,"&lt;="&amp;$B250,Base!$Z$3:$Z$5001,"&lt;&gt;")=0,"",SUMIFS(Base!$Z$3:$Z$5001,Base!$B$3:$B$5001,J$232,Base!$A$3:$A$5001,_xlfn.MAXIFS(Base!$A$3:$A$5001,Base!$B$3:$B$5001,J$232,Base!$A$3:$A$5001,"&gt;="&amp;$C$7,Base!$A$3:$A$5001,"&lt;="&amp;$B250,Base!$Z$3:$Z$5001,"&lt;&gt;"))))</f>
        <v/>
      </c>
      <c r="K250" t="str">
        <f>IF($A250&gt;$B$9,"",IF(COUNTIFS(Base!$B$3:$B$5001,K$232,Base!$A$3:$A$5001,"&gt;="&amp;$C$7,Base!$A$3:$A$5001,"&lt;="&amp;$B250,Base!$Z$3:$Z$5001,"&lt;&gt;")=0,"",SUMIFS(Base!$Z$3:$Z$5001,Base!$B$3:$B$5001,K$232,Base!$A$3:$A$5001,_xlfn.MAXIFS(Base!$A$3:$A$5001,Base!$B$3:$B$5001,K$232,Base!$A$3:$A$5001,"&gt;="&amp;$C$7,Base!$A$3:$A$5001,"&lt;="&amp;$B250,Base!$Z$3:$Z$5001,"&lt;&gt;"))))</f>
        <v/>
      </c>
    </row>
    <row r="251">
      <c r="A251">
        <v>19</v>
      </c>
      <c r="B251" s="152">
        <f>$B$30</f>
        <v>46284</v>
      </c>
      <c r="C251" t="str">
        <f>IF($A251&gt;$B$9,"",IF(COUNTIFS(Base!$B$3:$B$5001,C$232,Base!$A$3:$A$5001,"&gt;="&amp;$C$7,Base!$A$3:$A$5001,"&lt;="&amp;$B251,Base!$Z$3:$Z$5001,"&lt;&gt;")=0,"",SUMIFS(Base!$Z$3:$Z$5001,Base!$B$3:$B$5001,C$232,Base!$A$3:$A$5001,_xlfn.MAXIFS(Base!$A$3:$A$5001,Base!$B$3:$B$5001,C$232,Base!$A$3:$A$5001,"&gt;="&amp;$C$7,Base!$A$3:$A$5001,"&lt;="&amp;$B251,Base!$Z$3:$Z$5001,"&lt;&gt;"))))</f>
        <v/>
      </c>
      <c r="D251" t="str">
        <f>IF($A251&gt;$B$9,"",IF(COUNTIFS(Base!$B$3:$B$5001,D$232,Base!$A$3:$A$5001,"&gt;="&amp;$C$7,Base!$A$3:$A$5001,"&lt;="&amp;$B251,Base!$Z$3:$Z$5001,"&lt;&gt;")=0,"",SUMIFS(Base!$Z$3:$Z$5001,Base!$B$3:$B$5001,D$232,Base!$A$3:$A$5001,_xlfn.MAXIFS(Base!$A$3:$A$5001,Base!$B$3:$B$5001,D$232,Base!$A$3:$A$5001,"&gt;="&amp;$C$7,Base!$A$3:$A$5001,"&lt;="&amp;$B251,Base!$Z$3:$Z$5001,"&lt;&gt;"))))</f>
        <v/>
      </c>
      <c r="E251" t="str">
        <f>IF($A251&gt;$B$9,"",IF(COUNTIFS(Base!$B$3:$B$5001,E$232,Base!$A$3:$A$5001,"&gt;="&amp;$C$7,Base!$A$3:$A$5001,"&lt;="&amp;$B251,Base!$Z$3:$Z$5001,"&lt;&gt;")=0,"",SUMIFS(Base!$Z$3:$Z$5001,Base!$B$3:$B$5001,E$232,Base!$A$3:$A$5001,_xlfn.MAXIFS(Base!$A$3:$A$5001,Base!$B$3:$B$5001,E$232,Base!$A$3:$A$5001,"&gt;="&amp;$C$7,Base!$A$3:$A$5001,"&lt;="&amp;$B251,Base!$Z$3:$Z$5001,"&lt;&gt;"))))</f>
        <v/>
      </c>
      <c r="F251" t="str">
        <f>IF($A251&gt;$B$9,"",IF(COUNTIFS(Base!$B$3:$B$5001,F$232,Base!$A$3:$A$5001,"&gt;="&amp;$C$7,Base!$A$3:$A$5001,"&lt;="&amp;$B251,Base!$Z$3:$Z$5001,"&lt;&gt;")=0,"",SUMIFS(Base!$Z$3:$Z$5001,Base!$B$3:$B$5001,F$232,Base!$A$3:$A$5001,_xlfn.MAXIFS(Base!$A$3:$A$5001,Base!$B$3:$B$5001,F$232,Base!$A$3:$A$5001,"&gt;="&amp;$C$7,Base!$A$3:$A$5001,"&lt;="&amp;$B251,Base!$Z$3:$Z$5001,"&lt;&gt;"))))</f>
        <v/>
      </c>
      <c r="G251" t="str">
        <f>IF($A251&gt;$B$9,"",IF(COUNTIFS(Base!$B$3:$B$5001,G$232,Base!$A$3:$A$5001,"&gt;="&amp;$C$7,Base!$A$3:$A$5001,"&lt;="&amp;$B251,Base!$Z$3:$Z$5001,"&lt;&gt;")=0,"",SUMIFS(Base!$Z$3:$Z$5001,Base!$B$3:$B$5001,G$232,Base!$A$3:$A$5001,_xlfn.MAXIFS(Base!$A$3:$A$5001,Base!$B$3:$B$5001,G$232,Base!$A$3:$A$5001,"&gt;="&amp;$C$7,Base!$A$3:$A$5001,"&lt;="&amp;$B251,Base!$Z$3:$Z$5001,"&lt;&gt;"))))</f>
        <v/>
      </c>
      <c r="H251" t="str">
        <f>IF($A251&gt;$B$9,"",IF(COUNTIFS(Base!$B$3:$B$5001,H$232,Base!$A$3:$A$5001,"&gt;="&amp;$C$7,Base!$A$3:$A$5001,"&lt;="&amp;$B251,Base!$Z$3:$Z$5001,"&lt;&gt;")=0,"",SUMIFS(Base!$Z$3:$Z$5001,Base!$B$3:$B$5001,H$232,Base!$A$3:$A$5001,_xlfn.MAXIFS(Base!$A$3:$A$5001,Base!$B$3:$B$5001,H$232,Base!$A$3:$A$5001,"&gt;="&amp;$C$7,Base!$A$3:$A$5001,"&lt;="&amp;$B251,Base!$Z$3:$Z$5001,"&lt;&gt;"))))</f>
        <v/>
      </c>
      <c r="I251" t="str">
        <f>IF($A251&gt;$B$9,"",IF(COUNTIFS(Base!$B$3:$B$5001,I$232,Base!$A$3:$A$5001,"&gt;="&amp;$C$7,Base!$A$3:$A$5001,"&lt;="&amp;$B251,Base!$Z$3:$Z$5001,"&lt;&gt;")=0,"",SUMIFS(Base!$Z$3:$Z$5001,Base!$B$3:$B$5001,I$232,Base!$A$3:$A$5001,_xlfn.MAXIFS(Base!$A$3:$A$5001,Base!$B$3:$B$5001,I$232,Base!$A$3:$A$5001,"&gt;="&amp;$C$7,Base!$A$3:$A$5001,"&lt;="&amp;$B251,Base!$Z$3:$Z$5001,"&lt;&gt;"))))</f>
        <v/>
      </c>
      <c r="J251" t="str">
        <f>IF($A251&gt;$B$9,"",IF(COUNTIFS(Base!$B$3:$B$5001,J$232,Base!$A$3:$A$5001,"&gt;="&amp;$C$7,Base!$A$3:$A$5001,"&lt;="&amp;$B251,Base!$Z$3:$Z$5001,"&lt;&gt;")=0,"",SUMIFS(Base!$Z$3:$Z$5001,Base!$B$3:$B$5001,J$232,Base!$A$3:$A$5001,_xlfn.MAXIFS(Base!$A$3:$A$5001,Base!$B$3:$B$5001,J$232,Base!$A$3:$A$5001,"&gt;="&amp;$C$7,Base!$A$3:$A$5001,"&lt;="&amp;$B251,Base!$Z$3:$Z$5001,"&lt;&gt;"))))</f>
        <v/>
      </c>
      <c r="K251" t="str">
        <f>IF($A251&gt;$B$9,"",IF(COUNTIFS(Base!$B$3:$B$5001,K$232,Base!$A$3:$A$5001,"&gt;="&amp;$C$7,Base!$A$3:$A$5001,"&lt;="&amp;$B251,Base!$Z$3:$Z$5001,"&lt;&gt;")=0,"",SUMIFS(Base!$Z$3:$Z$5001,Base!$B$3:$B$5001,K$232,Base!$A$3:$A$5001,_xlfn.MAXIFS(Base!$A$3:$A$5001,Base!$B$3:$B$5001,K$232,Base!$A$3:$A$5001,"&gt;="&amp;$C$7,Base!$A$3:$A$5001,"&lt;="&amp;$B251,Base!$Z$3:$Z$5001,"&lt;&gt;"))))</f>
        <v/>
      </c>
    </row>
    <row r="252">
      <c r="A252">
        <v>20</v>
      </c>
      <c r="B252" s="152">
        <f>$B$31</f>
        <v>46285</v>
      </c>
      <c r="C252" t="str">
        <f>IF($A252&gt;$B$9,"",IF(COUNTIFS(Base!$B$3:$B$5001,C$232,Base!$A$3:$A$5001,"&gt;="&amp;$C$7,Base!$A$3:$A$5001,"&lt;="&amp;$B252,Base!$Z$3:$Z$5001,"&lt;&gt;")=0,"",SUMIFS(Base!$Z$3:$Z$5001,Base!$B$3:$B$5001,C$232,Base!$A$3:$A$5001,_xlfn.MAXIFS(Base!$A$3:$A$5001,Base!$B$3:$B$5001,C$232,Base!$A$3:$A$5001,"&gt;="&amp;$C$7,Base!$A$3:$A$5001,"&lt;="&amp;$B252,Base!$Z$3:$Z$5001,"&lt;&gt;"))))</f>
        <v/>
      </c>
      <c r="D252" t="str">
        <f>IF($A252&gt;$B$9,"",IF(COUNTIFS(Base!$B$3:$B$5001,D$232,Base!$A$3:$A$5001,"&gt;="&amp;$C$7,Base!$A$3:$A$5001,"&lt;="&amp;$B252,Base!$Z$3:$Z$5001,"&lt;&gt;")=0,"",SUMIFS(Base!$Z$3:$Z$5001,Base!$B$3:$B$5001,D$232,Base!$A$3:$A$5001,_xlfn.MAXIFS(Base!$A$3:$A$5001,Base!$B$3:$B$5001,D$232,Base!$A$3:$A$5001,"&gt;="&amp;$C$7,Base!$A$3:$A$5001,"&lt;="&amp;$B252,Base!$Z$3:$Z$5001,"&lt;&gt;"))))</f>
        <v/>
      </c>
      <c r="E252" t="str">
        <f>IF($A252&gt;$B$9,"",IF(COUNTIFS(Base!$B$3:$B$5001,E$232,Base!$A$3:$A$5001,"&gt;="&amp;$C$7,Base!$A$3:$A$5001,"&lt;="&amp;$B252,Base!$Z$3:$Z$5001,"&lt;&gt;")=0,"",SUMIFS(Base!$Z$3:$Z$5001,Base!$B$3:$B$5001,E$232,Base!$A$3:$A$5001,_xlfn.MAXIFS(Base!$A$3:$A$5001,Base!$B$3:$B$5001,E$232,Base!$A$3:$A$5001,"&gt;="&amp;$C$7,Base!$A$3:$A$5001,"&lt;="&amp;$B252,Base!$Z$3:$Z$5001,"&lt;&gt;"))))</f>
        <v/>
      </c>
      <c r="F252" t="str">
        <f>IF($A252&gt;$B$9,"",IF(COUNTIFS(Base!$B$3:$B$5001,F$232,Base!$A$3:$A$5001,"&gt;="&amp;$C$7,Base!$A$3:$A$5001,"&lt;="&amp;$B252,Base!$Z$3:$Z$5001,"&lt;&gt;")=0,"",SUMIFS(Base!$Z$3:$Z$5001,Base!$B$3:$B$5001,F$232,Base!$A$3:$A$5001,_xlfn.MAXIFS(Base!$A$3:$A$5001,Base!$B$3:$B$5001,F$232,Base!$A$3:$A$5001,"&gt;="&amp;$C$7,Base!$A$3:$A$5001,"&lt;="&amp;$B252,Base!$Z$3:$Z$5001,"&lt;&gt;"))))</f>
        <v/>
      </c>
      <c r="G252" t="str">
        <f>IF($A252&gt;$B$9,"",IF(COUNTIFS(Base!$B$3:$B$5001,G$232,Base!$A$3:$A$5001,"&gt;="&amp;$C$7,Base!$A$3:$A$5001,"&lt;="&amp;$B252,Base!$Z$3:$Z$5001,"&lt;&gt;")=0,"",SUMIFS(Base!$Z$3:$Z$5001,Base!$B$3:$B$5001,G$232,Base!$A$3:$A$5001,_xlfn.MAXIFS(Base!$A$3:$A$5001,Base!$B$3:$B$5001,G$232,Base!$A$3:$A$5001,"&gt;="&amp;$C$7,Base!$A$3:$A$5001,"&lt;="&amp;$B252,Base!$Z$3:$Z$5001,"&lt;&gt;"))))</f>
        <v/>
      </c>
      <c r="H252" t="str">
        <f>IF($A252&gt;$B$9,"",IF(COUNTIFS(Base!$B$3:$B$5001,H$232,Base!$A$3:$A$5001,"&gt;="&amp;$C$7,Base!$A$3:$A$5001,"&lt;="&amp;$B252,Base!$Z$3:$Z$5001,"&lt;&gt;")=0,"",SUMIFS(Base!$Z$3:$Z$5001,Base!$B$3:$B$5001,H$232,Base!$A$3:$A$5001,_xlfn.MAXIFS(Base!$A$3:$A$5001,Base!$B$3:$B$5001,H$232,Base!$A$3:$A$5001,"&gt;="&amp;$C$7,Base!$A$3:$A$5001,"&lt;="&amp;$B252,Base!$Z$3:$Z$5001,"&lt;&gt;"))))</f>
        <v/>
      </c>
      <c r="I252" t="str">
        <f>IF($A252&gt;$B$9,"",IF(COUNTIFS(Base!$B$3:$B$5001,I$232,Base!$A$3:$A$5001,"&gt;="&amp;$C$7,Base!$A$3:$A$5001,"&lt;="&amp;$B252,Base!$Z$3:$Z$5001,"&lt;&gt;")=0,"",SUMIFS(Base!$Z$3:$Z$5001,Base!$B$3:$B$5001,I$232,Base!$A$3:$A$5001,_xlfn.MAXIFS(Base!$A$3:$A$5001,Base!$B$3:$B$5001,I$232,Base!$A$3:$A$5001,"&gt;="&amp;$C$7,Base!$A$3:$A$5001,"&lt;="&amp;$B252,Base!$Z$3:$Z$5001,"&lt;&gt;"))))</f>
        <v/>
      </c>
      <c r="J252" t="str">
        <f>IF($A252&gt;$B$9,"",IF(COUNTIFS(Base!$B$3:$B$5001,J$232,Base!$A$3:$A$5001,"&gt;="&amp;$C$7,Base!$A$3:$A$5001,"&lt;="&amp;$B252,Base!$Z$3:$Z$5001,"&lt;&gt;")=0,"",SUMIFS(Base!$Z$3:$Z$5001,Base!$B$3:$B$5001,J$232,Base!$A$3:$A$5001,_xlfn.MAXIFS(Base!$A$3:$A$5001,Base!$B$3:$B$5001,J$232,Base!$A$3:$A$5001,"&gt;="&amp;$C$7,Base!$A$3:$A$5001,"&lt;="&amp;$B252,Base!$Z$3:$Z$5001,"&lt;&gt;"))))</f>
        <v/>
      </c>
      <c r="K252" t="str">
        <f>IF($A252&gt;$B$9,"",IF(COUNTIFS(Base!$B$3:$B$5001,K$232,Base!$A$3:$A$5001,"&gt;="&amp;$C$7,Base!$A$3:$A$5001,"&lt;="&amp;$B252,Base!$Z$3:$Z$5001,"&lt;&gt;")=0,"",SUMIFS(Base!$Z$3:$Z$5001,Base!$B$3:$B$5001,K$232,Base!$A$3:$A$5001,_xlfn.MAXIFS(Base!$A$3:$A$5001,Base!$B$3:$B$5001,K$232,Base!$A$3:$A$5001,"&gt;="&amp;$C$7,Base!$A$3:$A$5001,"&lt;="&amp;$B252,Base!$Z$3:$Z$5001,"&lt;&gt;"))))</f>
        <v/>
      </c>
    </row>
    <row r="253">
      <c r="A253">
        <v>21</v>
      </c>
      <c r="B253" s="152">
        <f>$B$32</f>
        <v>46286</v>
      </c>
      <c r="C253" t="str">
        <f>IF($A253&gt;$B$9,"",IF(COUNTIFS(Base!$B$3:$B$5001,C$232,Base!$A$3:$A$5001,"&gt;="&amp;$C$7,Base!$A$3:$A$5001,"&lt;="&amp;$B253,Base!$Z$3:$Z$5001,"&lt;&gt;")=0,"",SUMIFS(Base!$Z$3:$Z$5001,Base!$B$3:$B$5001,C$232,Base!$A$3:$A$5001,_xlfn.MAXIFS(Base!$A$3:$A$5001,Base!$B$3:$B$5001,C$232,Base!$A$3:$A$5001,"&gt;="&amp;$C$7,Base!$A$3:$A$5001,"&lt;="&amp;$B253,Base!$Z$3:$Z$5001,"&lt;&gt;"))))</f>
        <v/>
      </c>
      <c r="D253" t="str">
        <f>IF($A253&gt;$B$9,"",IF(COUNTIFS(Base!$B$3:$B$5001,D$232,Base!$A$3:$A$5001,"&gt;="&amp;$C$7,Base!$A$3:$A$5001,"&lt;="&amp;$B253,Base!$Z$3:$Z$5001,"&lt;&gt;")=0,"",SUMIFS(Base!$Z$3:$Z$5001,Base!$B$3:$B$5001,D$232,Base!$A$3:$A$5001,_xlfn.MAXIFS(Base!$A$3:$A$5001,Base!$B$3:$B$5001,D$232,Base!$A$3:$A$5001,"&gt;="&amp;$C$7,Base!$A$3:$A$5001,"&lt;="&amp;$B253,Base!$Z$3:$Z$5001,"&lt;&gt;"))))</f>
        <v/>
      </c>
      <c r="E253" t="str">
        <f>IF($A253&gt;$B$9,"",IF(COUNTIFS(Base!$B$3:$B$5001,E$232,Base!$A$3:$A$5001,"&gt;="&amp;$C$7,Base!$A$3:$A$5001,"&lt;="&amp;$B253,Base!$Z$3:$Z$5001,"&lt;&gt;")=0,"",SUMIFS(Base!$Z$3:$Z$5001,Base!$B$3:$B$5001,E$232,Base!$A$3:$A$5001,_xlfn.MAXIFS(Base!$A$3:$A$5001,Base!$B$3:$B$5001,E$232,Base!$A$3:$A$5001,"&gt;="&amp;$C$7,Base!$A$3:$A$5001,"&lt;="&amp;$B253,Base!$Z$3:$Z$5001,"&lt;&gt;"))))</f>
        <v/>
      </c>
      <c r="F253" t="str">
        <f>IF($A253&gt;$B$9,"",IF(COUNTIFS(Base!$B$3:$B$5001,F$232,Base!$A$3:$A$5001,"&gt;="&amp;$C$7,Base!$A$3:$A$5001,"&lt;="&amp;$B253,Base!$Z$3:$Z$5001,"&lt;&gt;")=0,"",SUMIFS(Base!$Z$3:$Z$5001,Base!$B$3:$B$5001,F$232,Base!$A$3:$A$5001,_xlfn.MAXIFS(Base!$A$3:$A$5001,Base!$B$3:$B$5001,F$232,Base!$A$3:$A$5001,"&gt;="&amp;$C$7,Base!$A$3:$A$5001,"&lt;="&amp;$B253,Base!$Z$3:$Z$5001,"&lt;&gt;"))))</f>
        <v/>
      </c>
      <c r="G253" t="str">
        <f>IF($A253&gt;$B$9,"",IF(COUNTIFS(Base!$B$3:$B$5001,G$232,Base!$A$3:$A$5001,"&gt;="&amp;$C$7,Base!$A$3:$A$5001,"&lt;="&amp;$B253,Base!$Z$3:$Z$5001,"&lt;&gt;")=0,"",SUMIFS(Base!$Z$3:$Z$5001,Base!$B$3:$B$5001,G$232,Base!$A$3:$A$5001,_xlfn.MAXIFS(Base!$A$3:$A$5001,Base!$B$3:$B$5001,G$232,Base!$A$3:$A$5001,"&gt;="&amp;$C$7,Base!$A$3:$A$5001,"&lt;="&amp;$B253,Base!$Z$3:$Z$5001,"&lt;&gt;"))))</f>
        <v/>
      </c>
      <c r="H253" t="str">
        <f>IF($A253&gt;$B$9,"",IF(COUNTIFS(Base!$B$3:$B$5001,H$232,Base!$A$3:$A$5001,"&gt;="&amp;$C$7,Base!$A$3:$A$5001,"&lt;="&amp;$B253,Base!$Z$3:$Z$5001,"&lt;&gt;")=0,"",SUMIFS(Base!$Z$3:$Z$5001,Base!$B$3:$B$5001,H$232,Base!$A$3:$A$5001,_xlfn.MAXIFS(Base!$A$3:$A$5001,Base!$B$3:$B$5001,H$232,Base!$A$3:$A$5001,"&gt;="&amp;$C$7,Base!$A$3:$A$5001,"&lt;="&amp;$B253,Base!$Z$3:$Z$5001,"&lt;&gt;"))))</f>
        <v/>
      </c>
      <c r="I253" t="str">
        <f>IF($A253&gt;$B$9,"",IF(COUNTIFS(Base!$B$3:$B$5001,I$232,Base!$A$3:$A$5001,"&gt;="&amp;$C$7,Base!$A$3:$A$5001,"&lt;="&amp;$B253,Base!$Z$3:$Z$5001,"&lt;&gt;")=0,"",SUMIFS(Base!$Z$3:$Z$5001,Base!$B$3:$B$5001,I$232,Base!$A$3:$A$5001,_xlfn.MAXIFS(Base!$A$3:$A$5001,Base!$B$3:$B$5001,I$232,Base!$A$3:$A$5001,"&gt;="&amp;$C$7,Base!$A$3:$A$5001,"&lt;="&amp;$B253,Base!$Z$3:$Z$5001,"&lt;&gt;"))))</f>
        <v/>
      </c>
      <c r="J253" t="str">
        <f>IF($A253&gt;$B$9,"",IF(COUNTIFS(Base!$B$3:$B$5001,J$232,Base!$A$3:$A$5001,"&gt;="&amp;$C$7,Base!$A$3:$A$5001,"&lt;="&amp;$B253,Base!$Z$3:$Z$5001,"&lt;&gt;")=0,"",SUMIFS(Base!$Z$3:$Z$5001,Base!$B$3:$B$5001,J$232,Base!$A$3:$A$5001,_xlfn.MAXIFS(Base!$A$3:$A$5001,Base!$B$3:$B$5001,J$232,Base!$A$3:$A$5001,"&gt;="&amp;$C$7,Base!$A$3:$A$5001,"&lt;="&amp;$B253,Base!$Z$3:$Z$5001,"&lt;&gt;"))))</f>
        <v/>
      </c>
      <c r="K253" t="str">
        <f>IF($A253&gt;$B$9,"",IF(COUNTIFS(Base!$B$3:$B$5001,K$232,Base!$A$3:$A$5001,"&gt;="&amp;$C$7,Base!$A$3:$A$5001,"&lt;="&amp;$B253,Base!$Z$3:$Z$5001,"&lt;&gt;")=0,"",SUMIFS(Base!$Z$3:$Z$5001,Base!$B$3:$B$5001,K$232,Base!$A$3:$A$5001,_xlfn.MAXIFS(Base!$A$3:$A$5001,Base!$B$3:$B$5001,K$232,Base!$A$3:$A$5001,"&gt;="&amp;$C$7,Base!$A$3:$A$5001,"&lt;="&amp;$B253,Base!$Z$3:$Z$5001,"&lt;&gt;"))))</f>
        <v/>
      </c>
    </row>
    <row r="254">
      <c r="A254">
        <v>22</v>
      </c>
      <c r="B254" s="152">
        <f>$B$33</f>
        <v>46287</v>
      </c>
      <c r="C254" t="str">
        <f>IF($A254&gt;$B$9,"",IF(COUNTIFS(Base!$B$3:$B$5001,C$232,Base!$A$3:$A$5001,"&gt;="&amp;$C$7,Base!$A$3:$A$5001,"&lt;="&amp;$B254,Base!$Z$3:$Z$5001,"&lt;&gt;")=0,"",SUMIFS(Base!$Z$3:$Z$5001,Base!$B$3:$B$5001,C$232,Base!$A$3:$A$5001,_xlfn.MAXIFS(Base!$A$3:$A$5001,Base!$B$3:$B$5001,C$232,Base!$A$3:$A$5001,"&gt;="&amp;$C$7,Base!$A$3:$A$5001,"&lt;="&amp;$B254,Base!$Z$3:$Z$5001,"&lt;&gt;"))))</f>
        <v/>
      </c>
      <c r="D254" t="str">
        <f>IF($A254&gt;$B$9,"",IF(COUNTIFS(Base!$B$3:$B$5001,D$232,Base!$A$3:$A$5001,"&gt;="&amp;$C$7,Base!$A$3:$A$5001,"&lt;="&amp;$B254,Base!$Z$3:$Z$5001,"&lt;&gt;")=0,"",SUMIFS(Base!$Z$3:$Z$5001,Base!$B$3:$B$5001,D$232,Base!$A$3:$A$5001,_xlfn.MAXIFS(Base!$A$3:$A$5001,Base!$B$3:$B$5001,D$232,Base!$A$3:$A$5001,"&gt;="&amp;$C$7,Base!$A$3:$A$5001,"&lt;="&amp;$B254,Base!$Z$3:$Z$5001,"&lt;&gt;"))))</f>
        <v/>
      </c>
      <c r="E254" t="str">
        <f>IF($A254&gt;$B$9,"",IF(COUNTIFS(Base!$B$3:$B$5001,E$232,Base!$A$3:$A$5001,"&gt;="&amp;$C$7,Base!$A$3:$A$5001,"&lt;="&amp;$B254,Base!$Z$3:$Z$5001,"&lt;&gt;")=0,"",SUMIFS(Base!$Z$3:$Z$5001,Base!$B$3:$B$5001,E$232,Base!$A$3:$A$5001,_xlfn.MAXIFS(Base!$A$3:$A$5001,Base!$B$3:$B$5001,E$232,Base!$A$3:$A$5001,"&gt;="&amp;$C$7,Base!$A$3:$A$5001,"&lt;="&amp;$B254,Base!$Z$3:$Z$5001,"&lt;&gt;"))))</f>
        <v/>
      </c>
      <c r="F254" t="str">
        <f>IF($A254&gt;$B$9,"",IF(COUNTIFS(Base!$B$3:$B$5001,F$232,Base!$A$3:$A$5001,"&gt;="&amp;$C$7,Base!$A$3:$A$5001,"&lt;="&amp;$B254,Base!$Z$3:$Z$5001,"&lt;&gt;")=0,"",SUMIFS(Base!$Z$3:$Z$5001,Base!$B$3:$B$5001,F$232,Base!$A$3:$A$5001,_xlfn.MAXIFS(Base!$A$3:$A$5001,Base!$B$3:$B$5001,F$232,Base!$A$3:$A$5001,"&gt;="&amp;$C$7,Base!$A$3:$A$5001,"&lt;="&amp;$B254,Base!$Z$3:$Z$5001,"&lt;&gt;"))))</f>
        <v/>
      </c>
      <c r="G254" t="str">
        <f>IF($A254&gt;$B$9,"",IF(COUNTIFS(Base!$B$3:$B$5001,G$232,Base!$A$3:$A$5001,"&gt;="&amp;$C$7,Base!$A$3:$A$5001,"&lt;="&amp;$B254,Base!$Z$3:$Z$5001,"&lt;&gt;")=0,"",SUMIFS(Base!$Z$3:$Z$5001,Base!$B$3:$B$5001,G$232,Base!$A$3:$A$5001,_xlfn.MAXIFS(Base!$A$3:$A$5001,Base!$B$3:$B$5001,G$232,Base!$A$3:$A$5001,"&gt;="&amp;$C$7,Base!$A$3:$A$5001,"&lt;="&amp;$B254,Base!$Z$3:$Z$5001,"&lt;&gt;"))))</f>
        <v/>
      </c>
      <c r="H254" t="str">
        <f>IF($A254&gt;$B$9,"",IF(COUNTIFS(Base!$B$3:$B$5001,H$232,Base!$A$3:$A$5001,"&gt;="&amp;$C$7,Base!$A$3:$A$5001,"&lt;="&amp;$B254,Base!$Z$3:$Z$5001,"&lt;&gt;")=0,"",SUMIFS(Base!$Z$3:$Z$5001,Base!$B$3:$B$5001,H$232,Base!$A$3:$A$5001,_xlfn.MAXIFS(Base!$A$3:$A$5001,Base!$B$3:$B$5001,H$232,Base!$A$3:$A$5001,"&gt;="&amp;$C$7,Base!$A$3:$A$5001,"&lt;="&amp;$B254,Base!$Z$3:$Z$5001,"&lt;&gt;"))))</f>
        <v/>
      </c>
      <c r="I254" t="str">
        <f>IF($A254&gt;$B$9,"",IF(COUNTIFS(Base!$B$3:$B$5001,I$232,Base!$A$3:$A$5001,"&gt;="&amp;$C$7,Base!$A$3:$A$5001,"&lt;="&amp;$B254,Base!$Z$3:$Z$5001,"&lt;&gt;")=0,"",SUMIFS(Base!$Z$3:$Z$5001,Base!$B$3:$B$5001,I$232,Base!$A$3:$A$5001,_xlfn.MAXIFS(Base!$A$3:$A$5001,Base!$B$3:$B$5001,I$232,Base!$A$3:$A$5001,"&gt;="&amp;$C$7,Base!$A$3:$A$5001,"&lt;="&amp;$B254,Base!$Z$3:$Z$5001,"&lt;&gt;"))))</f>
        <v/>
      </c>
      <c r="J254" t="str">
        <f>IF($A254&gt;$B$9,"",IF(COUNTIFS(Base!$B$3:$B$5001,J$232,Base!$A$3:$A$5001,"&gt;="&amp;$C$7,Base!$A$3:$A$5001,"&lt;="&amp;$B254,Base!$Z$3:$Z$5001,"&lt;&gt;")=0,"",SUMIFS(Base!$Z$3:$Z$5001,Base!$B$3:$B$5001,J$232,Base!$A$3:$A$5001,_xlfn.MAXIFS(Base!$A$3:$A$5001,Base!$B$3:$B$5001,J$232,Base!$A$3:$A$5001,"&gt;="&amp;$C$7,Base!$A$3:$A$5001,"&lt;="&amp;$B254,Base!$Z$3:$Z$5001,"&lt;&gt;"))))</f>
        <v/>
      </c>
      <c r="K254" t="str">
        <f>IF($A254&gt;$B$9,"",IF(COUNTIFS(Base!$B$3:$B$5001,K$232,Base!$A$3:$A$5001,"&gt;="&amp;$C$7,Base!$A$3:$A$5001,"&lt;="&amp;$B254,Base!$Z$3:$Z$5001,"&lt;&gt;")=0,"",SUMIFS(Base!$Z$3:$Z$5001,Base!$B$3:$B$5001,K$232,Base!$A$3:$A$5001,_xlfn.MAXIFS(Base!$A$3:$A$5001,Base!$B$3:$B$5001,K$232,Base!$A$3:$A$5001,"&gt;="&amp;$C$7,Base!$A$3:$A$5001,"&lt;="&amp;$B254,Base!$Z$3:$Z$5001,"&lt;&gt;"))))</f>
        <v/>
      </c>
    </row>
    <row r="255">
      <c r="A255">
        <v>23</v>
      </c>
      <c r="B255" s="152">
        <f>$B$34</f>
        <v>46288</v>
      </c>
      <c r="C255" t="str">
        <f>IF($A255&gt;$B$9,"",IF(COUNTIFS(Base!$B$3:$B$5001,C$232,Base!$A$3:$A$5001,"&gt;="&amp;$C$7,Base!$A$3:$A$5001,"&lt;="&amp;$B255,Base!$Z$3:$Z$5001,"&lt;&gt;")=0,"",SUMIFS(Base!$Z$3:$Z$5001,Base!$B$3:$B$5001,C$232,Base!$A$3:$A$5001,_xlfn.MAXIFS(Base!$A$3:$A$5001,Base!$B$3:$B$5001,C$232,Base!$A$3:$A$5001,"&gt;="&amp;$C$7,Base!$A$3:$A$5001,"&lt;="&amp;$B255,Base!$Z$3:$Z$5001,"&lt;&gt;"))))</f>
        <v/>
      </c>
      <c r="D255" t="str">
        <f>IF($A255&gt;$B$9,"",IF(COUNTIFS(Base!$B$3:$B$5001,D$232,Base!$A$3:$A$5001,"&gt;="&amp;$C$7,Base!$A$3:$A$5001,"&lt;="&amp;$B255,Base!$Z$3:$Z$5001,"&lt;&gt;")=0,"",SUMIFS(Base!$Z$3:$Z$5001,Base!$B$3:$B$5001,D$232,Base!$A$3:$A$5001,_xlfn.MAXIFS(Base!$A$3:$A$5001,Base!$B$3:$B$5001,D$232,Base!$A$3:$A$5001,"&gt;="&amp;$C$7,Base!$A$3:$A$5001,"&lt;="&amp;$B255,Base!$Z$3:$Z$5001,"&lt;&gt;"))))</f>
        <v/>
      </c>
      <c r="E255" t="str">
        <f>IF($A255&gt;$B$9,"",IF(COUNTIFS(Base!$B$3:$B$5001,E$232,Base!$A$3:$A$5001,"&gt;="&amp;$C$7,Base!$A$3:$A$5001,"&lt;="&amp;$B255,Base!$Z$3:$Z$5001,"&lt;&gt;")=0,"",SUMIFS(Base!$Z$3:$Z$5001,Base!$B$3:$B$5001,E$232,Base!$A$3:$A$5001,_xlfn.MAXIFS(Base!$A$3:$A$5001,Base!$B$3:$B$5001,E$232,Base!$A$3:$A$5001,"&gt;="&amp;$C$7,Base!$A$3:$A$5001,"&lt;="&amp;$B255,Base!$Z$3:$Z$5001,"&lt;&gt;"))))</f>
        <v/>
      </c>
      <c r="F255" t="str">
        <f>IF($A255&gt;$B$9,"",IF(COUNTIFS(Base!$B$3:$B$5001,F$232,Base!$A$3:$A$5001,"&gt;="&amp;$C$7,Base!$A$3:$A$5001,"&lt;="&amp;$B255,Base!$Z$3:$Z$5001,"&lt;&gt;")=0,"",SUMIFS(Base!$Z$3:$Z$5001,Base!$B$3:$B$5001,F$232,Base!$A$3:$A$5001,_xlfn.MAXIFS(Base!$A$3:$A$5001,Base!$B$3:$B$5001,F$232,Base!$A$3:$A$5001,"&gt;="&amp;$C$7,Base!$A$3:$A$5001,"&lt;="&amp;$B255,Base!$Z$3:$Z$5001,"&lt;&gt;"))))</f>
        <v/>
      </c>
      <c r="G255" t="str">
        <f>IF($A255&gt;$B$9,"",IF(COUNTIFS(Base!$B$3:$B$5001,G$232,Base!$A$3:$A$5001,"&gt;="&amp;$C$7,Base!$A$3:$A$5001,"&lt;="&amp;$B255,Base!$Z$3:$Z$5001,"&lt;&gt;")=0,"",SUMIFS(Base!$Z$3:$Z$5001,Base!$B$3:$B$5001,G$232,Base!$A$3:$A$5001,_xlfn.MAXIFS(Base!$A$3:$A$5001,Base!$B$3:$B$5001,G$232,Base!$A$3:$A$5001,"&gt;="&amp;$C$7,Base!$A$3:$A$5001,"&lt;="&amp;$B255,Base!$Z$3:$Z$5001,"&lt;&gt;"))))</f>
        <v/>
      </c>
      <c r="H255" t="str">
        <f>IF($A255&gt;$B$9,"",IF(COUNTIFS(Base!$B$3:$B$5001,H$232,Base!$A$3:$A$5001,"&gt;="&amp;$C$7,Base!$A$3:$A$5001,"&lt;="&amp;$B255,Base!$Z$3:$Z$5001,"&lt;&gt;")=0,"",SUMIFS(Base!$Z$3:$Z$5001,Base!$B$3:$B$5001,H$232,Base!$A$3:$A$5001,_xlfn.MAXIFS(Base!$A$3:$A$5001,Base!$B$3:$B$5001,H$232,Base!$A$3:$A$5001,"&gt;="&amp;$C$7,Base!$A$3:$A$5001,"&lt;="&amp;$B255,Base!$Z$3:$Z$5001,"&lt;&gt;"))))</f>
        <v/>
      </c>
      <c r="I255" t="str">
        <f>IF($A255&gt;$B$9,"",IF(COUNTIFS(Base!$B$3:$B$5001,I$232,Base!$A$3:$A$5001,"&gt;="&amp;$C$7,Base!$A$3:$A$5001,"&lt;="&amp;$B255,Base!$Z$3:$Z$5001,"&lt;&gt;")=0,"",SUMIFS(Base!$Z$3:$Z$5001,Base!$B$3:$B$5001,I$232,Base!$A$3:$A$5001,_xlfn.MAXIFS(Base!$A$3:$A$5001,Base!$B$3:$B$5001,I$232,Base!$A$3:$A$5001,"&gt;="&amp;$C$7,Base!$A$3:$A$5001,"&lt;="&amp;$B255,Base!$Z$3:$Z$5001,"&lt;&gt;"))))</f>
        <v/>
      </c>
      <c r="J255" t="str">
        <f>IF($A255&gt;$B$9,"",IF(COUNTIFS(Base!$B$3:$B$5001,J$232,Base!$A$3:$A$5001,"&gt;="&amp;$C$7,Base!$A$3:$A$5001,"&lt;="&amp;$B255,Base!$Z$3:$Z$5001,"&lt;&gt;")=0,"",SUMIFS(Base!$Z$3:$Z$5001,Base!$B$3:$B$5001,J$232,Base!$A$3:$A$5001,_xlfn.MAXIFS(Base!$A$3:$A$5001,Base!$B$3:$B$5001,J$232,Base!$A$3:$A$5001,"&gt;="&amp;$C$7,Base!$A$3:$A$5001,"&lt;="&amp;$B255,Base!$Z$3:$Z$5001,"&lt;&gt;"))))</f>
        <v/>
      </c>
      <c r="K255" t="str">
        <f>IF($A255&gt;$B$9,"",IF(COUNTIFS(Base!$B$3:$B$5001,K$232,Base!$A$3:$A$5001,"&gt;="&amp;$C$7,Base!$A$3:$A$5001,"&lt;="&amp;$B255,Base!$Z$3:$Z$5001,"&lt;&gt;")=0,"",SUMIFS(Base!$Z$3:$Z$5001,Base!$B$3:$B$5001,K$232,Base!$A$3:$A$5001,_xlfn.MAXIFS(Base!$A$3:$A$5001,Base!$B$3:$B$5001,K$232,Base!$A$3:$A$5001,"&gt;="&amp;$C$7,Base!$A$3:$A$5001,"&lt;="&amp;$B255,Base!$Z$3:$Z$5001,"&lt;&gt;"))))</f>
        <v/>
      </c>
    </row>
    <row r="256">
      <c r="A256">
        <v>24</v>
      </c>
      <c r="B256" s="152">
        <f>$B$35</f>
        <v>46289</v>
      </c>
      <c r="C256" t="str">
        <f>IF($A256&gt;$B$9,"",IF(COUNTIFS(Base!$B$3:$B$5001,C$232,Base!$A$3:$A$5001,"&gt;="&amp;$C$7,Base!$A$3:$A$5001,"&lt;="&amp;$B256,Base!$Z$3:$Z$5001,"&lt;&gt;")=0,"",SUMIFS(Base!$Z$3:$Z$5001,Base!$B$3:$B$5001,C$232,Base!$A$3:$A$5001,_xlfn.MAXIFS(Base!$A$3:$A$5001,Base!$B$3:$B$5001,C$232,Base!$A$3:$A$5001,"&gt;="&amp;$C$7,Base!$A$3:$A$5001,"&lt;="&amp;$B256,Base!$Z$3:$Z$5001,"&lt;&gt;"))))</f>
        <v/>
      </c>
      <c r="D256" t="str">
        <f>IF($A256&gt;$B$9,"",IF(COUNTIFS(Base!$B$3:$B$5001,D$232,Base!$A$3:$A$5001,"&gt;="&amp;$C$7,Base!$A$3:$A$5001,"&lt;="&amp;$B256,Base!$Z$3:$Z$5001,"&lt;&gt;")=0,"",SUMIFS(Base!$Z$3:$Z$5001,Base!$B$3:$B$5001,D$232,Base!$A$3:$A$5001,_xlfn.MAXIFS(Base!$A$3:$A$5001,Base!$B$3:$B$5001,D$232,Base!$A$3:$A$5001,"&gt;="&amp;$C$7,Base!$A$3:$A$5001,"&lt;="&amp;$B256,Base!$Z$3:$Z$5001,"&lt;&gt;"))))</f>
        <v/>
      </c>
      <c r="E256" t="str">
        <f>IF($A256&gt;$B$9,"",IF(COUNTIFS(Base!$B$3:$B$5001,E$232,Base!$A$3:$A$5001,"&gt;="&amp;$C$7,Base!$A$3:$A$5001,"&lt;="&amp;$B256,Base!$Z$3:$Z$5001,"&lt;&gt;")=0,"",SUMIFS(Base!$Z$3:$Z$5001,Base!$B$3:$B$5001,E$232,Base!$A$3:$A$5001,_xlfn.MAXIFS(Base!$A$3:$A$5001,Base!$B$3:$B$5001,E$232,Base!$A$3:$A$5001,"&gt;="&amp;$C$7,Base!$A$3:$A$5001,"&lt;="&amp;$B256,Base!$Z$3:$Z$5001,"&lt;&gt;"))))</f>
        <v/>
      </c>
      <c r="F256" t="str">
        <f>IF($A256&gt;$B$9,"",IF(COUNTIFS(Base!$B$3:$B$5001,F$232,Base!$A$3:$A$5001,"&gt;="&amp;$C$7,Base!$A$3:$A$5001,"&lt;="&amp;$B256,Base!$Z$3:$Z$5001,"&lt;&gt;")=0,"",SUMIFS(Base!$Z$3:$Z$5001,Base!$B$3:$B$5001,F$232,Base!$A$3:$A$5001,_xlfn.MAXIFS(Base!$A$3:$A$5001,Base!$B$3:$B$5001,F$232,Base!$A$3:$A$5001,"&gt;="&amp;$C$7,Base!$A$3:$A$5001,"&lt;="&amp;$B256,Base!$Z$3:$Z$5001,"&lt;&gt;"))))</f>
        <v/>
      </c>
      <c r="G256" t="str">
        <f>IF($A256&gt;$B$9,"",IF(COUNTIFS(Base!$B$3:$B$5001,G$232,Base!$A$3:$A$5001,"&gt;="&amp;$C$7,Base!$A$3:$A$5001,"&lt;="&amp;$B256,Base!$Z$3:$Z$5001,"&lt;&gt;")=0,"",SUMIFS(Base!$Z$3:$Z$5001,Base!$B$3:$B$5001,G$232,Base!$A$3:$A$5001,_xlfn.MAXIFS(Base!$A$3:$A$5001,Base!$B$3:$B$5001,G$232,Base!$A$3:$A$5001,"&gt;="&amp;$C$7,Base!$A$3:$A$5001,"&lt;="&amp;$B256,Base!$Z$3:$Z$5001,"&lt;&gt;"))))</f>
        <v/>
      </c>
      <c r="H256" t="str">
        <f>IF($A256&gt;$B$9,"",IF(COUNTIFS(Base!$B$3:$B$5001,H$232,Base!$A$3:$A$5001,"&gt;="&amp;$C$7,Base!$A$3:$A$5001,"&lt;="&amp;$B256,Base!$Z$3:$Z$5001,"&lt;&gt;")=0,"",SUMIFS(Base!$Z$3:$Z$5001,Base!$B$3:$B$5001,H$232,Base!$A$3:$A$5001,_xlfn.MAXIFS(Base!$A$3:$A$5001,Base!$B$3:$B$5001,H$232,Base!$A$3:$A$5001,"&gt;="&amp;$C$7,Base!$A$3:$A$5001,"&lt;="&amp;$B256,Base!$Z$3:$Z$5001,"&lt;&gt;"))))</f>
        <v/>
      </c>
      <c r="I256" t="str">
        <f>IF($A256&gt;$B$9,"",IF(COUNTIFS(Base!$B$3:$B$5001,I$232,Base!$A$3:$A$5001,"&gt;="&amp;$C$7,Base!$A$3:$A$5001,"&lt;="&amp;$B256,Base!$Z$3:$Z$5001,"&lt;&gt;")=0,"",SUMIFS(Base!$Z$3:$Z$5001,Base!$B$3:$B$5001,I$232,Base!$A$3:$A$5001,_xlfn.MAXIFS(Base!$A$3:$A$5001,Base!$B$3:$B$5001,I$232,Base!$A$3:$A$5001,"&gt;="&amp;$C$7,Base!$A$3:$A$5001,"&lt;="&amp;$B256,Base!$Z$3:$Z$5001,"&lt;&gt;"))))</f>
        <v/>
      </c>
      <c r="J256" t="str">
        <f>IF($A256&gt;$B$9,"",IF(COUNTIFS(Base!$B$3:$B$5001,J$232,Base!$A$3:$A$5001,"&gt;="&amp;$C$7,Base!$A$3:$A$5001,"&lt;="&amp;$B256,Base!$Z$3:$Z$5001,"&lt;&gt;")=0,"",SUMIFS(Base!$Z$3:$Z$5001,Base!$B$3:$B$5001,J$232,Base!$A$3:$A$5001,_xlfn.MAXIFS(Base!$A$3:$A$5001,Base!$B$3:$B$5001,J$232,Base!$A$3:$A$5001,"&gt;="&amp;$C$7,Base!$A$3:$A$5001,"&lt;="&amp;$B256,Base!$Z$3:$Z$5001,"&lt;&gt;"))))</f>
        <v/>
      </c>
      <c r="K256" t="str">
        <f>IF($A256&gt;$B$9,"",IF(COUNTIFS(Base!$B$3:$B$5001,K$232,Base!$A$3:$A$5001,"&gt;="&amp;$C$7,Base!$A$3:$A$5001,"&lt;="&amp;$B256,Base!$Z$3:$Z$5001,"&lt;&gt;")=0,"",SUMIFS(Base!$Z$3:$Z$5001,Base!$B$3:$B$5001,K$232,Base!$A$3:$A$5001,_xlfn.MAXIFS(Base!$A$3:$A$5001,Base!$B$3:$B$5001,K$232,Base!$A$3:$A$5001,"&gt;="&amp;$C$7,Base!$A$3:$A$5001,"&lt;="&amp;$B256,Base!$Z$3:$Z$5001,"&lt;&gt;"))))</f>
        <v/>
      </c>
    </row>
    <row r="257">
      <c r="A257">
        <v>25</v>
      </c>
      <c r="B257" s="152">
        <f>$B$36</f>
        <v>46290</v>
      </c>
      <c r="C257" t="str">
        <f>IF($A257&gt;$B$9,"",IF(COUNTIFS(Base!$B$3:$B$5001,C$232,Base!$A$3:$A$5001,"&gt;="&amp;$C$7,Base!$A$3:$A$5001,"&lt;="&amp;$B257,Base!$Z$3:$Z$5001,"&lt;&gt;")=0,"",SUMIFS(Base!$Z$3:$Z$5001,Base!$B$3:$B$5001,C$232,Base!$A$3:$A$5001,_xlfn.MAXIFS(Base!$A$3:$A$5001,Base!$B$3:$B$5001,C$232,Base!$A$3:$A$5001,"&gt;="&amp;$C$7,Base!$A$3:$A$5001,"&lt;="&amp;$B257,Base!$Z$3:$Z$5001,"&lt;&gt;"))))</f>
        <v/>
      </c>
      <c r="D257" t="str">
        <f>IF($A257&gt;$B$9,"",IF(COUNTIFS(Base!$B$3:$B$5001,D$232,Base!$A$3:$A$5001,"&gt;="&amp;$C$7,Base!$A$3:$A$5001,"&lt;="&amp;$B257,Base!$Z$3:$Z$5001,"&lt;&gt;")=0,"",SUMIFS(Base!$Z$3:$Z$5001,Base!$B$3:$B$5001,D$232,Base!$A$3:$A$5001,_xlfn.MAXIFS(Base!$A$3:$A$5001,Base!$B$3:$B$5001,D$232,Base!$A$3:$A$5001,"&gt;="&amp;$C$7,Base!$A$3:$A$5001,"&lt;="&amp;$B257,Base!$Z$3:$Z$5001,"&lt;&gt;"))))</f>
        <v/>
      </c>
      <c r="E257" t="str">
        <f>IF($A257&gt;$B$9,"",IF(COUNTIFS(Base!$B$3:$B$5001,E$232,Base!$A$3:$A$5001,"&gt;="&amp;$C$7,Base!$A$3:$A$5001,"&lt;="&amp;$B257,Base!$Z$3:$Z$5001,"&lt;&gt;")=0,"",SUMIFS(Base!$Z$3:$Z$5001,Base!$B$3:$B$5001,E$232,Base!$A$3:$A$5001,_xlfn.MAXIFS(Base!$A$3:$A$5001,Base!$B$3:$B$5001,E$232,Base!$A$3:$A$5001,"&gt;="&amp;$C$7,Base!$A$3:$A$5001,"&lt;="&amp;$B257,Base!$Z$3:$Z$5001,"&lt;&gt;"))))</f>
        <v/>
      </c>
      <c r="F257" t="str">
        <f>IF($A257&gt;$B$9,"",IF(COUNTIFS(Base!$B$3:$B$5001,F$232,Base!$A$3:$A$5001,"&gt;="&amp;$C$7,Base!$A$3:$A$5001,"&lt;="&amp;$B257,Base!$Z$3:$Z$5001,"&lt;&gt;")=0,"",SUMIFS(Base!$Z$3:$Z$5001,Base!$B$3:$B$5001,F$232,Base!$A$3:$A$5001,_xlfn.MAXIFS(Base!$A$3:$A$5001,Base!$B$3:$B$5001,F$232,Base!$A$3:$A$5001,"&gt;="&amp;$C$7,Base!$A$3:$A$5001,"&lt;="&amp;$B257,Base!$Z$3:$Z$5001,"&lt;&gt;"))))</f>
        <v/>
      </c>
      <c r="G257" t="str">
        <f>IF($A257&gt;$B$9,"",IF(COUNTIFS(Base!$B$3:$B$5001,G$232,Base!$A$3:$A$5001,"&gt;="&amp;$C$7,Base!$A$3:$A$5001,"&lt;="&amp;$B257,Base!$Z$3:$Z$5001,"&lt;&gt;")=0,"",SUMIFS(Base!$Z$3:$Z$5001,Base!$B$3:$B$5001,G$232,Base!$A$3:$A$5001,_xlfn.MAXIFS(Base!$A$3:$A$5001,Base!$B$3:$B$5001,G$232,Base!$A$3:$A$5001,"&gt;="&amp;$C$7,Base!$A$3:$A$5001,"&lt;="&amp;$B257,Base!$Z$3:$Z$5001,"&lt;&gt;"))))</f>
        <v/>
      </c>
      <c r="H257" t="str">
        <f>IF($A257&gt;$B$9,"",IF(COUNTIFS(Base!$B$3:$B$5001,H$232,Base!$A$3:$A$5001,"&gt;="&amp;$C$7,Base!$A$3:$A$5001,"&lt;="&amp;$B257,Base!$Z$3:$Z$5001,"&lt;&gt;")=0,"",SUMIFS(Base!$Z$3:$Z$5001,Base!$B$3:$B$5001,H$232,Base!$A$3:$A$5001,_xlfn.MAXIFS(Base!$A$3:$A$5001,Base!$B$3:$B$5001,H$232,Base!$A$3:$A$5001,"&gt;="&amp;$C$7,Base!$A$3:$A$5001,"&lt;="&amp;$B257,Base!$Z$3:$Z$5001,"&lt;&gt;"))))</f>
        <v/>
      </c>
      <c r="I257" t="str">
        <f>IF($A257&gt;$B$9,"",IF(COUNTIFS(Base!$B$3:$B$5001,I$232,Base!$A$3:$A$5001,"&gt;="&amp;$C$7,Base!$A$3:$A$5001,"&lt;="&amp;$B257,Base!$Z$3:$Z$5001,"&lt;&gt;")=0,"",SUMIFS(Base!$Z$3:$Z$5001,Base!$B$3:$B$5001,I$232,Base!$A$3:$A$5001,_xlfn.MAXIFS(Base!$A$3:$A$5001,Base!$B$3:$B$5001,I$232,Base!$A$3:$A$5001,"&gt;="&amp;$C$7,Base!$A$3:$A$5001,"&lt;="&amp;$B257,Base!$Z$3:$Z$5001,"&lt;&gt;"))))</f>
        <v/>
      </c>
      <c r="J257" t="str">
        <f>IF($A257&gt;$B$9,"",IF(COUNTIFS(Base!$B$3:$B$5001,J$232,Base!$A$3:$A$5001,"&gt;="&amp;$C$7,Base!$A$3:$A$5001,"&lt;="&amp;$B257,Base!$Z$3:$Z$5001,"&lt;&gt;")=0,"",SUMIFS(Base!$Z$3:$Z$5001,Base!$B$3:$B$5001,J$232,Base!$A$3:$A$5001,_xlfn.MAXIFS(Base!$A$3:$A$5001,Base!$B$3:$B$5001,J$232,Base!$A$3:$A$5001,"&gt;="&amp;$C$7,Base!$A$3:$A$5001,"&lt;="&amp;$B257,Base!$Z$3:$Z$5001,"&lt;&gt;"))))</f>
        <v/>
      </c>
      <c r="K257" t="str">
        <f>IF($A257&gt;$B$9,"",IF(COUNTIFS(Base!$B$3:$B$5001,K$232,Base!$A$3:$A$5001,"&gt;="&amp;$C$7,Base!$A$3:$A$5001,"&lt;="&amp;$B257,Base!$Z$3:$Z$5001,"&lt;&gt;")=0,"",SUMIFS(Base!$Z$3:$Z$5001,Base!$B$3:$B$5001,K$232,Base!$A$3:$A$5001,_xlfn.MAXIFS(Base!$A$3:$A$5001,Base!$B$3:$B$5001,K$232,Base!$A$3:$A$5001,"&gt;="&amp;$C$7,Base!$A$3:$A$5001,"&lt;="&amp;$B257,Base!$Z$3:$Z$5001,"&lt;&gt;"))))</f>
        <v/>
      </c>
    </row>
    <row r="258">
      <c r="A258">
        <v>26</v>
      </c>
      <c r="B258" s="152">
        <f>$B$37</f>
        <v>46291</v>
      </c>
      <c r="C258" t="str">
        <f>IF($A258&gt;$B$9,"",IF(COUNTIFS(Base!$B$3:$B$5001,C$232,Base!$A$3:$A$5001,"&gt;="&amp;$C$7,Base!$A$3:$A$5001,"&lt;="&amp;$B258,Base!$Z$3:$Z$5001,"&lt;&gt;")=0,"",SUMIFS(Base!$Z$3:$Z$5001,Base!$B$3:$B$5001,C$232,Base!$A$3:$A$5001,_xlfn.MAXIFS(Base!$A$3:$A$5001,Base!$B$3:$B$5001,C$232,Base!$A$3:$A$5001,"&gt;="&amp;$C$7,Base!$A$3:$A$5001,"&lt;="&amp;$B258,Base!$Z$3:$Z$5001,"&lt;&gt;"))))</f>
        <v/>
      </c>
      <c r="D258" t="str">
        <f>IF($A258&gt;$B$9,"",IF(COUNTIFS(Base!$B$3:$B$5001,D$232,Base!$A$3:$A$5001,"&gt;="&amp;$C$7,Base!$A$3:$A$5001,"&lt;="&amp;$B258,Base!$Z$3:$Z$5001,"&lt;&gt;")=0,"",SUMIFS(Base!$Z$3:$Z$5001,Base!$B$3:$B$5001,D$232,Base!$A$3:$A$5001,_xlfn.MAXIFS(Base!$A$3:$A$5001,Base!$B$3:$B$5001,D$232,Base!$A$3:$A$5001,"&gt;="&amp;$C$7,Base!$A$3:$A$5001,"&lt;="&amp;$B258,Base!$Z$3:$Z$5001,"&lt;&gt;"))))</f>
        <v/>
      </c>
      <c r="E258" t="str">
        <f>IF($A258&gt;$B$9,"",IF(COUNTIFS(Base!$B$3:$B$5001,E$232,Base!$A$3:$A$5001,"&gt;="&amp;$C$7,Base!$A$3:$A$5001,"&lt;="&amp;$B258,Base!$Z$3:$Z$5001,"&lt;&gt;")=0,"",SUMIFS(Base!$Z$3:$Z$5001,Base!$B$3:$B$5001,E$232,Base!$A$3:$A$5001,_xlfn.MAXIFS(Base!$A$3:$A$5001,Base!$B$3:$B$5001,E$232,Base!$A$3:$A$5001,"&gt;="&amp;$C$7,Base!$A$3:$A$5001,"&lt;="&amp;$B258,Base!$Z$3:$Z$5001,"&lt;&gt;"))))</f>
        <v/>
      </c>
      <c r="F258" t="str">
        <f>IF($A258&gt;$B$9,"",IF(COUNTIFS(Base!$B$3:$B$5001,F$232,Base!$A$3:$A$5001,"&gt;="&amp;$C$7,Base!$A$3:$A$5001,"&lt;="&amp;$B258,Base!$Z$3:$Z$5001,"&lt;&gt;")=0,"",SUMIFS(Base!$Z$3:$Z$5001,Base!$B$3:$B$5001,F$232,Base!$A$3:$A$5001,_xlfn.MAXIFS(Base!$A$3:$A$5001,Base!$B$3:$B$5001,F$232,Base!$A$3:$A$5001,"&gt;="&amp;$C$7,Base!$A$3:$A$5001,"&lt;="&amp;$B258,Base!$Z$3:$Z$5001,"&lt;&gt;"))))</f>
        <v/>
      </c>
      <c r="G258" t="str">
        <f>IF($A258&gt;$B$9,"",IF(COUNTIFS(Base!$B$3:$B$5001,G$232,Base!$A$3:$A$5001,"&gt;="&amp;$C$7,Base!$A$3:$A$5001,"&lt;="&amp;$B258,Base!$Z$3:$Z$5001,"&lt;&gt;")=0,"",SUMIFS(Base!$Z$3:$Z$5001,Base!$B$3:$B$5001,G$232,Base!$A$3:$A$5001,_xlfn.MAXIFS(Base!$A$3:$A$5001,Base!$B$3:$B$5001,G$232,Base!$A$3:$A$5001,"&gt;="&amp;$C$7,Base!$A$3:$A$5001,"&lt;="&amp;$B258,Base!$Z$3:$Z$5001,"&lt;&gt;"))))</f>
        <v/>
      </c>
      <c r="H258" t="str">
        <f>IF($A258&gt;$B$9,"",IF(COUNTIFS(Base!$B$3:$B$5001,H$232,Base!$A$3:$A$5001,"&gt;="&amp;$C$7,Base!$A$3:$A$5001,"&lt;="&amp;$B258,Base!$Z$3:$Z$5001,"&lt;&gt;")=0,"",SUMIFS(Base!$Z$3:$Z$5001,Base!$B$3:$B$5001,H$232,Base!$A$3:$A$5001,_xlfn.MAXIFS(Base!$A$3:$A$5001,Base!$B$3:$B$5001,H$232,Base!$A$3:$A$5001,"&gt;="&amp;$C$7,Base!$A$3:$A$5001,"&lt;="&amp;$B258,Base!$Z$3:$Z$5001,"&lt;&gt;"))))</f>
        <v/>
      </c>
      <c r="I258" t="str">
        <f>IF($A258&gt;$B$9,"",IF(COUNTIFS(Base!$B$3:$B$5001,I$232,Base!$A$3:$A$5001,"&gt;="&amp;$C$7,Base!$A$3:$A$5001,"&lt;="&amp;$B258,Base!$Z$3:$Z$5001,"&lt;&gt;")=0,"",SUMIFS(Base!$Z$3:$Z$5001,Base!$B$3:$B$5001,I$232,Base!$A$3:$A$5001,_xlfn.MAXIFS(Base!$A$3:$A$5001,Base!$B$3:$B$5001,I$232,Base!$A$3:$A$5001,"&gt;="&amp;$C$7,Base!$A$3:$A$5001,"&lt;="&amp;$B258,Base!$Z$3:$Z$5001,"&lt;&gt;"))))</f>
        <v/>
      </c>
      <c r="J258" t="str">
        <f>IF($A258&gt;$B$9,"",IF(COUNTIFS(Base!$B$3:$B$5001,J$232,Base!$A$3:$A$5001,"&gt;="&amp;$C$7,Base!$A$3:$A$5001,"&lt;="&amp;$B258,Base!$Z$3:$Z$5001,"&lt;&gt;")=0,"",SUMIFS(Base!$Z$3:$Z$5001,Base!$B$3:$B$5001,J$232,Base!$A$3:$A$5001,_xlfn.MAXIFS(Base!$A$3:$A$5001,Base!$B$3:$B$5001,J$232,Base!$A$3:$A$5001,"&gt;="&amp;$C$7,Base!$A$3:$A$5001,"&lt;="&amp;$B258,Base!$Z$3:$Z$5001,"&lt;&gt;"))))</f>
        <v/>
      </c>
      <c r="K258" t="str">
        <f>IF($A258&gt;$B$9,"",IF(COUNTIFS(Base!$B$3:$B$5001,K$232,Base!$A$3:$A$5001,"&gt;="&amp;$C$7,Base!$A$3:$A$5001,"&lt;="&amp;$B258,Base!$Z$3:$Z$5001,"&lt;&gt;")=0,"",SUMIFS(Base!$Z$3:$Z$5001,Base!$B$3:$B$5001,K$232,Base!$A$3:$A$5001,_xlfn.MAXIFS(Base!$A$3:$A$5001,Base!$B$3:$B$5001,K$232,Base!$A$3:$A$5001,"&gt;="&amp;$C$7,Base!$A$3:$A$5001,"&lt;="&amp;$B258,Base!$Z$3:$Z$5001,"&lt;&gt;"))))</f>
        <v/>
      </c>
    </row>
    <row r="259">
      <c r="A259">
        <v>27</v>
      </c>
      <c r="B259" s="152">
        <f>$B$38</f>
        <v>46292</v>
      </c>
      <c r="C259" t="str">
        <f>IF($A259&gt;$B$9,"",IF(COUNTIFS(Base!$B$3:$B$5001,C$232,Base!$A$3:$A$5001,"&gt;="&amp;$C$7,Base!$A$3:$A$5001,"&lt;="&amp;$B259,Base!$Z$3:$Z$5001,"&lt;&gt;")=0,"",SUMIFS(Base!$Z$3:$Z$5001,Base!$B$3:$B$5001,C$232,Base!$A$3:$A$5001,_xlfn.MAXIFS(Base!$A$3:$A$5001,Base!$B$3:$B$5001,C$232,Base!$A$3:$A$5001,"&gt;="&amp;$C$7,Base!$A$3:$A$5001,"&lt;="&amp;$B259,Base!$Z$3:$Z$5001,"&lt;&gt;"))))</f>
        <v/>
      </c>
      <c r="D259" t="str">
        <f>IF($A259&gt;$B$9,"",IF(COUNTIFS(Base!$B$3:$B$5001,D$232,Base!$A$3:$A$5001,"&gt;="&amp;$C$7,Base!$A$3:$A$5001,"&lt;="&amp;$B259,Base!$Z$3:$Z$5001,"&lt;&gt;")=0,"",SUMIFS(Base!$Z$3:$Z$5001,Base!$B$3:$B$5001,D$232,Base!$A$3:$A$5001,_xlfn.MAXIFS(Base!$A$3:$A$5001,Base!$B$3:$B$5001,D$232,Base!$A$3:$A$5001,"&gt;="&amp;$C$7,Base!$A$3:$A$5001,"&lt;="&amp;$B259,Base!$Z$3:$Z$5001,"&lt;&gt;"))))</f>
        <v/>
      </c>
      <c r="E259" t="str">
        <f>IF($A259&gt;$B$9,"",IF(COUNTIFS(Base!$B$3:$B$5001,E$232,Base!$A$3:$A$5001,"&gt;="&amp;$C$7,Base!$A$3:$A$5001,"&lt;="&amp;$B259,Base!$Z$3:$Z$5001,"&lt;&gt;")=0,"",SUMIFS(Base!$Z$3:$Z$5001,Base!$B$3:$B$5001,E$232,Base!$A$3:$A$5001,_xlfn.MAXIFS(Base!$A$3:$A$5001,Base!$B$3:$B$5001,E$232,Base!$A$3:$A$5001,"&gt;="&amp;$C$7,Base!$A$3:$A$5001,"&lt;="&amp;$B259,Base!$Z$3:$Z$5001,"&lt;&gt;"))))</f>
        <v/>
      </c>
      <c r="F259" t="str">
        <f>IF($A259&gt;$B$9,"",IF(COUNTIFS(Base!$B$3:$B$5001,F$232,Base!$A$3:$A$5001,"&gt;="&amp;$C$7,Base!$A$3:$A$5001,"&lt;="&amp;$B259,Base!$Z$3:$Z$5001,"&lt;&gt;")=0,"",SUMIFS(Base!$Z$3:$Z$5001,Base!$B$3:$B$5001,F$232,Base!$A$3:$A$5001,_xlfn.MAXIFS(Base!$A$3:$A$5001,Base!$B$3:$B$5001,F$232,Base!$A$3:$A$5001,"&gt;="&amp;$C$7,Base!$A$3:$A$5001,"&lt;="&amp;$B259,Base!$Z$3:$Z$5001,"&lt;&gt;"))))</f>
        <v/>
      </c>
      <c r="G259" t="str">
        <f>IF($A259&gt;$B$9,"",IF(COUNTIFS(Base!$B$3:$B$5001,G$232,Base!$A$3:$A$5001,"&gt;="&amp;$C$7,Base!$A$3:$A$5001,"&lt;="&amp;$B259,Base!$Z$3:$Z$5001,"&lt;&gt;")=0,"",SUMIFS(Base!$Z$3:$Z$5001,Base!$B$3:$B$5001,G$232,Base!$A$3:$A$5001,_xlfn.MAXIFS(Base!$A$3:$A$5001,Base!$B$3:$B$5001,G$232,Base!$A$3:$A$5001,"&gt;="&amp;$C$7,Base!$A$3:$A$5001,"&lt;="&amp;$B259,Base!$Z$3:$Z$5001,"&lt;&gt;"))))</f>
        <v/>
      </c>
      <c r="H259" t="str">
        <f>IF($A259&gt;$B$9,"",IF(COUNTIFS(Base!$B$3:$B$5001,H$232,Base!$A$3:$A$5001,"&gt;="&amp;$C$7,Base!$A$3:$A$5001,"&lt;="&amp;$B259,Base!$Z$3:$Z$5001,"&lt;&gt;")=0,"",SUMIFS(Base!$Z$3:$Z$5001,Base!$B$3:$B$5001,H$232,Base!$A$3:$A$5001,_xlfn.MAXIFS(Base!$A$3:$A$5001,Base!$B$3:$B$5001,H$232,Base!$A$3:$A$5001,"&gt;="&amp;$C$7,Base!$A$3:$A$5001,"&lt;="&amp;$B259,Base!$Z$3:$Z$5001,"&lt;&gt;"))))</f>
        <v/>
      </c>
      <c r="I259" t="str">
        <f>IF($A259&gt;$B$9,"",IF(COUNTIFS(Base!$B$3:$B$5001,I$232,Base!$A$3:$A$5001,"&gt;="&amp;$C$7,Base!$A$3:$A$5001,"&lt;="&amp;$B259,Base!$Z$3:$Z$5001,"&lt;&gt;")=0,"",SUMIFS(Base!$Z$3:$Z$5001,Base!$B$3:$B$5001,I$232,Base!$A$3:$A$5001,_xlfn.MAXIFS(Base!$A$3:$A$5001,Base!$B$3:$B$5001,I$232,Base!$A$3:$A$5001,"&gt;="&amp;$C$7,Base!$A$3:$A$5001,"&lt;="&amp;$B259,Base!$Z$3:$Z$5001,"&lt;&gt;"))))</f>
        <v/>
      </c>
      <c r="J259" t="str">
        <f>IF($A259&gt;$B$9,"",IF(COUNTIFS(Base!$B$3:$B$5001,J$232,Base!$A$3:$A$5001,"&gt;="&amp;$C$7,Base!$A$3:$A$5001,"&lt;="&amp;$B259,Base!$Z$3:$Z$5001,"&lt;&gt;")=0,"",SUMIFS(Base!$Z$3:$Z$5001,Base!$B$3:$B$5001,J$232,Base!$A$3:$A$5001,_xlfn.MAXIFS(Base!$A$3:$A$5001,Base!$B$3:$B$5001,J$232,Base!$A$3:$A$5001,"&gt;="&amp;$C$7,Base!$A$3:$A$5001,"&lt;="&amp;$B259,Base!$Z$3:$Z$5001,"&lt;&gt;"))))</f>
        <v/>
      </c>
      <c r="K259" t="str">
        <f>IF($A259&gt;$B$9,"",IF(COUNTIFS(Base!$B$3:$B$5001,K$232,Base!$A$3:$A$5001,"&gt;="&amp;$C$7,Base!$A$3:$A$5001,"&lt;="&amp;$B259,Base!$Z$3:$Z$5001,"&lt;&gt;")=0,"",SUMIFS(Base!$Z$3:$Z$5001,Base!$B$3:$B$5001,K$232,Base!$A$3:$A$5001,_xlfn.MAXIFS(Base!$A$3:$A$5001,Base!$B$3:$B$5001,K$232,Base!$A$3:$A$5001,"&gt;="&amp;$C$7,Base!$A$3:$A$5001,"&lt;="&amp;$B259,Base!$Z$3:$Z$5001,"&lt;&gt;"))))</f>
        <v/>
      </c>
    </row>
    <row r="260">
      <c r="A260">
        <v>28</v>
      </c>
      <c r="B260" s="152">
        <f>$B$39</f>
        <v>46293</v>
      </c>
      <c r="C260" t="str">
        <f>IF($A260&gt;$B$9,"",IF(COUNTIFS(Base!$B$3:$B$5001,C$232,Base!$A$3:$A$5001,"&gt;="&amp;$C$7,Base!$A$3:$A$5001,"&lt;="&amp;$B260,Base!$Z$3:$Z$5001,"&lt;&gt;")=0,"",SUMIFS(Base!$Z$3:$Z$5001,Base!$B$3:$B$5001,C$232,Base!$A$3:$A$5001,_xlfn.MAXIFS(Base!$A$3:$A$5001,Base!$B$3:$B$5001,C$232,Base!$A$3:$A$5001,"&gt;="&amp;$C$7,Base!$A$3:$A$5001,"&lt;="&amp;$B260,Base!$Z$3:$Z$5001,"&lt;&gt;"))))</f>
        <v/>
      </c>
      <c r="D260" t="str">
        <f>IF($A260&gt;$B$9,"",IF(COUNTIFS(Base!$B$3:$B$5001,D$232,Base!$A$3:$A$5001,"&gt;="&amp;$C$7,Base!$A$3:$A$5001,"&lt;="&amp;$B260,Base!$Z$3:$Z$5001,"&lt;&gt;")=0,"",SUMIFS(Base!$Z$3:$Z$5001,Base!$B$3:$B$5001,D$232,Base!$A$3:$A$5001,_xlfn.MAXIFS(Base!$A$3:$A$5001,Base!$B$3:$B$5001,D$232,Base!$A$3:$A$5001,"&gt;="&amp;$C$7,Base!$A$3:$A$5001,"&lt;="&amp;$B260,Base!$Z$3:$Z$5001,"&lt;&gt;"))))</f>
        <v/>
      </c>
      <c r="E260" t="str">
        <f>IF($A260&gt;$B$9,"",IF(COUNTIFS(Base!$B$3:$B$5001,E$232,Base!$A$3:$A$5001,"&gt;="&amp;$C$7,Base!$A$3:$A$5001,"&lt;="&amp;$B260,Base!$Z$3:$Z$5001,"&lt;&gt;")=0,"",SUMIFS(Base!$Z$3:$Z$5001,Base!$B$3:$B$5001,E$232,Base!$A$3:$A$5001,_xlfn.MAXIFS(Base!$A$3:$A$5001,Base!$B$3:$B$5001,E$232,Base!$A$3:$A$5001,"&gt;="&amp;$C$7,Base!$A$3:$A$5001,"&lt;="&amp;$B260,Base!$Z$3:$Z$5001,"&lt;&gt;"))))</f>
        <v/>
      </c>
      <c r="F260" t="str">
        <f>IF($A260&gt;$B$9,"",IF(COUNTIFS(Base!$B$3:$B$5001,F$232,Base!$A$3:$A$5001,"&gt;="&amp;$C$7,Base!$A$3:$A$5001,"&lt;="&amp;$B260,Base!$Z$3:$Z$5001,"&lt;&gt;")=0,"",SUMIFS(Base!$Z$3:$Z$5001,Base!$B$3:$B$5001,F$232,Base!$A$3:$A$5001,_xlfn.MAXIFS(Base!$A$3:$A$5001,Base!$B$3:$B$5001,F$232,Base!$A$3:$A$5001,"&gt;="&amp;$C$7,Base!$A$3:$A$5001,"&lt;="&amp;$B260,Base!$Z$3:$Z$5001,"&lt;&gt;"))))</f>
        <v/>
      </c>
      <c r="G260" t="str">
        <f>IF($A260&gt;$B$9,"",IF(COUNTIFS(Base!$B$3:$B$5001,G$232,Base!$A$3:$A$5001,"&gt;="&amp;$C$7,Base!$A$3:$A$5001,"&lt;="&amp;$B260,Base!$Z$3:$Z$5001,"&lt;&gt;")=0,"",SUMIFS(Base!$Z$3:$Z$5001,Base!$B$3:$B$5001,G$232,Base!$A$3:$A$5001,_xlfn.MAXIFS(Base!$A$3:$A$5001,Base!$B$3:$B$5001,G$232,Base!$A$3:$A$5001,"&gt;="&amp;$C$7,Base!$A$3:$A$5001,"&lt;="&amp;$B260,Base!$Z$3:$Z$5001,"&lt;&gt;"))))</f>
        <v/>
      </c>
      <c r="H260" t="str">
        <f>IF($A260&gt;$B$9,"",IF(COUNTIFS(Base!$B$3:$B$5001,H$232,Base!$A$3:$A$5001,"&gt;="&amp;$C$7,Base!$A$3:$A$5001,"&lt;="&amp;$B260,Base!$Z$3:$Z$5001,"&lt;&gt;")=0,"",SUMIFS(Base!$Z$3:$Z$5001,Base!$B$3:$B$5001,H$232,Base!$A$3:$A$5001,_xlfn.MAXIFS(Base!$A$3:$A$5001,Base!$B$3:$B$5001,H$232,Base!$A$3:$A$5001,"&gt;="&amp;$C$7,Base!$A$3:$A$5001,"&lt;="&amp;$B260,Base!$Z$3:$Z$5001,"&lt;&gt;"))))</f>
        <v/>
      </c>
      <c r="I260" t="str">
        <f>IF($A260&gt;$B$9,"",IF(COUNTIFS(Base!$B$3:$B$5001,I$232,Base!$A$3:$A$5001,"&gt;="&amp;$C$7,Base!$A$3:$A$5001,"&lt;="&amp;$B260,Base!$Z$3:$Z$5001,"&lt;&gt;")=0,"",SUMIFS(Base!$Z$3:$Z$5001,Base!$B$3:$B$5001,I$232,Base!$A$3:$A$5001,_xlfn.MAXIFS(Base!$A$3:$A$5001,Base!$B$3:$B$5001,I$232,Base!$A$3:$A$5001,"&gt;="&amp;$C$7,Base!$A$3:$A$5001,"&lt;="&amp;$B260,Base!$Z$3:$Z$5001,"&lt;&gt;"))))</f>
        <v/>
      </c>
      <c r="J260" t="str">
        <f>IF($A260&gt;$B$9,"",IF(COUNTIFS(Base!$B$3:$B$5001,J$232,Base!$A$3:$A$5001,"&gt;="&amp;$C$7,Base!$A$3:$A$5001,"&lt;="&amp;$B260,Base!$Z$3:$Z$5001,"&lt;&gt;")=0,"",SUMIFS(Base!$Z$3:$Z$5001,Base!$B$3:$B$5001,J$232,Base!$A$3:$A$5001,_xlfn.MAXIFS(Base!$A$3:$A$5001,Base!$B$3:$B$5001,J$232,Base!$A$3:$A$5001,"&gt;="&amp;$C$7,Base!$A$3:$A$5001,"&lt;="&amp;$B260,Base!$Z$3:$Z$5001,"&lt;&gt;"))))</f>
        <v/>
      </c>
      <c r="K260" t="str">
        <f>IF($A260&gt;$B$9,"",IF(COUNTIFS(Base!$B$3:$B$5001,K$232,Base!$A$3:$A$5001,"&gt;="&amp;$C$7,Base!$A$3:$A$5001,"&lt;="&amp;$B260,Base!$Z$3:$Z$5001,"&lt;&gt;")=0,"",SUMIFS(Base!$Z$3:$Z$5001,Base!$B$3:$B$5001,K$232,Base!$A$3:$A$5001,_xlfn.MAXIFS(Base!$A$3:$A$5001,Base!$B$3:$B$5001,K$232,Base!$A$3:$A$5001,"&gt;="&amp;$C$7,Base!$A$3:$A$5001,"&lt;="&amp;$B260,Base!$Z$3:$Z$5001,"&lt;&gt;"))))</f>
        <v/>
      </c>
    </row>
    <row r="261">
      <c r="A261">
        <v>29</v>
      </c>
      <c r="B261" s="152">
        <f>$B$40</f>
        <v>46294</v>
      </c>
      <c r="C261" t="str">
        <f>IF($A261&gt;$B$9,"",IF(COUNTIFS(Base!$B$3:$B$5001,C$232,Base!$A$3:$A$5001,"&gt;="&amp;$C$7,Base!$A$3:$A$5001,"&lt;="&amp;$B261,Base!$Z$3:$Z$5001,"&lt;&gt;")=0,"",SUMIFS(Base!$Z$3:$Z$5001,Base!$B$3:$B$5001,C$232,Base!$A$3:$A$5001,_xlfn.MAXIFS(Base!$A$3:$A$5001,Base!$B$3:$B$5001,C$232,Base!$A$3:$A$5001,"&gt;="&amp;$C$7,Base!$A$3:$A$5001,"&lt;="&amp;$B261,Base!$Z$3:$Z$5001,"&lt;&gt;"))))</f>
        <v/>
      </c>
      <c r="D261" t="str">
        <f>IF($A261&gt;$B$9,"",IF(COUNTIFS(Base!$B$3:$B$5001,D$232,Base!$A$3:$A$5001,"&gt;="&amp;$C$7,Base!$A$3:$A$5001,"&lt;="&amp;$B261,Base!$Z$3:$Z$5001,"&lt;&gt;")=0,"",SUMIFS(Base!$Z$3:$Z$5001,Base!$B$3:$B$5001,D$232,Base!$A$3:$A$5001,_xlfn.MAXIFS(Base!$A$3:$A$5001,Base!$B$3:$B$5001,D$232,Base!$A$3:$A$5001,"&gt;="&amp;$C$7,Base!$A$3:$A$5001,"&lt;="&amp;$B261,Base!$Z$3:$Z$5001,"&lt;&gt;"))))</f>
        <v/>
      </c>
      <c r="E261" t="str">
        <f>IF($A261&gt;$B$9,"",IF(COUNTIFS(Base!$B$3:$B$5001,E$232,Base!$A$3:$A$5001,"&gt;="&amp;$C$7,Base!$A$3:$A$5001,"&lt;="&amp;$B261,Base!$Z$3:$Z$5001,"&lt;&gt;")=0,"",SUMIFS(Base!$Z$3:$Z$5001,Base!$B$3:$B$5001,E$232,Base!$A$3:$A$5001,_xlfn.MAXIFS(Base!$A$3:$A$5001,Base!$B$3:$B$5001,E$232,Base!$A$3:$A$5001,"&gt;="&amp;$C$7,Base!$A$3:$A$5001,"&lt;="&amp;$B261,Base!$Z$3:$Z$5001,"&lt;&gt;"))))</f>
        <v/>
      </c>
      <c r="F261" t="str">
        <f>IF($A261&gt;$B$9,"",IF(COUNTIFS(Base!$B$3:$B$5001,F$232,Base!$A$3:$A$5001,"&gt;="&amp;$C$7,Base!$A$3:$A$5001,"&lt;="&amp;$B261,Base!$Z$3:$Z$5001,"&lt;&gt;")=0,"",SUMIFS(Base!$Z$3:$Z$5001,Base!$B$3:$B$5001,F$232,Base!$A$3:$A$5001,_xlfn.MAXIFS(Base!$A$3:$A$5001,Base!$B$3:$B$5001,F$232,Base!$A$3:$A$5001,"&gt;="&amp;$C$7,Base!$A$3:$A$5001,"&lt;="&amp;$B261,Base!$Z$3:$Z$5001,"&lt;&gt;"))))</f>
        <v/>
      </c>
      <c r="G261" t="str">
        <f>IF($A261&gt;$B$9,"",IF(COUNTIFS(Base!$B$3:$B$5001,G$232,Base!$A$3:$A$5001,"&gt;="&amp;$C$7,Base!$A$3:$A$5001,"&lt;="&amp;$B261,Base!$Z$3:$Z$5001,"&lt;&gt;")=0,"",SUMIFS(Base!$Z$3:$Z$5001,Base!$B$3:$B$5001,G$232,Base!$A$3:$A$5001,_xlfn.MAXIFS(Base!$A$3:$A$5001,Base!$B$3:$B$5001,G$232,Base!$A$3:$A$5001,"&gt;="&amp;$C$7,Base!$A$3:$A$5001,"&lt;="&amp;$B261,Base!$Z$3:$Z$5001,"&lt;&gt;"))))</f>
        <v/>
      </c>
      <c r="H261" t="str">
        <f>IF($A261&gt;$B$9,"",IF(COUNTIFS(Base!$B$3:$B$5001,H$232,Base!$A$3:$A$5001,"&gt;="&amp;$C$7,Base!$A$3:$A$5001,"&lt;="&amp;$B261,Base!$Z$3:$Z$5001,"&lt;&gt;")=0,"",SUMIFS(Base!$Z$3:$Z$5001,Base!$B$3:$B$5001,H$232,Base!$A$3:$A$5001,_xlfn.MAXIFS(Base!$A$3:$A$5001,Base!$B$3:$B$5001,H$232,Base!$A$3:$A$5001,"&gt;="&amp;$C$7,Base!$A$3:$A$5001,"&lt;="&amp;$B261,Base!$Z$3:$Z$5001,"&lt;&gt;"))))</f>
        <v/>
      </c>
      <c r="I261" t="str">
        <f>IF($A261&gt;$B$9,"",IF(COUNTIFS(Base!$B$3:$B$5001,I$232,Base!$A$3:$A$5001,"&gt;="&amp;$C$7,Base!$A$3:$A$5001,"&lt;="&amp;$B261,Base!$Z$3:$Z$5001,"&lt;&gt;")=0,"",SUMIFS(Base!$Z$3:$Z$5001,Base!$B$3:$B$5001,I$232,Base!$A$3:$A$5001,_xlfn.MAXIFS(Base!$A$3:$A$5001,Base!$B$3:$B$5001,I$232,Base!$A$3:$A$5001,"&gt;="&amp;$C$7,Base!$A$3:$A$5001,"&lt;="&amp;$B261,Base!$Z$3:$Z$5001,"&lt;&gt;"))))</f>
        <v/>
      </c>
      <c r="J261" t="str">
        <f>IF($A261&gt;$B$9,"",IF(COUNTIFS(Base!$B$3:$B$5001,J$232,Base!$A$3:$A$5001,"&gt;="&amp;$C$7,Base!$A$3:$A$5001,"&lt;="&amp;$B261,Base!$Z$3:$Z$5001,"&lt;&gt;")=0,"",SUMIFS(Base!$Z$3:$Z$5001,Base!$B$3:$B$5001,J$232,Base!$A$3:$A$5001,_xlfn.MAXIFS(Base!$A$3:$A$5001,Base!$B$3:$B$5001,J$232,Base!$A$3:$A$5001,"&gt;="&amp;$C$7,Base!$A$3:$A$5001,"&lt;="&amp;$B261,Base!$Z$3:$Z$5001,"&lt;&gt;"))))</f>
        <v/>
      </c>
      <c r="K261" t="str">
        <f>IF($A261&gt;$B$9,"",IF(COUNTIFS(Base!$B$3:$B$5001,K$232,Base!$A$3:$A$5001,"&gt;="&amp;$C$7,Base!$A$3:$A$5001,"&lt;="&amp;$B261,Base!$Z$3:$Z$5001,"&lt;&gt;")=0,"",SUMIFS(Base!$Z$3:$Z$5001,Base!$B$3:$B$5001,K$232,Base!$A$3:$A$5001,_xlfn.MAXIFS(Base!$A$3:$A$5001,Base!$B$3:$B$5001,K$232,Base!$A$3:$A$5001,"&gt;="&amp;$C$7,Base!$A$3:$A$5001,"&lt;="&amp;$B261,Base!$Z$3:$Z$5001,"&lt;&gt;"))))</f>
        <v/>
      </c>
    </row>
    <row r="262">
      <c r="A262">
        <v>30</v>
      </c>
      <c r="B262" s="152">
        <f>$B$41</f>
        <v>46295</v>
      </c>
      <c r="C262" t="str">
        <f>IF($A262&gt;$B$9,"",IF(COUNTIFS(Base!$B$3:$B$5001,C$232,Base!$A$3:$A$5001,"&gt;="&amp;$C$7,Base!$A$3:$A$5001,"&lt;="&amp;$B262,Base!$Z$3:$Z$5001,"&lt;&gt;")=0,"",SUMIFS(Base!$Z$3:$Z$5001,Base!$B$3:$B$5001,C$232,Base!$A$3:$A$5001,_xlfn.MAXIFS(Base!$A$3:$A$5001,Base!$B$3:$B$5001,C$232,Base!$A$3:$A$5001,"&gt;="&amp;$C$7,Base!$A$3:$A$5001,"&lt;="&amp;$B262,Base!$Z$3:$Z$5001,"&lt;&gt;"))))</f>
        <v/>
      </c>
      <c r="D262" t="str">
        <f>IF($A262&gt;$B$9,"",IF(COUNTIFS(Base!$B$3:$B$5001,D$232,Base!$A$3:$A$5001,"&gt;="&amp;$C$7,Base!$A$3:$A$5001,"&lt;="&amp;$B262,Base!$Z$3:$Z$5001,"&lt;&gt;")=0,"",SUMIFS(Base!$Z$3:$Z$5001,Base!$B$3:$B$5001,D$232,Base!$A$3:$A$5001,_xlfn.MAXIFS(Base!$A$3:$A$5001,Base!$B$3:$B$5001,D$232,Base!$A$3:$A$5001,"&gt;="&amp;$C$7,Base!$A$3:$A$5001,"&lt;="&amp;$B262,Base!$Z$3:$Z$5001,"&lt;&gt;"))))</f>
        <v/>
      </c>
      <c r="E262" t="str">
        <f>IF($A262&gt;$B$9,"",IF(COUNTIFS(Base!$B$3:$B$5001,E$232,Base!$A$3:$A$5001,"&gt;="&amp;$C$7,Base!$A$3:$A$5001,"&lt;="&amp;$B262,Base!$Z$3:$Z$5001,"&lt;&gt;")=0,"",SUMIFS(Base!$Z$3:$Z$5001,Base!$B$3:$B$5001,E$232,Base!$A$3:$A$5001,_xlfn.MAXIFS(Base!$A$3:$A$5001,Base!$B$3:$B$5001,E$232,Base!$A$3:$A$5001,"&gt;="&amp;$C$7,Base!$A$3:$A$5001,"&lt;="&amp;$B262,Base!$Z$3:$Z$5001,"&lt;&gt;"))))</f>
        <v/>
      </c>
      <c r="F262" t="str">
        <f>IF($A262&gt;$B$9,"",IF(COUNTIFS(Base!$B$3:$B$5001,F$232,Base!$A$3:$A$5001,"&gt;="&amp;$C$7,Base!$A$3:$A$5001,"&lt;="&amp;$B262,Base!$Z$3:$Z$5001,"&lt;&gt;")=0,"",SUMIFS(Base!$Z$3:$Z$5001,Base!$B$3:$B$5001,F$232,Base!$A$3:$A$5001,_xlfn.MAXIFS(Base!$A$3:$A$5001,Base!$B$3:$B$5001,F$232,Base!$A$3:$A$5001,"&gt;="&amp;$C$7,Base!$A$3:$A$5001,"&lt;="&amp;$B262,Base!$Z$3:$Z$5001,"&lt;&gt;"))))</f>
        <v/>
      </c>
      <c r="G262" t="str">
        <f>IF($A262&gt;$B$9,"",IF(COUNTIFS(Base!$B$3:$B$5001,G$232,Base!$A$3:$A$5001,"&gt;="&amp;$C$7,Base!$A$3:$A$5001,"&lt;="&amp;$B262,Base!$Z$3:$Z$5001,"&lt;&gt;")=0,"",SUMIFS(Base!$Z$3:$Z$5001,Base!$B$3:$B$5001,G$232,Base!$A$3:$A$5001,_xlfn.MAXIFS(Base!$A$3:$A$5001,Base!$B$3:$B$5001,G$232,Base!$A$3:$A$5001,"&gt;="&amp;$C$7,Base!$A$3:$A$5001,"&lt;="&amp;$B262,Base!$Z$3:$Z$5001,"&lt;&gt;"))))</f>
        <v/>
      </c>
      <c r="H262" t="str">
        <f>IF($A262&gt;$B$9,"",IF(COUNTIFS(Base!$B$3:$B$5001,H$232,Base!$A$3:$A$5001,"&gt;="&amp;$C$7,Base!$A$3:$A$5001,"&lt;="&amp;$B262,Base!$Z$3:$Z$5001,"&lt;&gt;")=0,"",SUMIFS(Base!$Z$3:$Z$5001,Base!$B$3:$B$5001,H$232,Base!$A$3:$A$5001,_xlfn.MAXIFS(Base!$A$3:$A$5001,Base!$B$3:$B$5001,H$232,Base!$A$3:$A$5001,"&gt;="&amp;$C$7,Base!$A$3:$A$5001,"&lt;="&amp;$B262,Base!$Z$3:$Z$5001,"&lt;&gt;"))))</f>
        <v/>
      </c>
      <c r="I262" t="str">
        <f>IF($A262&gt;$B$9,"",IF(COUNTIFS(Base!$B$3:$B$5001,I$232,Base!$A$3:$A$5001,"&gt;="&amp;$C$7,Base!$A$3:$A$5001,"&lt;="&amp;$B262,Base!$Z$3:$Z$5001,"&lt;&gt;")=0,"",SUMIFS(Base!$Z$3:$Z$5001,Base!$B$3:$B$5001,I$232,Base!$A$3:$A$5001,_xlfn.MAXIFS(Base!$A$3:$A$5001,Base!$B$3:$B$5001,I$232,Base!$A$3:$A$5001,"&gt;="&amp;$C$7,Base!$A$3:$A$5001,"&lt;="&amp;$B262,Base!$Z$3:$Z$5001,"&lt;&gt;"))))</f>
        <v/>
      </c>
      <c r="J262" t="str">
        <f>IF($A262&gt;$B$9,"",IF(COUNTIFS(Base!$B$3:$B$5001,J$232,Base!$A$3:$A$5001,"&gt;="&amp;$C$7,Base!$A$3:$A$5001,"&lt;="&amp;$B262,Base!$Z$3:$Z$5001,"&lt;&gt;")=0,"",SUMIFS(Base!$Z$3:$Z$5001,Base!$B$3:$B$5001,J$232,Base!$A$3:$A$5001,_xlfn.MAXIFS(Base!$A$3:$A$5001,Base!$B$3:$B$5001,J$232,Base!$A$3:$A$5001,"&gt;="&amp;$C$7,Base!$A$3:$A$5001,"&lt;="&amp;$B262,Base!$Z$3:$Z$5001,"&lt;&gt;"))))</f>
        <v/>
      </c>
      <c r="K262" t="str">
        <f>IF($A262&gt;$B$9,"",IF(COUNTIFS(Base!$B$3:$B$5001,K$232,Base!$A$3:$A$5001,"&gt;="&amp;$C$7,Base!$A$3:$A$5001,"&lt;="&amp;$B262,Base!$Z$3:$Z$5001,"&lt;&gt;")=0,"",SUMIFS(Base!$Z$3:$Z$5001,Base!$B$3:$B$5001,K$232,Base!$A$3:$A$5001,_xlfn.MAXIFS(Base!$A$3:$A$5001,Base!$B$3:$B$5001,K$232,Base!$A$3:$A$5001,"&gt;="&amp;$C$7,Base!$A$3:$A$5001,"&lt;="&amp;$B262,Base!$Z$3:$Z$5001,"&lt;&gt;"))))</f>
        <v/>
      </c>
    </row>
    <row r="263">
      <c r="A263">
        <v>31</v>
      </c>
      <c r="B263" s="152" t="str">
        <f>$B$42</f>
        <v/>
      </c>
      <c r="C263" t="str">
        <f>IF($A263&gt;$B$9,"",IF(COUNTIFS(Base!$B$3:$B$5001,C$232,Base!$A$3:$A$5001,"&gt;="&amp;$C$7,Base!$A$3:$A$5001,"&lt;="&amp;$B263,Base!$Z$3:$Z$5001,"&lt;&gt;")=0,"",SUMIFS(Base!$Z$3:$Z$5001,Base!$B$3:$B$5001,C$232,Base!$A$3:$A$5001,_xlfn.MAXIFS(Base!$A$3:$A$5001,Base!$B$3:$B$5001,C$232,Base!$A$3:$A$5001,"&gt;="&amp;$C$7,Base!$A$3:$A$5001,"&lt;="&amp;$B263,Base!$Z$3:$Z$5001,"&lt;&gt;"))))</f>
        <v/>
      </c>
      <c r="D263" t="str">
        <f>IF($A263&gt;$B$9,"",IF(COUNTIFS(Base!$B$3:$B$5001,D$232,Base!$A$3:$A$5001,"&gt;="&amp;$C$7,Base!$A$3:$A$5001,"&lt;="&amp;$B263,Base!$Z$3:$Z$5001,"&lt;&gt;")=0,"",SUMIFS(Base!$Z$3:$Z$5001,Base!$B$3:$B$5001,D$232,Base!$A$3:$A$5001,_xlfn.MAXIFS(Base!$A$3:$A$5001,Base!$B$3:$B$5001,D$232,Base!$A$3:$A$5001,"&gt;="&amp;$C$7,Base!$A$3:$A$5001,"&lt;="&amp;$B263,Base!$Z$3:$Z$5001,"&lt;&gt;"))))</f>
        <v/>
      </c>
      <c r="E263" t="str">
        <f>IF($A263&gt;$B$9,"",IF(COUNTIFS(Base!$B$3:$B$5001,E$232,Base!$A$3:$A$5001,"&gt;="&amp;$C$7,Base!$A$3:$A$5001,"&lt;="&amp;$B263,Base!$Z$3:$Z$5001,"&lt;&gt;")=0,"",SUMIFS(Base!$Z$3:$Z$5001,Base!$B$3:$B$5001,E$232,Base!$A$3:$A$5001,_xlfn.MAXIFS(Base!$A$3:$A$5001,Base!$B$3:$B$5001,E$232,Base!$A$3:$A$5001,"&gt;="&amp;$C$7,Base!$A$3:$A$5001,"&lt;="&amp;$B263,Base!$Z$3:$Z$5001,"&lt;&gt;"))))</f>
        <v/>
      </c>
      <c r="F263" t="str">
        <f>IF($A263&gt;$B$9,"",IF(COUNTIFS(Base!$B$3:$B$5001,F$232,Base!$A$3:$A$5001,"&gt;="&amp;$C$7,Base!$A$3:$A$5001,"&lt;="&amp;$B263,Base!$Z$3:$Z$5001,"&lt;&gt;")=0,"",SUMIFS(Base!$Z$3:$Z$5001,Base!$B$3:$B$5001,F$232,Base!$A$3:$A$5001,_xlfn.MAXIFS(Base!$A$3:$A$5001,Base!$B$3:$B$5001,F$232,Base!$A$3:$A$5001,"&gt;="&amp;$C$7,Base!$A$3:$A$5001,"&lt;="&amp;$B263,Base!$Z$3:$Z$5001,"&lt;&gt;"))))</f>
        <v/>
      </c>
      <c r="G263" t="str">
        <f>IF($A263&gt;$B$9,"",IF(COUNTIFS(Base!$B$3:$B$5001,G$232,Base!$A$3:$A$5001,"&gt;="&amp;$C$7,Base!$A$3:$A$5001,"&lt;="&amp;$B263,Base!$Z$3:$Z$5001,"&lt;&gt;")=0,"",SUMIFS(Base!$Z$3:$Z$5001,Base!$B$3:$B$5001,G$232,Base!$A$3:$A$5001,_xlfn.MAXIFS(Base!$A$3:$A$5001,Base!$B$3:$B$5001,G$232,Base!$A$3:$A$5001,"&gt;="&amp;$C$7,Base!$A$3:$A$5001,"&lt;="&amp;$B263,Base!$Z$3:$Z$5001,"&lt;&gt;"))))</f>
        <v/>
      </c>
      <c r="H263" t="str">
        <f>IF($A263&gt;$B$9,"",IF(COUNTIFS(Base!$B$3:$B$5001,H$232,Base!$A$3:$A$5001,"&gt;="&amp;$C$7,Base!$A$3:$A$5001,"&lt;="&amp;$B263,Base!$Z$3:$Z$5001,"&lt;&gt;")=0,"",SUMIFS(Base!$Z$3:$Z$5001,Base!$B$3:$B$5001,H$232,Base!$A$3:$A$5001,_xlfn.MAXIFS(Base!$A$3:$A$5001,Base!$B$3:$B$5001,H$232,Base!$A$3:$A$5001,"&gt;="&amp;$C$7,Base!$A$3:$A$5001,"&lt;="&amp;$B263,Base!$Z$3:$Z$5001,"&lt;&gt;"))))</f>
        <v/>
      </c>
      <c r="I263" t="str">
        <f>IF($A263&gt;$B$9,"",IF(COUNTIFS(Base!$B$3:$B$5001,I$232,Base!$A$3:$A$5001,"&gt;="&amp;$C$7,Base!$A$3:$A$5001,"&lt;="&amp;$B263,Base!$Z$3:$Z$5001,"&lt;&gt;")=0,"",SUMIFS(Base!$Z$3:$Z$5001,Base!$B$3:$B$5001,I$232,Base!$A$3:$A$5001,_xlfn.MAXIFS(Base!$A$3:$A$5001,Base!$B$3:$B$5001,I$232,Base!$A$3:$A$5001,"&gt;="&amp;$C$7,Base!$A$3:$A$5001,"&lt;="&amp;$B263,Base!$Z$3:$Z$5001,"&lt;&gt;"))))</f>
        <v/>
      </c>
      <c r="J263" t="str">
        <f>IF($A263&gt;$B$9,"",IF(COUNTIFS(Base!$B$3:$B$5001,J$232,Base!$A$3:$A$5001,"&gt;="&amp;$C$7,Base!$A$3:$A$5001,"&lt;="&amp;$B263,Base!$Z$3:$Z$5001,"&lt;&gt;")=0,"",SUMIFS(Base!$Z$3:$Z$5001,Base!$B$3:$B$5001,J$232,Base!$A$3:$A$5001,_xlfn.MAXIFS(Base!$A$3:$A$5001,Base!$B$3:$B$5001,J$232,Base!$A$3:$A$5001,"&gt;="&amp;$C$7,Base!$A$3:$A$5001,"&lt;="&amp;$B263,Base!$Z$3:$Z$5001,"&lt;&gt;"))))</f>
        <v/>
      </c>
      <c r="K263" t="str">
        <f>IF($A263&gt;$B$9,"",IF(COUNTIFS(Base!$B$3:$B$5001,K$232,Base!$A$3:$A$5001,"&gt;="&amp;$C$7,Base!$A$3:$A$5001,"&lt;="&amp;$B263,Base!$Z$3:$Z$5001,"&lt;&gt;")=0,"",SUMIFS(Base!$Z$3:$Z$5001,Base!$B$3:$B$5001,K$232,Base!$A$3:$A$5001,_xlfn.MAXIFS(Base!$A$3:$A$5001,Base!$B$3:$B$5001,K$232,Base!$A$3:$A$5001,"&gt;="&amp;$C$7,Base!$A$3:$A$5001,"&lt;="&amp;$B263,Base!$Z$3:$Z$5001,"&lt;&gt;"))))</f>
        <v/>
      </c>
    </row>
    <row r="264">
      <c r="A264" t="inlineStr">
        <is>
          <t xml:space="preserve">Mês anterior (último)</t>
        </is>
      </c>
      <c r="C264" t="str">
        <f>IF(COUNTIFS(Base!$B$3:$B$5001,C$232,Base!$A$3:$A$5001,"&gt;="&amp;$C$8,Base!$A$3:$A$5001,"&lt;="&amp;$D$8,Base!$Z$3:$Z$5001,"&lt;&gt;")=0,"",SUMIFS(Base!$Z$3:$Z$5001,Base!$B$3:$B$5001,C$232,Base!$A$3:$A$5001,_xlfn.MAXIFS(Base!$A$3:$A$5001,Base!$B$3:$B$5001,C$232,Base!$A$3:$A$5001,"&gt;="&amp;$C$8,Base!$A$3:$A$5001,"&lt;="&amp;$D$8,Base!$Z$3:$Z$5001,"&lt;&gt;")))</f>
        <v/>
      </c>
      <c r="D264" t="str">
        <f>IF(COUNTIFS(Base!$B$3:$B$5001,D$232,Base!$A$3:$A$5001,"&gt;="&amp;$C$8,Base!$A$3:$A$5001,"&lt;="&amp;$D$8,Base!$Z$3:$Z$5001,"&lt;&gt;")=0,"",SUMIFS(Base!$Z$3:$Z$5001,Base!$B$3:$B$5001,D$232,Base!$A$3:$A$5001,_xlfn.MAXIFS(Base!$A$3:$A$5001,Base!$B$3:$B$5001,D$232,Base!$A$3:$A$5001,"&gt;="&amp;$C$8,Base!$A$3:$A$5001,"&lt;="&amp;$D$8,Base!$Z$3:$Z$5001,"&lt;&gt;")))</f>
        <v/>
      </c>
      <c r="E264" t="str">
        <f>IF(COUNTIFS(Base!$B$3:$B$5001,E$232,Base!$A$3:$A$5001,"&gt;="&amp;$C$8,Base!$A$3:$A$5001,"&lt;="&amp;$D$8,Base!$Z$3:$Z$5001,"&lt;&gt;")=0,"",SUMIFS(Base!$Z$3:$Z$5001,Base!$B$3:$B$5001,E$232,Base!$A$3:$A$5001,_xlfn.MAXIFS(Base!$A$3:$A$5001,Base!$B$3:$B$5001,E$232,Base!$A$3:$A$5001,"&gt;="&amp;$C$8,Base!$A$3:$A$5001,"&lt;="&amp;$D$8,Base!$Z$3:$Z$5001,"&lt;&gt;")))</f>
        <v/>
      </c>
      <c r="F264" t="str">
        <f>IF(COUNTIFS(Base!$B$3:$B$5001,F$232,Base!$A$3:$A$5001,"&gt;="&amp;$C$8,Base!$A$3:$A$5001,"&lt;="&amp;$D$8,Base!$Z$3:$Z$5001,"&lt;&gt;")=0,"",SUMIFS(Base!$Z$3:$Z$5001,Base!$B$3:$B$5001,F$232,Base!$A$3:$A$5001,_xlfn.MAXIFS(Base!$A$3:$A$5001,Base!$B$3:$B$5001,F$232,Base!$A$3:$A$5001,"&gt;="&amp;$C$8,Base!$A$3:$A$5001,"&lt;="&amp;$D$8,Base!$Z$3:$Z$5001,"&lt;&gt;")))</f>
        <v/>
      </c>
      <c r="G264" t="str">
        <f>IF(COUNTIFS(Base!$B$3:$B$5001,G$232,Base!$A$3:$A$5001,"&gt;="&amp;$C$8,Base!$A$3:$A$5001,"&lt;="&amp;$D$8,Base!$Z$3:$Z$5001,"&lt;&gt;")=0,"",SUMIFS(Base!$Z$3:$Z$5001,Base!$B$3:$B$5001,G$232,Base!$A$3:$A$5001,_xlfn.MAXIFS(Base!$A$3:$A$5001,Base!$B$3:$B$5001,G$232,Base!$A$3:$A$5001,"&gt;="&amp;$C$8,Base!$A$3:$A$5001,"&lt;="&amp;$D$8,Base!$Z$3:$Z$5001,"&lt;&gt;")))</f>
        <v/>
      </c>
      <c r="H264" t="str">
        <f>IF(COUNTIFS(Base!$B$3:$B$5001,H$232,Base!$A$3:$A$5001,"&gt;="&amp;$C$8,Base!$A$3:$A$5001,"&lt;="&amp;$D$8,Base!$Z$3:$Z$5001,"&lt;&gt;")=0,"",SUMIFS(Base!$Z$3:$Z$5001,Base!$B$3:$B$5001,H$232,Base!$A$3:$A$5001,_xlfn.MAXIFS(Base!$A$3:$A$5001,Base!$B$3:$B$5001,H$232,Base!$A$3:$A$5001,"&gt;="&amp;$C$8,Base!$A$3:$A$5001,"&lt;="&amp;$D$8,Base!$Z$3:$Z$5001,"&lt;&gt;")))</f>
        <v/>
      </c>
      <c r="I264" t="str">
        <f>IF(COUNTIFS(Base!$B$3:$B$5001,I$232,Base!$A$3:$A$5001,"&gt;="&amp;$C$8,Base!$A$3:$A$5001,"&lt;="&amp;$D$8,Base!$Z$3:$Z$5001,"&lt;&gt;")=0,"",SUMIFS(Base!$Z$3:$Z$5001,Base!$B$3:$B$5001,I$232,Base!$A$3:$A$5001,_xlfn.MAXIFS(Base!$A$3:$A$5001,Base!$B$3:$B$5001,I$232,Base!$A$3:$A$5001,"&gt;="&amp;$C$8,Base!$A$3:$A$5001,"&lt;="&amp;$D$8,Base!$Z$3:$Z$5001,"&lt;&gt;")))</f>
        <v/>
      </c>
      <c r="J264" t="str">
        <f>IF(COUNTIFS(Base!$B$3:$B$5001,J$232,Base!$A$3:$A$5001,"&gt;="&amp;$C$8,Base!$A$3:$A$5001,"&lt;="&amp;$D$8,Base!$Z$3:$Z$5001,"&lt;&gt;")=0,"",SUMIFS(Base!$Z$3:$Z$5001,Base!$B$3:$B$5001,J$232,Base!$A$3:$A$5001,_xlfn.MAXIFS(Base!$A$3:$A$5001,Base!$B$3:$B$5001,J$232,Base!$A$3:$A$5001,"&gt;="&amp;$C$8,Base!$A$3:$A$5001,"&lt;="&amp;$D$8,Base!$Z$3:$Z$5001,"&lt;&gt;")))</f>
        <v/>
      </c>
      <c r="K264" t="str">
        <f>IF(COUNTIFS(Base!$B$3:$B$5001,K$232,Base!$A$3:$A$5001,"&gt;="&amp;$C$8,Base!$A$3:$A$5001,"&lt;="&amp;$D$8,Base!$Z$3:$Z$5001,"&lt;&gt;")=0,"",SUMIFS(Base!$Z$3:$Z$5001,Base!$B$3:$B$5001,K$232,Base!$A$3:$A$5001,_xlfn.MAXIFS(Base!$A$3:$A$5001,Base!$B$3:$B$5001,K$232,Base!$A$3:$A$5001,"&gt;="&amp;$C$8,Base!$A$3:$A$5001,"&lt;="&amp;$D$8,Base!$Z$3:$Z$5001,"&lt;&gt;")))</f>
        <v/>
      </c>
    </row>
    <row r="268">
      <c r="A268" t="inlineStr">
        <is>
          <t xml:space="preserve">INDICADORES POR CLIENTE (x = o cliente usa o indicador; a Base acinzenta e bloqueia os demais)</t>
        </is>
      </c>
    </row>
    <row r="269">
      <c r="A269" s="145" t="inlineStr">
        <is>
          <t xml:space="preserve">Cliente</t>
        </is>
      </c>
      <c r="B269" s="145" t="inlineStr">
        <is>
          <t xml:space="preserve">IN Veículos Recebidos</t>
        </is>
      </c>
      <c r="C269" s="145" t="inlineStr">
        <is>
          <t xml:space="preserve">IN Pallets Movimentados</t>
        </is>
      </c>
      <c r="D269" s="145" t="inlineStr">
        <is>
          <t xml:space="preserve">IN Toneladas Movimentadas</t>
        </is>
      </c>
      <c r="E269" s="145" t="inlineStr">
        <is>
          <t xml:space="preserve">IN Caixas Movimentadas</t>
        </is>
      </c>
      <c r="F269" s="145" t="inlineStr">
        <is>
          <t xml:space="preserve">IN Itens Recebidos CX Mista</t>
        </is>
      </c>
      <c r="G269" s="145" t="inlineStr">
        <is>
          <t xml:space="preserve">IN Caixas Mistas Recebidas</t>
        </is>
      </c>
      <c r="H269" s="145" t="inlineStr">
        <is>
          <t xml:space="preserve">IN Caixas Fechadas</t>
        </is>
      </c>
      <c r="I269" s="145" t="inlineStr">
        <is>
          <t xml:space="preserve">IN Peças Movimentadas</t>
        </is>
      </c>
      <c r="J269" s="145" t="inlineStr">
        <is>
          <t xml:space="preserve">IN Linhas NF</t>
        </is>
      </c>
      <c r="K269" s="145" t="inlineStr">
        <is>
          <t xml:space="preserve">OUT Veículos Expedidos</t>
        </is>
      </c>
      <c r="L269" s="145" t="inlineStr">
        <is>
          <t xml:space="preserve">OUT Pallets Movimentados</t>
        </is>
      </c>
      <c r="M269" s="145" t="inlineStr">
        <is>
          <t xml:space="preserve">OUT Toneladas Movimentadas</t>
        </is>
      </c>
      <c r="N269" s="145" t="inlineStr">
        <is>
          <t xml:space="preserve">OUT Caixas Expedidas</t>
        </is>
      </c>
      <c r="O269" s="145" t="inlineStr">
        <is>
          <t xml:space="preserve">OUT Pedidos Expedidos</t>
        </is>
      </c>
      <c r="P269" s="145" t="inlineStr">
        <is>
          <t xml:space="preserve">OUT Pedidos Faturados</t>
        </is>
      </c>
      <c r="Q269" s="145" t="inlineStr">
        <is>
          <t xml:space="preserve">OUT Itens Expedidos</t>
        </is>
      </c>
      <c r="R269" s="145" t="inlineStr">
        <is>
          <t xml:space="preserve">OUT Peças Movimentadas</t>
        </is>
      </c>
      <c r="S269" s="145" t="inlineStr">
        <is>
          <t xml:space="preserve">OUT Linhas NF</t>
        </is>
      </c>
      <c r="T269" s="145" t="inlineStr">
        <is>
          <t xml:space="preserve">NC Incidentes</t>
        </is>
      </c>
      <c r="U269" s="145" t="inlineStr">
        <is>
          <t xml:space="preserve">NC No show</t>
        </is>
      </c>
      <c r="V269" s="145" t="inlineStr">
        <is>
          <t xml:space="preserve">NC Backlog</t>
        </is>
      </c>
      <c r="W269" s="145" t="inlineStr">
        <is>
          <t xml:space="preserve">Posições Disponíveis</t>
        </is>
      </c>
      <c r="X269" s="145" t="inlineStr">
        <is>
          <t xml:space="preserve">Posições Ocupadas</t>
        </is>
      </c>
      <c r="Y269" s="145" t="inlineStr">
        <is>
          <t xml:space="preserve">Efetivo</t>
        </is>
      </c>
      <c r="Z269" s="145" t="inlineStr">
        <is>
          <t xml:space="preserve">Falta</t>
        </is>
      </c>
      <c r="AA269" s="145" t="inlineStr">
        <is>
          <t xml:space="preserve">Folga</t>
        </is>
      </c>
      <c r="AB269" s="145" t="inlineStr">
        <is>
          <t xml:space="preserve">Férias</t>
        </is>
      </c>
      <c r="AC269" s="145" t="inlineStr">
        <is>
          <t xml:space="preserve">Desligamentos</t>
        </is>
      </c>
    </row>
    <row r="270">
      <c r="A270" t="inlineStr">
        <is>
          <t xml:space="preserve">BASF</t>
        </is>
      </c>
      <c r="B270" s="160" t="inlineStr">
        <is>
          <t xml:space="preserve">x</t>
        </is>
      </c>
      <c r="C270" s="160" t="inlineStr">
        <is>
          <t xml:space="preserve">x</t>
        </is>
      </c>
      <c r="D270" s="160" t="inlineStr">
        <is>
          <t xml:space="preserve">x</t>
        </is>
      </c>
      <c r="E270" s="160"/>
      <c r="F270" s="160"/>
      <c r="G270" s="160"/>
      <c r="H270" s="160"/>
      <c r="I270" s="160"/>
      <c r="J270" s="160"/>
      <c r="K270" s="160" t="inlineStr">
        <is>
          <t xml:space="preserve">x</t>
        </is>
      </c>
      <c r="L270" s="160" t="inlineStr">
        <is>
          <t xml:space="preserve">x</t>
        </is>
      </c>
      <c r="M270" s="160" t="inlineStr">
        <is>
          <t xml:space="preserve">x</t>
        </is>
      </c>
      <c r="N270" s="160"/>
      <c r="O270" s="160"/>
      <c r="P270" s="160"/>
      <c r="Q270" s="160"/>
      <c r="R270" s="160"/>
      <c r="S270" s="160"/>
      <c r="T270" s="160" t="inlineStr">
        <is>
          <t xml:space="preserve">x</t>
        </is>
      </c>
      <c r="U270" s="160" t="inlineStr">
        <is>
          <t xml:space="preserve">x</t>
        </is>
      </c>
      <c r="V270" s="160" t="inlineStr">
        <is>
          <t xml:space="preserve">x</t>
        </is>
      </c>
      <c r="W270" s="160" t="inlineStr">
        <is>
          <t xml:space="preserve">x</t>
        </is>
      </c>
      <c r="X270" s="160" t="inlineStr">
        <is>
          <t xml:space="preserve">x</t>
        </is>
      </c>
      <c r="Y270" s="160" t="inlineStr">
        <is>
          <t xml:space="preserve">x</t>
        </is>
      </c>
      <c r="Z270" s="160" t="inlineStr">
        <is>
          <t xml:space="preserve">x</t>
        </is>
      </c>
      <c r="AA270" s="160" t="inlineStr">
        <is>
          <t xml:space="preserve">x</t>
        </is>
      </c>
      <c r="AB270" s="160" t="inlineStr">
        <is>
          <t xml:space="preserve">x</t>
        </is>
      </c>
      <c r="AC270" s="160" t="inlineStr">
        <is>
          <t xml:space="preserve">x</t>
        </is>
      </c>
    </row>
    <row r="271">
      <c r="A271" t="inlineStr">
        <is>
          <t xml:space="preserve">BEAUTYBIZ</t>
        </is>
      </c>
      <c r="B271" s="160" t="inlineStr">
        <is>
          <t xml:space="preserve">x</t>
        </is>
      </c>
      <c r="C271" s="160" t="inlineStr">
        <is>
          <t xml:space="preserve">x</t>
        </is>
      </c>
      <c r="D271" s="160"/>
      <c r="E271" s="160" t="inlineStr">
        <is>
          <t xml:space="preserve">x</t>
        </is>
      </c>
      <c r="F271" s="160"/>
      <c r="G271" s="160"/>
      <c r="H271" s="160"/>
      <c r="I271" s="160"/>
      <c r="J271" s="160"/>
      <c r="K271" s="160" t="inlineStr">
        <is>
          <t xml:space="preserve">x</t>
        </is>
      </c>
      <c r="L271" s="160" t="inlineStr">
        <is>
          <t xml:space="preserve">x</t>
        </is>
      </c>
      <c r="M271" s="160"/>
      <c r="N271" s="160"/>
      <c r="O271" s="160" t="inlineStr">
        <is>
          <t xml:space="preserve">x</t>
        </is>
      </c>
      <c r="P271" s="160"/>
      <c r="Q271" s="160"/>
      <c r="R271" s="160"/>
      <c r="S271" s="160"/>
      <c r="T271" s="160" t="inlineStr">
        <is>
          <t xml:space="preserve">x</t>
        </is>
      </c>
      <c r="U271" s="160" t="inlineStr">
        <is>
          <t xml:space="preserve">x</t>
        </is>
      </c>
      <c r="V271" s="160" t="inlineStr">
        <is>
          <t xml:space="preserve">x</t>
        </is>
      </c>
      <c r="W271" s="160" t="inlineStr">
        <is>
          <t xml:space="preserve">x</t>
        </is>
      </c>
      <c r="X271" s="160" t="inlineStr">
        <is>
          <t xml:space="preserve">x</t>
        </is>
      </c>
      <c r="Y271" s="160" t="inlineStr">
        <is>
          <t xml:space="preserve">x</t>
        </is>
      </c>
      <c r="Z271" s="160" t="inlineStr">
        <is>
          <t xml:space="preserve">x</t>
        </is>
      </c>
      <c r="AA271" s="160" t="inlineStr">
        <is>
          <t xml:space="preserve">x</t>
        </is>
      </c>
      <c r="AB271" s="160" t="inlineStr">
        <is>
          <t xml:space="preserve">x</t>
        </is>
      </c>
      <c r="AC271" s="160" t="inlineStr">
        <is>
          <t xml:space="preserve">x</t>
        </is>
      </c>
    </row>
    <row r="272">
      <c r="A272" t="inlineStr">
        <is>
          <t xml:space="preserve">BOTICÁRIO</t>
        </is>
      </c>
      <c r="B272" s="160" t="inlineStr">
        <is>
          <t xml:space="preserve">x</t>
        </is>
      </c>
      <c r="C272" s="160"/>
      <c r="D272" s="160"/>
      <c r="E272" s="160"/>
      <c r="F272" s="160" t="inlineStr">
        <is>
          <t xml:space="preserve">x</t>
        </is>
      </c>
      <c r="G272" s="160" t="inlineStr">
        <is>
          <t xml:space="preserve">x</t>
        </is>
      </c>
      <c r="H272" s="160" t="inlineStr">
        <is>
          <t xml:space="preserve">x</t>
        </is>
      </c>
      <c r="I272" s="160"/>
      <c r="J272" s="160"/>
      <c r="K272" s="160" t="inlineStr">
        <is>
          <t xml:space="preserve">x</t>
        </is>
      </c>
      <c r="L272" s="160" t="inlineStr">
        <is>
          <t xml:space="preserve">x</t>
        </is>
      </c>
      <c r="M272" s="160"/>
      <c r="N272" s="160"/>
      <c r="O272" s="160"/>
      <c r="P272" s="160" t="inlineStr">
        <is>
          <t xml:space="preserve">x</t>
        </is>
      </c>
      <c r="Q272" s="160" t="inlineStr">
        <is>
          <t xml:space="preserve">x</t>
        </is>
      </c>
      <c r="R272" s="160"/>
      <c r="S272" s="160"/>
      <c r="T272" s="160" t="inlineStr">
        <is>
          <t xml:space="preserve">x</t>
        </is>
      </c>
      <c r="U272" s="160" t="inlineStr">
        <is>
          <t xml:space="preserve">x</t>
        </is>
      </c>
      <c r="V272" s="160" t="inlineStr">
        <is>
          <t xml:space="preserve">x</t>
        </is>
      </c>
      <c r="W272" s="160" t="inlineStr">
        <is>
          <t xml:space="preserve">x</t>
        </is>
      </c>
      <c r="X272" s="160" t="inlineStr">
        <is>
          <t xml:space="preserve">x</t>
        </is>
      </c>
      <c r="Y272" s="160" t="inlineStr">
        <is>
          <t xml:space="preserve">x</t>
        </is>
      </c>
      <c r="Z272" s="160" t="inlineStr">
        <is>
          <t xml:space="preserve">x</t>
        </is>
      </c>
      <c r="AA272" s="160" t="inlineStr">
        <is>
          <t xml:space="preserve">x</t>
        </is>
      </c>
      <c r="AB272" s="160" t="inlineStr">
        <is>
          <t xml:space="preserve">x</t>
        </is>
      </c>
      <c r="AC272" s="160" t="inlineStr">
        <is>
          <t xml:space="preserve">x</t>
        </is>
      </c>
    </row>
    <row r="273">
      <c r="A273" t="inlineStr">
        <is>
          <t xml:space="preserve">SUPPLY</t>
        </is>
      </c>
      <c r="B273" s="160" t="inlineStr">
        <is>
          <t xml:space="preserve">x</t>
        </is>
      </c>
      <c r="C273" s="160" t="inlineStr">
        <is>
          <t xml:space="preserve">x</t>
        </is>
      </c>
      <c r="D273" s="160" t="inlineStr">
        <is>
          <t xml:space="preserve">x</t>
        </is>
      </c>
      <c r="E273" s="160"/>
      <c r="F273" s="160"/>
      <c r="G273" s="160"/>
      <c r="H273" s="160"/>
      <c r="I273" s="160"/>
      <c r="J273" s="160"/>
      <c r="K273" s="160" t="inlineStr">
        <is>
          <t xml:space="preserve">x</t>
        </is>
      </c>
      <c r="L273" s="160" t="inlineStr">
        <is>
          <t xml:space="preserve">x</t>
        </is>
      </c>
      <c r="M273" s="160" t="inlineStr">
        <is>
          <t xml:space="preserve">x</t>
        </is>
      </c>
      <c r="N273" s="160"/>
      <c r="O273" s="160"/>
      <c r="P273" s="160"/>
      <c r="Q273" s="160"/>
      <c r="R273" s="160"/>
      <c r="S273" s="160"/>
      <c r="T273" s="160" t="inlineStr">
        <is>
          <t xml:space="preserve">x</t>
        </is>
      </c>
      <c r="U273" s="160" t="inlineStr">
        <is>
          <t xml:space="preserve">x</t>
        </is>
      </c>
      <c r="V273" s="160" t="inlineStr">
        <is>
          <t xml:space="preserve">x</t>
        </is>
      </c>
      <c r="W273" s="160" t="inlineStr">
        <is>
          <t xml:space="preserve">x</t>
        </is>
      </c>
      <c r="X273" s="160" t="inlineStr">
        <is>
          <t xml:space="preserve">x</t>
        </is>
      </c>
      <c r="Y273" s="160" t="inlineStr">
        <is>
          <t xml:space="preserve">x</t>
        </is>
      </c>
      <c r="Z273" s="160" t="inlineStr">
        <is>
          <t xml:space="preserve">x</t>
        </is>
      </c>
      <c r="AA273" s="160" t="inlineStr">
        <is>
          <t xml:space="preserve">x</t>
        </is>
      </c>
      <c r="AB273" s="160" t="inlineStr">
        <is>
          <t xml:space="preserve">x</t>
        </is>
      </c>
      <c r="AC273" s="160" t="inlineStr">
        <is>
          <t xml:space="preserve">x</t>
        </is>
      </c>
    </row>
    <row r="274">
      <c r="A274" t="inlineStr">
        <is>
          <t xml:space="preserve">GE VERNOVA</t>
        </is>
      </c>
      <c r="B274" s="160" t="inlineStr">
        <is>
          <t xml:space="preserve">x</t>
        </is>
      </c>
      <c r="C274" s="160" t="inlineStr">
        <is>
          <t xml:space="preserve">x</t>
        </is>
      </c>
      <c r="D274" s="160"/>
      <c r="E274" s="160"/>
      <c r="F274" s="160"/>
      <c r="G274" s="160"/>
      <c r="H274" s="160"/>
      <c r="I274" s="160" t="inlineStr">
        <is>
          <t xml:space="preserve">x</t>
        </is>
      </c>
      <c r="J274" s="160" t="inlineStr">
        <is>
          <t xml:space="preserve">x</t>
        </is>
      </c>
      <c r="K274" s="160" t="inlineStr">
        <is>
          <t xml:space="preserve">x</t>
        </is>
      </c>
      <c r="L274" s="160" t="inlineStr">
        <is>
          <t xml:space="preserve">x</t>
        </is>
      </c>
      <c r="M274" s="160"/>
      <c r="N274" s="160"/>
      <c r="O274" s="160"/>
      <c r="P274" s="160"/>
      <c r="Q274" s="160"/>
      <c r="R274" s="160" t="inlineStr">
        <is>
          <t xml:space="preserve">x</t>
        </is>
      </c>
      <c r="S274" s="160" t="inlineStr">
        <is>
          <t xml:space="preserve">x</t>
        </is>
      </c>
      <c r="T274" s="160" t="inlineStr">
        <is>
          <t xml:space="preserve">x</t>
        </is>
      </c>
      <c r="U274" s="160" t="inlineStr">
        <is>
          <t xml:space="preserve">x</t>
        </is>
      </c>
      <c r="V274" s="160" t="inlineStr">
        <is>
          <t xml:space="preserve">x</t>
        </is>
      </c>
      <c r="W274" s="160" t="inlineStr">
        <is>
          <t xml:space="preserve">x</t>
        </is>
      </c>
      <c r="X274" s="160" t="inlineStr">
        <is>
          <t xml:space="preserve">x</t>
        </is>
      </c>
      <c r="Y274" s="160" t="inlineStr">
        <is>
          <t xml:space="preserve">x</t>
        </is>
      </c>
      <c r="Z274" s="160" t="inlineStr">
        <is>
          <t xml:space="preserve">x</t>
        </is>
      </c>
      <c r="AA274" s="160" t="inlineStr">
        <is>
          <t xml:space="preserve">x</t>
        </is>
      </c>
      <c r="AB274" s="160" t="inlineStr">
        <is>
          <t xml:space="preserve">x</t>
        </is>
      </c>
      <c r="AC274" s="160" t="inlineStr">
        <is>
          <t xml:space="preserve">x</t>
        </is>
      </c>
    </row>
    <row r="275">
      <c r="A275" t="inlineStr">
        <is>
          <t xml:space="preserve">VESTAS</t>
        </is>
      </c>
      <c r="B275" s="160" t="inlineStr">
        <is>
          <t xml:space="preserve">x</t>
        </is>
      </c>
      <c r="C275" s="160"/>
      <c r="D275" s="160"/>
      <c r="E275" s="160"/>
      <c r="F275" s="160"/>
      <c r="G275" s="160"/>
      <c r="H275" s="160"/>
      <c r="I275" s="160"/>
      <c r="J275" s="160" t="inlineStr">
        <is>
          <t xml:space="preserve">x</t>
        </is>
      </c>
      <c r="K275" s="160" t="inlineStr">
        <is>
          <t xml:space="preserve">x</t>
        </is>
      </c>
      <c r="L275" s="160"/>
      <c r="M275" s="160"/>
      <c r="N275" s="160"/>
      <c r="O275" s="160"/>
      <c r="P275" s="160"/>
      <c r="Q275" s="160"/>
      <c r="R275" s="160"/>
      <c r="S275" s="160" t="inlineStr">
        <is>
          <t xml:space="preserve">x</t>
        </is>
      </c>
      <c r="T275" s="160" t="inlineStr">
        <is>
          <t xml:space="preserve">x</t>
        </is>
      </c>
      <c r="U275" s="160" t="inlineStr">
        <is>
          <t xml:space="preserve">x</t>
        </is>
      </c>
      <c r="V275" s="160" t="inlineStr">
        <is>
          <t xml:space="preserve">x</t>
        </is>
      </c>
      <c r="W275" s="160" t="inlineStr">
        <is>
          <t xml:space="preserve">x</t>
        </is>
      </c>
      <c r="X275" s="160" t="inlineStr">
        <is>
          <t xml:space="preserve">x</t>
        </is>
      </c>
      <c r="Y275" s="160" t="inlineStr">
        <is>
          <t xml:space="preserve">x</t>
        </is>
      </c>
      <c r="Z275" s="160" t="inlineStr">
        <is>
          <t xml:space="preserve">x</t>
        </is>
      </c>
      <c r="AA275" s="160" t="inlineStr">
        <is>
          <t xml:space="preserve">x</t>
        </is>
      </c>
      <c r="AB275" s="160" t="inlineStr">
        <is>
          <t xml:space="preserve">x</t>
        </is>
      </c>
      <c r="AC275" s="160" t="inlineStr">
        <is>
          <t xml:space="preserve">x</t>
        </is>
      </c>
    </row>
    <row r="276">
      <c r="A276" t="inlineStr">
        <is>
          <t xml:space="preserve">VEDACIT</t>
        </is>
      </c>
      <c r="B276" s="160" t="inlineStr">
        <is>
          <t xml:space="preserve">x</t>
        </is>
      </c>
      <c r="C276" s="160" t="inlineStr">
        <is>
          <t xml:space="preserve">x</t>
        </is>
      </c>
      <c r="D276" s="160"/>
      <c r="E276" s="160"/>
      <c r="F276" s="160"/>
      <c r="G276" s="160"/>
      <c r="H276" s="160"/>
      <c r="I276" s="160"/>
      <c r="J276" s="160"/>
      <c r="K276" s="160" t="inlineStr">
        <is>
          <t xml:space="preserve">x</t>
        </is>
      </c>
      <c r="L276" s="160" t="inlineStr">
        <is>
          <t xml:space="preserve">x</t>
        </is>
      </c>
      <c r="M276" s="160"/>
      <c r="N276" s="160"/>
      <c r="O276" s="160"/>
      <c r="P276" s="160"/>
      <c r="Q276" s="160"/>
      <c r="R276" s="160"/>
      <c r="S276" s="160"/>
      <c r="T276" s="160" t="inlineStr">
        <is>
          <t xml:space="preserve">x</t>
        </is>
      </c>
      <c r="U276" s="160" t="inlineStr">
        <is>
          <t xml:space="preserve">x</t>
        </is>
      </c>
      <c r="V276" s="160" t="inlineStr">
        <is>
          <t xml:space="preserve">x</t>
        </is>
      </c>
      <c r="W276" s="160" t="inlineStr">
        <is>
          <t xml:space="preserve">x</t>
        </is>
      </c>
      <c r="X276" s="160" t="inlineStr">
        <is>
          <t xml:space="preserve">x</t>
        </is>
      </c>
      <c r="Y276" s="160" t="inlineStr">
        <is>
          <t xml:space="preserve">x</t>
        </is>
      </c>
      <c r="Z276" s="160" t="inlineStr">
        <is>
          <t xml:space="preserve">x</t>
        </is>
      </c>
      <c r="AA276" s="160" t="inlineStr">
        <is>
          <t xml:space="preserve">x</t>
        </is>
      </c>
      <c r="AB276" s="160" t="inlineStr">
        <is>
          <t xml:space="preserve">x</t>
        </is>
      </c>
      <c r="AC276" s="160" t="inlineStr">
        <is>
          <t xml:space="preserve">x</t>
        </is>
      </c>
    </row>
    <row r="277">
      <c r="A277" t="inlineStr">
        <is>
          <t xml:space="preserve">OMNLIFE</t>
        </is>
      </c>
      <c r="B277" s="160" t="inlineStr">
        <is>
          <t xml:space="preserve">x</t>
        </is>
      </c>
      <c r="C277" s="160" t="inlineStr">
        <is>
          <t xml:space="preserve">x</t>
        </is>
      </c>
      <c r="D277" s="160"/>
      <c r="E277" s="160"/>
      <c r="F277" s="160"/>
      <c r="G277" s="160"/>
      <c r="H277" s="160"/>
      <c r="I277" s="160"/>
      <c r="J277" s="160"/>
      <c r="K277" s="160" t="inlineStr">
        <is>
          <t xml:space="preserve">x</t>
        </is>
      </c>
      <c r="L277" s="160" t="inlineStr">
        <is>
          <t xml:space="preserve">x</t>
        </is>
      </c>
      <c r="M277" s="160"/>
      <c r="N277" s="160"/>
      <c r="O277" s="160"/>
      <c r="P277" s="160"/>
      <c r="Q277" s="160"/>
      <c r="R277" s="160"/>
      <c r="S277" s="160"/>
      <c r="T277" s="160" t="inlineStr">
        <is>
          <t xml:space="preserve">x</t>
        </is>
      </c>
      <c r="U277" s="160" t="inlineStr">
        <is>
          <t xml:space="preserve">x</t>
        </is>
      </c>
      <c r="V277" s="160" t="inlineStr">
        <is>
          <t xml:space="preserve">x</t>
        </is>
      </c>
      <c r="W277" s="160" t="inlineStr">
        <is>
          <t xml:space="preserve">x</t>
        </is>
      </c>
      <c r="X277" s="160" t="inlineStr">
        <is>
          <t xml:space="preserve">x</t>
        </is>
      </c>
      <c r="Y277" s="160" t="inlineStr">
        <is>
          <t xml:space="preserve">x</t>
        </is>
      </c>
      <c r="Z277" s="160" t="inlineStr">
        <is>
          <t xml:space="preserve">x</t>
        </is>
      </c>
      <c r="AA277" s="160" t="inlineStr">
        <is>
          <t xml:space="preserve">x</t>
        </is>
      </c>
      <c r="AB277" s="160" t="inlineStr">
        <is>
          <t xml:space="preserve">x</t>
        </is>
      </c>
      <c r="AC277" s="160" t="inlineStr">
        <is>
          <t xml:space="preserve">x</t>
        </is>
      </c>
    </row>
    <row r="278">
      <c r="A278" t="inlineStr">
        <is>
          <t xml:space="preserve">ALPARGATAS</t>
        </is>
      </c>
      <c r="B278" s="160" t="inlineStr">
        <is>
          <t xml:space="preserve">x</t>
        </is>
      </c>
      <c r="C278" s="160"/>
      <c r="D278" s="160"/>
      <c r="E278" s="160" t="inlineStr">
        <is>
          <t xml:space="preserve">x</t>
        </is>
      </c>
      <c r="F278" s="160"/>
      <c r="G278" s="160"/>
      <c r="H278" s="160"/>
      <c r="I278" s="160"/>
      <c r="J278" s="160"/>
      <c r="K278" s="160" t="inlineStr">
        <is>
          <t xml:space="preserve">x</t>
        </is>
      </c>
      <c r="L278" s="160"/>
      <c r="M278" s="160"/>
      <c r="N278" s="160" t="inlineStr">
        <is>
          <t xml:space="preserve">x</t>
        </is>
      </c>
      <c r="O278" s="160"/>
      <c r="P278" s="160"/>
      <c r="Q278" s="160"/>
      <c r="R278" s="160"/>
      <c r="S278" s="160"/>
      <c r="T278" s="160" t="inlineStr">
        <is>
          <t xml:space="preserve">x</t>
        </is>
      </c>
      <c r="U278" s="160" t="inlineStr">
        <is>
          <t xml:space="preserve">x</t>
        </is>
      </c>
      <c r="V278" s="160" t="inlineStr">
        <is>
          <t xml:space="preserve">x</t>
        </is>
      </c>
      <c r="W278" s="160" t="inlineStr">
        <is>
          <t xml:space="preserve">x</t>
        </is>
      </c>
      <c r="X278" s="160" t="inlineStr">
        <is>
          <t xml:space="preserve">x</t>
        </is>
      </c>
      <c r="Y278" s="160" t="inlineStr">
        <is>
          <t xml:space="preserve">x</t>
        </is>
      </c>
      <c r="Z278" s="160" t="inlineStr">
        <is>
          <t xml:space="preserve">x</t>
        </is>
      </c>
      <c r="AA278" s="160" t="inlineStr">
        <is>
          <t xml:space="preserve">x</t>
        </is>
      </c>
      <c r="AB278" s="160" t="inlineStr">
        <is>
          <t xml:space="preserve">x</t>
        </is>
      </c>
      <c r="AC278" s="160" t="inlineStr">
        <is>
          <t xml:space="preserve">x</t>
        </is>
      </c>
    </row>
    <row r="282">
      <c r="A282" t="inlineStr">
        <is>
          <t xml:space="preserve">INDICADORES EXIBIDOS NO QUADRO (IN 1-4, OUT 1-4) e DESTAQUE dos cartões/gráfico semanal</t>
        </is>
      </c>
    </row>
    <row r="283">
      <c r="A283" s="145" t="inlineStr">
        <is>
          <t xml:space="preserve">Cliente</t>
        </is>
      </c>
      <c r="B283" s="145" t="inlineStr">
        <is>
          <t xml:space="preserve">IN 1</t>
        </is>
      </c>
      <c r="C283" s="145" t="inlineStr">
        <is>
          <t xml:space="preserve">IN 2</t>
        </is>
      </c>
      <c r="D283" s="145" t="inlineStr">
        <is>
          <t xml:space="preserve">IN 3</t>
        </is>
      </c>
      <c r="E283" s="145" t="inlineStr">
        <is>
          <t xml:space="preserve">IN 4</t>
        </is>
      </c>
      <c r="F283" s="145" t="inlineStr">
        <is>
          <t xml:space="preserve">OUT 1</t>
        </is>
      </c>
      <c r="G283" s="145" t="inlineStr">
        <is>
          <t xml:space="preserve">OUT 2</t>
        </is>
      </c>
      <c r="H283" s="145" t="inlineStr">
        <is>
          <t xml:space="preserve">OUT 3</t>
        </is>
      </c>
      <c r="I283" s="145" t="inlineStr">
        <is>
          <t xml:space="preserve">OUT 4</t>
        </is>
      </c>
      <c r="J283" s="145" t="inlineStr">
        <is>
          <t xml:space="preserve">Destaque IN</t>
        </is>
      </c>
      <c r="K283" s="145" t="inlineStr">
        <is>
          <t xml:space="preserve">Destaque OUT</t>
        </is>
      </c>
    </row>
    <row r="284">
      <c r="A284" t="inlineStr">
        <is>
          <t xml:space="preserve">Todos</t>
        </is>
      </c>
      <c r="B284" s="160" t="inlineStr">
        <is>
          <t xml:space="preserve">IN Veículos Recebidos</t>
        </is>
      </c>
      <c r="C284" s="160" t="inlineStr">
        <is>
          <t xml:space="preserve">IN Pallets Movimentados</t>
        </is>
      </c>
      <c r="D284" s="160" t="inlineStr">
        <is>
          <t xml:space="preserve">IN Toneladas Movimentadas</t>
        </is>
      </c>
      <c r="E284" s="160" t="inlineStr">
        <is>
          <t xml:space="preserve">IN Linhas NF</t>
        </is>
      </c>
      <c r="F284" s="160" t="inlineStr">
        <is>
          <t xml:space="preserve">OUT Veículos Expedidos</t>
        </is>
      </c>
      <c r="G284" s="160" t="inlineStr">
        <is>
          <t xml:space="preserve">OUT Pallets Movimentados</t>
        </is>
      </c>
      <c r="H284" s="160" t="inlineStr">
        <is>
          <t xml:space="preserve">OUT Toneladas Movimentadas</t>
        </is>
      </c>
      <c r="I284" s="160" t="inlineStr">
        <is>
          <t xml:space="preserve">OUT Linhas NF</t>
        </is>
      </c>
      <c r="J284" s="160" t="inlineStr">
        <is>
          <t xml:space="preserve">IN Pallets Movimentados</t>
        </is>
      </c>
      <c r="K284" s="160" t="inlineStr">
        <is>
          <t xml:space="preserve">OUT Pallets Movimentados</t>
        </is>
      </c>
    </row>
    <row r="285">
      <c r="A285" t="inlineStr">
        <is>
          <t xml:space="preserve">BASF</t>
        </is>
      </c>
      <c r="B285" s="160" t="inlineStr">
        <is>
          <t xml:space="preserve">IN Veículos Recebidos</t>
        </is>
      </c>
      <c r="C285" s="160" t="inlineStr">
        <is>
          <t xml:space="preserve">IN Pallets Movimentados</t>
        </is>
      </c>
      <c r="D285" s="160" t="inlineStr">
        <is>
          <t xml:space="preserve">IN Toneladas Movimentadas</t>
        </is>
      </c>
      <c r="F285" s="160" t="inlineStr">
        <is>
          <t xml:space="preserve">OUT Veículos Expedidos</t>
        </is>
      </c>
      <c r="G285" s="160" t="inlineStr">
        <is>
          <t xml:space="preserve">OUT Pallets Movimentados</t>
        </is>
      </c>
      <c r="H285" s="160" t="inlineStr">
        <is>
          <t xml:space="preserve">OUT Toneladas Movimentadas</t>
        </is>
      </c>
      <c r="J285" s="160" t="inlineStr">
        <is>
          <t xml:space="preserve">IN Pallets Movimentados</t>
        </is>
      </c>
      <c r="K285" s="160" t="inlineStr">
        <is>
          <t xml:space="preserve">OUT Pallets Movimentados</t>
        </is>
      </c>
    </row>
    <row r="286">
      <c r="A286" t="inlineStr">
        <is>
          <t xml:space="preserve">BEAUTYBIZ</t>
        </is>
      </c>
      <c r="B286" s="160" t="inlineStr">
        <is>
          <t xml:space="preserve">IN Veículos Recebidos</t>
        </is>
      </c>
      <c r="C286" s="160" t="inlineStr">
        <is>
          <t xml:space="preserve">IN Pallets Movimentados</t>
        </is>
      </c>
      <c r="D286" s="160" t="inlineStr">
        <is>
          <t xml:space="preserve">IN Caixas Movimentadas</t>
        </is>
      </c>
      <c r="F286" s="160" t="inlineStr">
        <is>
          <t xml:space="preserve">OUT Veículos Expedidos</t>
        </is>
      </c>
      <c r="G286" s="160" t="inlineStr">
        <is>
          <t xml:space="preserve">OUT Pallets Movimentados</t>
        </is>
      </c>
      <c r="H286" s="160" t="inlineStr">
        <is>
          <t xml:space="preserve">OUT Pedidos Expedidos</t>
        </is>
      </c>
      <c r="J286" s="160" t="inlineStr">
        <is>
          <t xml:space="preserve">IN Pallets Movimentados</t>
        </is>
      </c>
      <c r="K286" s="160" t="inlineStr">
        <is>
          <t xml:space="preserve">OUT Pallets Movimentados</t>
        </is>
      </c>
    </row>
    <row r="287">
      <c r="A287" t="inlineStr">
        <is>
          <t xml:space="preserve">BOTICÁRIO</t>
        </is>
      </c>
      <c r="B287" s="160" t="inlineStr">
        <is>
          <t xml:space="preserve">IN Veículos Recebidos</t>
        </is>
      </c>
      <c r="C287" s="160" t="inlineStr">
        <is>
          <t xml:space="preserve">IN Itens Recebidos CX Mista</t>
        </is>
      </c>
      <c r="D287" s="160" t="inlineStr">
        <is>
          <t xml:space="preserve">IN Caixas Mistas Recebidas</t>
        </is>
      </c>
      <c r="E287" s="160" t="inlineStr">
        <is>
          <t xml:space="preserve">IN Caixas Fechadas</t>
        </is>
      </c>
      <c r="F287" s="160" t="inlineStr">
        <is>
          <t xml:space="preserve">OUT Veículos Expedidos</t>
        </is>
      </c>
      <c r="G287" s="160" t="inlineStr">
        <is>
          <t xml:space="preserve">OUT Pedidos Faturados</t>
        </is>
      </c>
      <c r="H287" s="160" t="inlineStr">
        <is>
          <t xml:space="preserve">OUT Itens Expedidos</t>
        </is>
      </c>
      <c r="I287" s="160" t="inlineStr">
        <is>
          <t xml:space="preserve">OUT Pallets Movimentados</t>
        </is>
      </c>
      <c r="J287" s="160" t="inlineStr">
        <is>
          <t xml:space="preserve">IN Itens Recebidos CX Mista</t>
        </is>
      </c>
      <c r="K287" s="160" t="inlineStr">
        <is>
          <t xml:space="preserve">OUT Pedidos Faturados</t>
        </is>
      </c>
    </row>
    <row r="288">
      <c r="A288" t="inlineStr">
        <is>
          <t xml:space="preserve">SUPPLY</t>
        </is>
      </c>
      <c r="B288" s="160" t="inlineStr">
        <is>
          <t xml:space="preserve">IN Veículos Recebidos</t>
        </is>
      </c>
      <c r="C288" s="160" t="inlineStr">
        <is>
          <t xml:space="preserve">IN Pallets Movimentados</t>
        </is>
      </c>
      <c r="D288" s="160" t="inlineStr">
        <is>
          <t xml:space="preserve">IN Toneladas Movimentadas</t>
        </is>
      </c>
      <c r="F288" s="160" t="inlineStr">
        <is>
          <t xml:space="preserve">OUT Veículos Expedidos</t>
        </is>
      </c>
      <c r="G288" s="160" t="inlineStr">
        <is>
          <t xml:space="preserve">OUT Pallets Movimentados</t>
        </is>
      </c>
      <c r="H288" s="160" t="inlineStr">
        <is>
          <t xml:space="preserve">OUT Toneladas Movimentadas</t>
        </is>
      </c>
      <c r="J288" s="160" t="inlineStr">
        <is>
          <t xml:space="preserve">IN Pallets Movimentados</t>
        </is>
      </c>
      <c r="K288" s="160" t="inlineStr">
        <is>
          <t xml:space="preserve">OUT Pallets Movimentados</t>
        </is>
      </c>
    </row>
    <row r="289">
      <c r="A289" t="inlineStr">
        <is>
          <t xml:space="preserve">GE VERNOVA</t>
        </is>
      </c>
      <c r="B289" s="160" t="inlineStr">
        <is>
          <t xml:space="preserve">IN Veículos Recebidos</t>
        </is>
      </c>
      <c r="C289" s="160" t="inlineStr">
        <is>
          <t xml:space="preserve">IN Pallets Movimentados</t>
        </is>
      </c>
      <c r="D289" s="160" t="inlineStr">
        <is>
          <t xml:space="preserve">IN Peças Movimentadas</t>
        </is>
      </c>
      <c r="E289" s="160" t="inlineStr">
        <is>
          <t xml:space="preserve">IN Linhas NF</t>
        </is>
      </c>
      <c r="F289" s="160" t="inlineStr">
        <is>
          <t xml:space="preserve">OUT Veículos Expedidos</t>
        </is>
      </c>
      <c r="G289" s="160" t="inlineStr">
        <is>
          <t xml:space="preserve">OUT Pallets Movimentados</t>
        </is>
      </c>
      <c r="H289" s="160" t="inlineStr">
        <is>
          <t xml:space="preserve">OUT Peças Movimentadas</t>
        </is>
      </c>
      <c r="I289" s="160" t="inlineStr">
        <is>
          <t xml:space="preserve">OUT Linhas NF</t>
        </is>
      </c>
      <c r="J289" s="160" t="inlineStr">
        <is>
          <t xml:space="preserve">IN Pallets Movimentados</t>
        </is>
      </c>
      <c r="K289" s="160" t="inlineStr">
        <is>
          <t xml:space="preserve">OUT Pallets Movimentados</t>
        </is>
      </c>
    </row>
    <row r="290">
      <c r="A290" t="inlineStr">
        <is>
          <t xml:space="preserve">VESTAS</t>
        </is>
      </c>
      <c r="B290" s="160" t="inlineStr">
        <is>
          <t xml:space="preserve">IN Veículos Recebidos</t>
        </is>
      </c>
      <c r="C290" s="160" t="inlineStr">
        <is>
          <t xml:space="preserve">IN Linhas NF</t>
        </is>
      </c>
      <c r="F290" s="160" t="inlineStr">
        <is>
          <t xml:space="preserve">OUT Veículos Expedidos</t>
        </is>
      </c>
      <c r="G290" s="160" t="inlineStr">
        <is>
          <t xml:space="preserve">OUT Linhas NF</t>
        </is>
      </c>
      <c r="J290" s="160" t="inlineStr">
        <is>
          <t xml:space="preserve">IN Linhas NF</t>
        </is>
      </c>
      <c r="K290" s="160" t="inlineStr">
        <is>
          <t xml:space="preserve">OUT Linhas NF</t>
        </is>
      </c>
    </row>
    <row r="291">
      <c r="A291" t="inlineStr">
        <is>
          <t xml:space="preserve">VEDACIT</t>
        </is>
      </c>
      <c r="B291" s="160" t="inlineStr">
        <is>
          <t xml:space="preserve">IN Veículos Recebidos</t>
        </is>
      </c>
      <c r="C291" s="160" t="inlineStr">
        <is>
          <t xml:space="preserve">IN Pallets Movimentados</t>
        </is>
      </c>
      <c r="F291" s="160" t="inlineStr">
        <is>
          <t xml:space="preserve">OUT Veículos Expedidos</t>
        </is>
      </c>
      <c r="G291" s="160" t="inlineStr">
        <is>
          <t xml:space="preserve">OUT Pallets Movimentados</t>
        </is>
      </c>
      <c r="J291" s="160" t="inlineStr">
        <is>
          <t xml:space="preserve">IN Pallets Movimentados</t>
        </is>
      </c>
      <c r="K291" s="160" t="inlineStr">
        <is>
          <t xml:space="preserve">OUT Pallets Movimentados</t>
        </is>
      </c>
    </row>
    <row r="292">
      <c r="A292" t="inlineStr">
        <is>
          <t xml:space="preserve">OMNLIFE</t>
        </is>
      </c>
      <c r="B292" s="160" t="inlineStr">
        <is>
          <t xml:space="preserve">IN Veículos Recebidos</t>
        </is>
      </c>
      <c r="C292" s="160" t="inlineStr">
        <is>
          <t xml:space="preserve">IN Pallets Movimentados</t>
        </is>
      </c>
      <c r="F292" s="160" t="inlineStr">
        <is>
          <t xml:space="preserve">OUT Veículos Expedidos</t>
        </is>
      </c>
      <c r="G292" s="160" t="inlineStr">
        <is>
          <t xml:space="preserve">OUT Pallets Movimentados</t>
        </is>
      </c>
      <c r="J292" s="160" t="inlineStr">
        <is>
          <t xml:space="preserve">IN Pallets Movimentados</t>
        </is>
      </c>
      <c r="K292" s="160" t="inlineStr">
        <is>
          <t xml:space="preserve">OUT Pallets Movimentados</t>
        </is>
      </c>
    </row>
    <row r="293">
      <c r="A293" t="inlineStr">
        <is>
          <t xml:space="preserve">ALPARGATAS</t>
        </is>
      </c>
      <c r="B293" s="160" t="inlineStr">
        <is>
          <t xml:space="preserve">IN Veículos Recebidos</t>
        </is>
      </c>
      <c r="C293" s="160" t="inlineStr">
        <is>
          <t xml:space="preserve">IN Caixas Movimentadas</t>
        </is>
      </c>
      <c r="F293" s="160" t="inlineStr">
        <is>
          <t xml:space="preserve">OUT Veículos Expedidos</t>
        </is>
      </c>
      <c r="G293" s="160" t="inlineStr">
        <is>
          <t xml:space="preserve">OUT Caixas Expedidas</t>
        </is>
      </c>
      <c r="J293" s="160" t="inlineStr">
        <is>
          <t xml:space="preserve">IN Caixas Movimentadas</t>
        </is>
      </c>
      <c r="K293" s="160" t="inlineStr">
        <is>
          <t xml:space="preserve">OUT Caixas Expedidas</t>
        </is>
      </c>
    </row>
  </sheetData>
  <pageMargins left="0.25" right="0.25" top="0.4" bottom="0.4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AG3"/>
  <sheetViews>
    <sheetView showGridLines="0" zoomScale="100" zoomScaleNormal="100" workbookViewId="0">
      <pane xSplit="2" ySplit="2" topLeftCell="C3" activePane="bottomRight" state="frozen"/>
      <selection pane="bottomRight" activeCell="A4" sqref="A4"/>
    </sheetView>
  </sheetViews>
  <sheetFormatPr defaultRowHeight="15"/>
  <cols>
    <col min="1" max="1" width="11" customWidth="1"/>
    <col min="2" max="2" width="16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  <col min="26" max="26" width="11" customWidth="1"/>
    <col min="27" max="27" width="11" customWidth="1"/>
    <col min="28" max="28" width="11" customWidth="1"/>
    <col min="29" max="29" width="11" customWidth="1"/>
    <col min="30" max="30" width="11" customWidth="1"/>
    <col min="31" max="31" width="11" customWidth="1"/>
    <col min="32" max="32" width="3" customWidth="1"/>
    <col min="33" max="33" width="95" customWidth="1"/>
  </cols>
  <sheetData>
    <row r="1" ht="20" customHeight="1">
      <c r="A1" s="459" t="inlineStr">
        <is>
          <t xml:space="preserve">REGISTRO</t>
        </is>
      </c>
      <c r="B1" s="459"/>
      <c r="C1" s="460" t="inlineStr">
        <is>
          <t xml:space="preserve">IN · RECEBIMENTO</t>
        </is>
      </c>
      <c r="D1" s="460"/>
      <c r="E1" s="460"/>
      <c r="F1" s="460"/>
      <c r="G1" s="460"/>
      <c r="H1" s="460"/>
      <c r="I1" s="460"/>
      <c r="J1" s="460"/>
      <c r="K1" s="460"/>
      <c r="L1" s="461" t="inlineStr">
        <is>
          <t xml:space="preserve">OUT · EXPEDIÇÃO</t>
        </is>
      </c>
      <c r="M1" s="461"/>
      <c r="N1" s="461"/>
      <c r="O1" s="461"/>
      <c r="P1" s="461"/>
      <c r="Q1" s="461"/>
      <c r="R1" s="461"/>
      <c r="S1" s="461"/>
      <c r="T1" s="461"/>
      <c r="U1" s="462" t="inlineStr">
        <is>
          <t xml:space="preserve">NC · NÃO CONFORMIDADES</t>
        </is>
      </c>
      <c r="V1" s="462"/>
      <c r="W1" s="462"/>
      <c r="X1" s="463" t="inlineStr">
        <is>
          <t xml:space="preserve">OCUPAÇÃO (P.P)</t>
        </is>
      </c>
      <c r="Y1" s="463"/>
      <c r="Z1" s="464" t="inlineStr">
        <is>
          <t xml:space="preserve">GENTE</t>
        </is>
      </c>
      <c r="AA1" s="464"/>
      <c r="AB1" s="464"/>
      <c r="AC1" s="464"/>
      <c r="AD1" s="464"/>
      <c r="AE1" s="465" t="inlineStr">
        <is>
          <t xml:space="preserve">CONTRATO</t>
        </is>
      </c>
    </row>
    <row r="2" ht="42" customHeight="1">
      <c r="A2" s="121" t="inlineStr">
        <is>
          <t xml:space="preserve">Data</t>
        </is>
      </c>
      <c r="B2" s="121" t="inlineStr">
        <is>
          <t xml:space="preserve">Cliente</t>
        </is>
      </c>
      <c r="C2" s="121" t="inlineStr">
        <is>
          <t xml:space="preserve">IN Veículos Recebidos</t>
        </is>
      </c>
      <c r="D2" s="121" t="inlineStr">
        <is>
          <t xml:space="preserve">IN Pallets Movimentados</t>
        </is>
      </c>
      <c r="E2" s="121" t="inlineStr">
        <is>
          <t xml:space="preserve">IN Toneladas Movimentadas</t>
        </is>
      </c>
      <c r="F2" s="121" t="inlineStr">
        <is>
          <t xml:space="preserve">IN Caixas Movimentadas</t>
        </is>
      </c>
      <c r="G2" s="121" t="inlineStr">
        <is>
          <t xml:space="preserve">IN Itens Recebidos CX Mista</t>
        </is>
      </c>
      <c r="H2" s="121" t="inlineStr">
        <is>
          <t xml:space="preserve">IN Caixas Mistas Recebidas</t>
        </is>
      </c>
      <c r="I2" s="121" t="inlineStr">
        <is>
          <t xml:space="preserve">IN Caixas Fechadas</t>
        </is>
      </c>
      <c r="J2" s="121" t="inlineStr">
        <is>
          <t xml:space="preserve">IN Peças Movimentadas</t>
        </is>
      </c>
      <c r="K2" s="121" t="inlineStr">
        <is>
          <t xml:space="preserve">IN Linhas NF</t>
        </is>
      </c>
      <c r="L2" s="121" t="inlineStr">
        <is>
          <t xml:space="preserve">OUT Veículos Expedidos</t>
        </is>
      </c>
      <c r="M2" s="121" t="inlineStr">
        <is>
          <t xml:space="preserve">OUT Pallets Movimentados</t>
        </is>
      </c>
      <c r="N2" s="121" t="inlineStr">
        <is>
          <t xml:space="preserve">OUT Toneladas Movimentadas</t>
        </is>
      </c>
      <c r="O2" s="121" t="inlineStr">
        <is>
          <t xml:space="preserve">OUT Caixas Expedidas</t>
        </is>
      </c>
      <c r="P2" s="121" t="inlineStr">
        <is>
          <t xml:space="preserve">OUT Pedidos Expedidos</t>
        </is>
      </c>
      <c r="Q2" s="121" t="inlineStr">
        <is>
          <t xml:space="preserve">OUT Pedidos Faturados</t>
        </is>
      </c>
      <c r="R2" s="121" t="inlineStr">
        <is>
          <t xml:space="preserve">OUT Itens Expedidos</t>
        </is>
      </c>
      <c r="S2" s="121" t="inlineStr">
        <is>
          <t xml:space="preserve">OUT Peças Movimentadas</t>
        </is>
      </c>
      <c r="T2" s="121" t="inlineStr">
        <is>
          <t xml:space="preserve">OUT Linhas NF</t>
        </is>
      </c>
      <c r="U2" s="121" t="inlineStr">
        <is>
          <t xml:space="preserve">NC Incidentes</t>
        </is>
      </c>
      <c r="V2" s="121" t="inlineStr">
        <is>
          <t xml:space="preserve">NC No show</t>
        </is>
      </c>
      <c r="W2" s="121" t="inlineStr">
        <is>
          <t xml:space="preserve">NC Backlog</t>
        </is>
      </c>
      <c r="X2" s="121" t="inlineStr">
        <is>
          <t xml:space="preserve">Posições Disponíveis</t>
        </is>
      </c>
      <c r="Y2" s="121" t="inlineStr">
        <is>
          <t xml:space="preserve">Posições Ocupadas</t>
        </is>
      </c>
      <c r="Z2" s="121" t="inlineStr">
        <is>
          <t xml:space="preserve">Efetivo</t>
        </is>
      </c>
      <c r="AA2" s="121" t="inlineStr">
        <is>
          <t xml:space="preserve">Falta</t>
        </is>
      </c>
      <c r="AB2" s="121" t="inlineStr">
        <is>
          <t xml:space="preserve">Folga</t>
        </is>
      </c>
      <c r="AC2" s="121" t="inlineStr">
        <is>
          <t xml:space="preserve">Férias</t>
        </is>
      </c>
      <c r="AD2" s="121" t="inlineStr">
        <is>
          <t xml:space="preserve">Desligamentos</t>
        </is>
      </c>
      <c r="AE2" s="121" t="inlineStr">
        <is>
          <t xml:space="preserve">Modalidade</t>
        </is>
      </c>
      <c r="AG2" s="466" t="inlineStr">
        <is>
          <t xml:space="preserve">COMO PREENCHER A BASE</t>
        </is>
      </c>
    </row>
    <row r="3">
      <c r="A3" s="122"/>
      <c r="B3" s="123"/>
      <c r="C3" s="124"/>
      <c r="D3" s="124"/>
      <c r="E3" s="125"/>
      <c r="F3" s="124"/>
      <c r="G3" s="124"/>
      <c r="H3" s="124"/>
      <c r="I3" s="124"/>
      <c r="J3" s="124"/>
      <c r="K3" s="124"/>
      <c r="L3" s="124"/>
      <c r="M3" s="124"/>
      <c r="N3" s="125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6"/>
      <c r="AG3" s="467" t="inlineStr">
        <is>
          <t xml:space="preserve">• Uma linha por dia e por cliente.</t>
        </is>
      </c>
    </row>
    <row r="4">
      <c r="AG4" s="467" t="inlineStr">
        <is>
          <t xml:space="preserve">• Digite na primeira linha vazia logo abaixo da tabela: ela cresce sozinha e leva formato, listas e validações.</t>
        </is>
      </c>
    </row>
    <row r="5">
      <c r="AG5" s="467" t="inlineStr">
        <is>
          <t xml:space="preserve">• Data: dd/mm/aaaa.   Cliente e Modalidade: escolha na lista (setinha da célula).</t>
        </is>
      </c>
    </row>
    <row r="6">
      <c r="AG6" s="467" t="inlineStr">
        <is>
          <t xml:space="preserve">• Células CINZA = indicador que o cliente não usa (a planilha não deixa digitar).</t>
        </is>
      </c>
    </row>
    <row r="7">
      <c r="AG7" s="467" t="inlineStr">
        <is>
          <t xml:space="preserve">• Números: só 0 ou maior. Toneladas aceitam casas decimais. Em branco = não medido.</t>
        </is>
      </c>
    </row>
    <row r="8">
      <c r="AG8" s="468" t="inlineStr">
        <is>
          <t xml:space="preserve">SOMA NO MÊS</t>
        </is>
      </c>
    </row>
    <row r="9">
      <c r="AG9" s="467" t="inlineStr">
        <is>
          <t xml:space="preserve">• Fluxos de IN e OUT, incidentes, no show, falta, folga, férias e desligamentos: valor do dia.</t>
        </is>
      </c>
    </row>
    <row r="10">
      <c r="AG10" s="468" t="inlineStr">
        <is>
          <t xml:space="preserve">ÚLTIMO VALOR DO MÊS</t>
        </is>
      </c>
    </row>
    <row r="11">
      <c r="AG11" s="467" t="inlineStr">
        <is>
          <t xml:space="preserve">• Backlog, posições disponíveis/ocupadas e efetivo: posição do dia (vale o último lançado).</t>
        </is>
      </c>
    </row>
    <row r="12">
      <c r="AG12" s="468" t="inlineStr">
        <is>
          <t xml:space="preserve">ALERTAS</t>
        </is>
      </c>
    </row>
    <row r="13">
      <c r="AG13" s="467" t="inlineStr">
        <is>
          <t xml:space="preserve">• Vermelho: mesma data e cliente lançados duas vezes.</t>
        </is>
      </c>
    </row>
    <row r="14">
      <c r="AG14" s="467" t="inlineStr">
        <is>
          <t xml:space="preserve">• Amarelo: linha incompleta (data sem cliente ou o contrário) ou posições ocupadas maiores que as disponíveis.</t>
        </is>
      </c>
    </row>
    <row r="15">
      <c r="AG15" s="467" t="inlineStr">
        <is>
          <t xml:space="preserve">• Monitoramento, Indicadores e Quadro leem esta aba automaticamente.</t>
        </is>
      </c>
    </row>
  </sheetData>
  <mergeCells count="6">
    <mergeCell ref="A1:B1"/>
    <mergeCell ref="C1:K1"/>
    <mergeCell ref="L1:T1"/>
    <mergeCell ref="U1:W1"/>
    <mergeCell ref="X1:Y1"/>
    <mergeCell ref="Z1:AD1"/>
  </mergeCells>
  <conditionalFormatting sqref="A3:B5001">
    <cfRule type="expression" dxfId="0" priority="1" stopIfTrue="1">
      <formula>AND($A3&lt;&gt;"",$B3&lt;&gt;"",COUNTIFS($A$3:$A$5001,$A3,$B$3:$B$5001,$B3)&gt;1)</formula>
    </cfRule>
    <cfRule type="expression" dxfId="2" priority="2">
      <formula>OR(AND($A3&lt;&gt;"",$B3=""),AND($A3="",$B3&lt;&gt;""))</formula>
    </cfRule>
  </conditionalFormatting>
  <conditionalFormatting sqref="C3:AD5001">
    <cfRule type="expression" dxfId="11" priority="3">
      <formula>AND($B3&lt;&gt;"",IFERROR(INDEX(calculos!$B$270:$AC$278,MATCH($B3,calculos!$A$270:$A$278,0),COLUMN()-2),"")&lt;&gt;"x")</formula>
    </cfRule>
  </conditionalFormatting>
  <conditionalFormatting sqref="Y3:Y5001">
    <cfRule type="expression" dxfId="2" priority="4">
      <formula>AND(ISNUMBER($X3),ISNUMBER($Y3),$Y3&gt;$X3)</formula>
    </cfRule>
  </conditionalFormatting>
  <dataValidations count="31">
    <dataValidation type="date" operator="between" allowBlank="1" showInputMessage="1" showErrorMessage="1" errorTitle="Data" error="Digite uma data válida (dd/mm/aaaa)." promptTitle="Data" prompt="Data do registro (dd/mm/aaaa)." sqref="A3:A5001">
      <formula1>DATE(2020,1,1)</formula1>
      <formula2>DATE(2035,12,31)</formula2>
    </dataValidation>
    <dataValidation type="list" allowBlank="1" showInputMessage="1" showErrorMessage="1" errorTitle="Cliente" error="Escolha um item da lista." promptTitle="Cliente" prompt="Escolha o cliente na lista. As colunas que ele não usa ficam cinza." sqref="B3:B5001">
      <formula1>calculos!$AL$13:$AL$21</formula1>
    </dataValidation>
    <dataValidation type="list" allowBlank="1" showInputMessage="1" showErrorMessage="1" errorTitle="Modalidade" error="Escolha um item da lista." promptTitle="Modalidade" prompt="Contrato, Spot ou Cross." sqref="AE3:AE5001">
      <formula1>"Contrato,Spot,Cross"</formula1>
    </dataValidation>
    <dataValidation type="custom" allowBlank="1" showInputMessage="1" showErrorMessage="1" errorTitle="Veículos Recebidos" error="Digite um número igual ou maior que zero. Se a célula está cinza, este indicador não é usado pelo cliente da linha (escolha o cliente antes)." promptTitle="Veículos Recebidos" prompt="IN Veículos Recebidos: valor do dia (soma no mês)." sqref="C3:C5001">
      <formula1>AND(ISNUMBER(C3),C3&gt;=0,IFERROR(INDEX(calculos!$B$270:$AC$278,MATCH($B3,calculos!$A$270:$A$278,0),COLUMN()-2),"")="x")</formula1>
    </dataValidation>
    <dataValidation type="custom" allowBlank="1" showInputMessage="1" showErrorMessage="1" errorTitle="Pallets Movimentados" error="Digite um número igual ou maior que zero. Se a célula está cinza, este indicador não é usado pelo cliente da linha (escolha o cliente antes)." promptTitle="Pallets Movimentados" prompt="IN Pallets Movimentados: valor do dia (soma no mês)." sqref="D3:D5001">
      <formula1>AND(ISNUMBER(D3),D3&gt;=0,IFERROR(INDEX(calculos!$B$270:$AC$278,MATCH($B3,calculos!$A$270:$A$278,0),COLUMN()-2),"")="x")</formula1>
    </dataValidation>
    <dataValidation type="custom" allowBlank="1" showInputMessage="1" showErrorMessage="1" errorTitle="Toneladas Movimentadas" error="Digite um número igual ou maior que zero. Se a célula está cinza, este indicador não é usado pelo cliente da linha (escolha o cliente antes)." promptTitle="Toneladas Movimentadas" prompt="IN Toneladas Movimentadas: valor do dia (soma no mês)." sqref="E3:E5001">
      <formula1>AND(ISNUMBER(E3),E3&gt;=0,IFERROR(INDEX(calculos!$B$270:$AC$278,MATCH($B3,calculos!$A$270:$A$278,0),COLUMN()-2),"")="x")</formula1>
    </dataValidation>
    <dataValidation type="custom" allowBlank="1" showInputMessage="1" showErrorMessage="1" errorTitle="Caixas Movimentadas" error="Digite um número igual ou maior que zero. Se a célula está cinza, este indicador não é usado pelo cliente da linha (escolha o cliente antes)." promptTitle="Caixas Movimentadas" prompt="IN Caixas Movimentadas: valor do dia (soma no mês)." sqref="F3:F5001">
      <formula1>AND(ISNUMBER(F3),F3&gt;=0,IFERROR(INDEX(calculos!$B$270:$AC$278,MATCH($B3,calculos!$A$270:$A$278,0),COLUMN()-2),"")="x")</formula1>
    </dataValidation>
    <dataValidation type="custom" allowBlank="1" showInputMessage="1" showErrorMessage="1" errorTitle="Itens Recebidos CX Mista" error="Digite um número igual ou maior que zero. Se a célula está cinza, este indicador não é usado pelo cliente da linha (escolha o cliente antes)." promptTitle="Itens Recebidos CX Mista" prompt="IN Itens Recebidos CX Mista: valor do dia (soma no mês)." sqref="G3:G5001">
      <formula1>AND(ISNUMBER(G3),G3&gt;=0,IFERROR(INDEX(calculos!$B$270:$AC$278,MATCH($B3,calculos!$A$270:$A$278,0),COLUMN()-2),"")="x")</formula1>
    </dataValidation>
    <dataValidation type="custom" allowBlank="1" showInputMessage="1" showErrorMessage="1" errorTitle="Caixas Mistas Recebidas" error="Digite um número igual ou maior que zero. Se a célula está cinza, este indicador não é usado pelo cliente da linha (escolha o cliente antes)." promptTitle="Caixas Mistas Recebidas" prompt="IN Caixas Mistas Recebidas: valor do dia (soma no mês)." sqref="H3:H5001">
      <formula1>AND(ISNUMBER(H3),H3&gt;=0,IFERROR(INDEX(calculos!$B$270:$AC$278,MATCH($B3,calculos!$A$270:$A$278,0),COLUMN()-2),"")="x")</formula1>
    </dataValidation>
    <dataValidation type="custom" allowBlank="1" showInputMessage="1" showErrorMessage="1" errorTitle="Caixas Fechadas" error="Digite um número igual ou maior que zero. Se a célula está cinza, este indicador não é usado pelo cliente da linha (escolha o cliente antes)." promptTitle="Caixas Fechadas" prompt="IN Caixas Fechadas: valor do dia (soma no mês)." sqref="I3:I5001">
      <formula1>AND(ISNUMBER(I3),I3&gt;=0,IFERROR(INDEX(calculos!$B$270:$AC$278,MATCH($B3,calculos!$A$270:$A$278,0),COLUMN()-2),"")="x")</formula1>
    </dataValidation>
    <dataValidation type="custom" allowBlank="1" showInputMessage="1" showErrorMessage="1" errorTitle="Peças Movimentadas" error="Digite um número igual ou maior que zero. Se a célula está cinza, este indicador não é usado pelo cliente da linha (escolha o cliente antes)." promptTitle="Peças Movimentadas" prompt="IN Peças Movimentadas: valor do dia (soma no mês)." sqref="J3:J5001">
      <formula1>AND(ISNUMBER(J3),J3&gt;=0,IFERROR(INDEX(calculos!$B$270:$AC$278,MATCH($B3,calculos!$A$270:$A$278,0),COLUMN()-2),"")="x")</formula1>
    </dataValidation>
    <dataValidation type="custom" allowBlank="1" showInputMessage="1" showErrorMessage="1" errorTitle="Linhas NF" error="Digite um número igual ou maior que zero. Se a célula está cinza, este indicador não é usado pelo cliente da linha (escolha o cliente antes)." promptTitle="Linhas NF" prompt="IN Linhas NF: valor do dia (soma no mês)." sqref="K3:K5001">
      <formula1>AND(ISNUMBER(K3),K3&gt;=0,IFERROR(INDEX(calculos!$B$270:$AC$278,MATCH($B3,calculos!$A$270:$A$278,0),COLUMN()-2),"")="x")</formula1>
    </dataValidation>
    <dataValidation type="custom" allowBlank="1" showInputMessage="1" showErrorMessage="1" errorTitle="Veículos Expedidos" error="Digite um número igual ou maior que zero. Se a célula está cinza, este indicador não é usado pelo cliente da linha (escolha o cliente antes)." promptTitle="Veículos Expedidos" prompt="OUT Veículos Expedidos: valor do dia (soma no mês)." sqref="L3:L5001">
      <formula1>AND(ISNUMBER(L3),L3&gt;=0,IFERROR(INDEX(calculos!$B$270:$AC$278,MATCH($B3,calculos!$A$270:$A$278,0),COLUMN()-2),"")="x")</formula1>
    </dataValidation>
    <dataValidation type="custom" allowBlank="1" showInputMessage="1" showErrorMessage="1" errorTitle="Pallets Movimentados" error="Digite um número igual ou maior que zero. Se a célula está cinza, este indicador não é usado pelo cliente da linha (escolha o cliente antes)." promptTitle="Pallets Movimentados" prompt="OUT Pallets Movimentados: valor do dia (soma no mês)." sqref="M3:M5001">
      <formula1>AND(ISNUMBER(M3),M3&gt;=0,IFERROR(INDEX(calculos!$B$270:$AC$278,MATCH($B3,calculos!$A$270:$A$278,0),COLUMN()-2),"")="x")</formula1>
    </dataValidation>
    <dataValidation type="custom" allowBlank="1" showInputMessage="1" showErrorMessage="1" errorTitle="Toneladas Movimentadas" error="Digite um número igual ou maior que zero. Se a célula está cinza, este indicador não é usado pelo cliente da linha (escolha o cliente antes)." promptTitle="Toneladas Movimentadas" prompt="OUT Toneladas Movimentadas: valor do dia (soma no mês)." sqref="N3:N5001">
      <formula1>AND(ISNUMBER(N3),N3&gt;=0,IFERROR(INDEX(calculos!$B$270:$AC$278,MATCH($B3,calculos!$A$270:$A$278,0),COLUMN()-2),"")="x")</formula1>
    </dataValidation>
    <dataValidation type="custom" allowBlank="1" showInputMessage="1" showErrorMessage="1" errorTitle="Caixas Expedidas" error="Digite um número igual ou maior que zero. Se a célula está cinza, este indicador não é usado pelo cliente da linha (escolha o cliente antes)." promptTitle="Caixas Expedidas" prompt="OUT Caixas Expedidas: valor do dia (soma no mês)." sqref="O3:O5001">
      <formula1>AND(ISNUMBER(O3),O3&gt;=0,IFERROR(INDEX(calculos!$B$270:$AC$278,MATCH($B3,calculos!$A$270:$A$278,0),COLUMN()-2),"")="x")</formula1>
    </dataValidation>
    <dataValidation type="custom" allowBlank="1" showInputMessage="1" showErrorMessage="1" errorTitle="Pedidos Expedidos" error="Digite um número igual ou maior que zero. Se a célula está cinza, este indicador não é usado pelo cliente da linha (escolha o cliente antes)." promptTitle="Pedidos Expedidos" prompt="OUT Pedidos Expedidos: valor do dia (soma no mês)." sqref="P3:P5001">
      <formula1>AND(ISNUMBER(P3),P3&gt;=0,IFERROR(INDEX(calculos!$B$270:$AC$278,MATCH($B3,calculos!$A$270:$A$278,0),COLUMN()-2),"")="x")</formula1>
    </dataValidation>
    <dataValidation type="custom" allowBlank="1" showInputMessage="1" showErrorMessage="1" errorTitle="Pedidos Faturados" error="Digite um número igual ou maior que zero. Se a célula está cinza, este indicador não é usado pelo cliente da linha (escolha o cliente antes)." promptTitle="Pedidos Faturados" prompt="OUT Pedidos Faturados: valor do dia (soma no mês)." sqref="Q3:Q5001">
      <formula1>AND(ISNUMBER(Q3),Q3&gt;=0,IFERROR(INDEX(calculos!$B$270:$AC$278,MATCH($B3,calculos!$A$270:$A$278,0),COLUMN()-2),"")="x")</formula1>
    </dataValidation>
    <dataValidation type="custom" allowBlank="1" showInputMessage="1" showErrorMessage="1" errorTitle="Itens Expedidos" error="Digite um número igual ou maior que zero. Se a célula está cinza, este indicador não é usado pelo cliente da linha (escolha o cliente antes)." promptTitle="Itens Expedidos" prompt="OUT Itens Expedidos: valor do dia (soma no mês)." sqref="R3:R5001">
      <formula1>AND(ISNUMBER(R3),R3&gt;=0,IFERROR(INDEX(calculos!$B$270:$AC$278,MATCH($B3,calculos!$A$270:$A$278,0),COLUMN()-2),"")="x")</formula1>
    </dataValidation>
    <dataValidation type="custom" allowBlank="1" showInputMessage="1" showErrorMessage="1" errorTitle="Peças Movimentadas" error="Digite um número igual ou maior que zero. Se a célula está cinza, este indicador não é usado pelo cliente da linha (escolha o cliente antes)." promptTitle="Peças Movimentadas" prompt="OUT Peças Movimentadas: valor do dia (soma no mês)." sqref="S3:S5001">
      <formula1>AND(ISNUMBER(S3),S3&gt;=0,IFERROR(INDEX(calculos!$B$270:$AC$278,MATCH($B3,calculos!$A$270:$A$278,0),COLUMN()-2),"")="x")</formula1>
    </dataValidation>
    <dataValidation type="custom" allowBlank="1" showInputMessage="1" showErrorMessage="1" errorTitle="Linhas NF" error="Digite um número igual ou maior que zero. Se a célula está cinza, este indicador não é usado pelo cliente da linha (escolha o cliente antes)." promptTitle="Linhas NF" prompt="OUT Linhas NF: valor do dia (soma no mês)." sqref="T3:T5001">
      <formula1>AND(ISNUMBER(T3),T3&gt;=0,IFERROR(INDEX(calculos!$B$270:$AC$278,MATCH($B3,calculos!$A$270:$A$278,0),COLUMN()-2),"")="x")</formula1>
    </dataValidation>
    <dataValidation type="custom" allowBlank="1" showInputMessage="1" showErrorMessage="1" errorTitle="Incidentes" error="Digite um número igual ou maior que zero. Se a célula está cinza, este indicador não é usado pelo cliente da linha (escolha o cliente antes)." promptTitle="Incidentes" prompt="NC Incidentes: valor do dia (soma no mês)." sqref="U3:U5001">
      <formula1>AND(ISNUMBER(U3),U3&gt;=0,IFERROR(INDEX(calculos!$B$270:$AC$278,MATCH($B3,calculos!$A$270:$A$278,0),COLUMN()-2),"")="x")</formula1>
    </dataValidation>
    <dataValidation type="custom" allowBlank="1" showInputMessage="1" showErrorMessage="1" errorTitle="No show" error="Digite um número igual ou maior que zero. Se a célula está cinza, este indicador não é usado pelo cliente da linha (escolha o cliente antes)." promptTitle="No show" prompt="NC No show: valor do dia (soma no mês)." sqref="V3:V5001">
      <formula1>AND(ISNUMBER(V3),V3&gt;=0,IFERROR(INDEX(calculos!$B$270:$AC$278,MATCH($B3,calculos!$A$270:$A$278,0),COLUMN()-2),"")="x")</formula1>
    </dataValidation>
    <dataValidation type="custom" allowBlank="1" showInputMessage="1" showErrorMessage="1" errorTitle="Backlog" error="Digite um número igual ou maior que zero. Se a célula está cinza, este indicador não é usado pelo cliente da linha (escolha o cliente antes)." promptTitle="Backlog" prompt="NC Backlog: posição do dia (vale o último do mês)." sqref="W3:W5001">
      <formula1>AND(ISNUMBER(W3),W3&gt;=0,IFERROR(INDEX(calculos!$B$270:$AC$278,MATCH($B3,calculos!$A$270:$A$278,0),COLUMN()-2),"")="x")</formula1>
    </dataValidation>
    <dataValidation type="custom" allowBlank="1" showInputMessage="1" showErrorMessage="1" errorTitle="Posições Disponíveis" error="Digite um número igual ou maior que zero. Se a célula está cinza, este indicador não é usado pelo cliente da linha (escolha o cliente antes)." promptTitle="Posições Disponíveis" prompt="Posições Disponíveis: posição do dia (vale o último do mês)." sqref="X3:X5001">
      <formula1>AND(ISNUMBER(X3),X3&gt;=0,IFERROR(INDEX(calculos!$B$270:$AC$278,MATCH($B3,calculos!$A$270:$A$278,0),COLUMN()-2),"")="x")</formula1>
    </dataValidation>
    <dataValidation type="custom" allowBlank="1" showInputMessage="1" showErrorMessage="1" errorTitle="Posições Ocupadas" error="Digite um número igual ou maior que zero. Se a célula está cinza, este indicador não é usado pelo cliente da linha (escolha o cliente antes)." promptTitle="Posições Ocupadas" prompt="Posições Ocupadas: posição do dia (vale o último do mês)." sqref="Y3:Y5001">
      <formula1>AND(ISNUMBER(Y3),Y3&gt;=0,IFERROR(INDEX(calculos!$B$270:$AC$278,MATCH($B3,calculos!$A$270:$A$278,0),COLUMN()-2),"")="x")</formula1>
    </dataValidation>
    <dataValidation type="custom" allowBlank="1" showInputMessage="1" showErrorMessage="1" errorTitle="Efetivo" error="Digite um número igual ou maior que zero. Se a célula está cinza, este indicador não é usado pelo cliente da linha (escolha o cliente antes)." promptTitle="Efetivo" prompt="Efetivo: posição do dia (vale o último do mês)." sqref="Z3:Z5001">
      <formula1>AND(ISNUMBER(Z3),Z3&gt;=0,IFERROR(INDEX(calculos!$B$270:$AC$278,MATCH($B3,calculos!$A$270:$A$278,0),COLUMN()-2),"")="x")</formula1>
    </dataValidation>
    <dataValidation type="custom" allowBlank="1" showInputMessage="1" showErrorMessage="1" errorTitle="Falta" error="Digite um número igual ou maior que zero. Se a célula está cinza, este indicador não é usado pelo cliente da linha (escolha o cliente antes)." promptTitle="Falta" prompt="Falta: valor do dia (soma no mês)." sqref="AA3:AA5001">
      <formula1>AND(ISNUMBER(AA3),AA3&gt;=0,IFERROR(INDEX(calculos!$B$270:$AC$278,MATCH($B3,calculos!$A$270:$A$278,0),COLUMN()-2),"")="x")</formula1>
    </dataValidation>
    <dataValidation type="custom" allowBlank="1" showInputMessage="1" showErrorMessage="1" errorTitle="Folga" error="Digite um número igual ou maior que zero. Se a célula está cinza, este indicador não é usado pelo cliente da linha (escolha o cliente antes)." promptTitle="Folga" prompt="Folga: valor do dia (soma no mês)." sqref="AB3:AB5001">
      <formula1>AND(ISNUMBER(AB3),AB3&gt;=0,IFERROR(INDEX(calculos!$B$270:$AC$278,MATCH($B3,calculos!$A$270:$A$278,0),COLUMN()-2),"")="x")</formula1>
    </dataValidation>
    <dataValidation type="custom" allowBlank="1" showInputMessage="1" showErrorMessage="1" errorTitle="Férias" error="Digite um número igual ou maior que zero. Se a célula está cinza, este indicador não é usado pelo cliente da linha (escolha o cliente antes)." promptTitle="Férias" prompt="Férias: valor do dia (soma no mês)." sqref="AC3:AC5001">
      <formula1>AND(ISNUMBER(AC3),AC3&gt;=0,IFERROR(INDEX(calculos!$B$270:$AC$278,MATCH($B3,calculos!$A$270:$A$278,0),COLUMN()-2),"")="x")</formula1>
    </dataValidation>
    <dataValidation type="custom" allowBlank="1" showInputMessage="1" showErrorMessage="1" errorTitle="Desligamentos" error="Digite um número igual ou maior que zero. Se a célula está cinza, este indicador não é usado pelo cliente da linha (escolha o cliente antes)." promptTitle="Desligamentos" prompt="Desligamentos: valor do dia (soma no mês)." sqref="AD3:AD5001">
      <formula1>AND(ISNUMBER(AD3),AD3&gt;=0,IFERROR(INDEX(calculos!$B$270:$AC$278,MATCH($B3,calculos!$A$270:$A$278,0),COLUMN()-2),"")="x")</formula1>
    </dataValidation>
  </dataValidations>
  <pageMargins left="0.25" right="0.25" top="0.4" bottom="0.4" header="0.2" footer="0.2"/>
  <pageSetup paperSize="9" orientation="landscape" fitToWidth="1" fitToHeight="0"/>
  <tableParts count="1">
    <tablePart r:id="rIdTb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AP293"/>
  <sheetViews>
    <sheetView showGridLines="0" zoomScale="100" zoomScaleNormal="100" workbookViewId="0">
      <pane xSplit="2" ySplit="11" topLeftCell="C12" activePane="bottomRight" state="frozen"/>
      <selection pane="bottomRight" activeCell="C12" sqref="C12"/>
    </sheetView>
  </sheetViews>
  <sheetFormatPr defaultRowHeight="15"/>
  <cols>
    <col min="1" max="1" width="30" customWidth="1"/>
    <col min="2" max="2" width="14" customWidth="1"/>
    <col min="3" max="31" width="12" customWidth="1"/>
    <col min="42" max="42" width="60" customWidth="1"/>
  </cols>
  <sheetData>
    <row r="1">
      <c r="A1" t="inlineStr">
        <is>
          <t xml:space="preserve">CÁLCULOS DO QUADRO — mês escolhido no Quadro; base dos KPIs, quadro e gráficos (gerado automaticamente; células amarelas podem ser editadas)</t>
        </is>
      </c>
    </row>
    <row r="2">
      <c r="A2" t="inlineStr">
        <is>
          <t xml:space="preserve">Cliente selecionado</t>
        </is>
      </c>
      <c r="B2" t="str">
        <f>IF(OR(Indicadores!$D$3="",Indicadores!$D$3="Todos"),"Todos",Indicadores!$D$3)</f>
        <v>Todos</v>
      </c>
      <c r="C2" t="inlineStr">
        <is>
          <t xml:space="preserve">Slots →</t>
        </is>
      </c>
      <c r="D2" t="str">
        <f>T(INDEX($B$284:$B$293,MATCH($B$2,$A$284:$A$293,0)))</f>
        <v>IN Veículos Recebidos</v>
      </c>
      <c r="E2" t="str">
        <f>T(INDEX($C$284:$C$293,MATCH($B$2,$A$284:$A$293,0)))</f>
        <v>IN Pallets Movimentados</v>
      </c>
      <c r="F2" t="str">
        <f>T(INDEX($D$284:$D$293,MATCH($B$2,$A$284:$A$293,0)))</f>
        <v>IN Toneladas Movimentadas</v>
      </c>
      <c r="G2" t="str">
        <f>T(INDEX($E$284:$E$293,MATCH($B$2,$A$284:$A$293,0)))</f>
        <v>IN Linhas NF</v>
      </c>
      <c r="H2" t="str">
        <f>T(INDEX($F$284:$F$293,MATCH($B$2,$A$284:$A$293,0)))</f>
        <v>OUT Veículos Expedidos</v>
      </c>
      <c r="I2" t="str">
        <f>T(INDEX($G$284:$G$293,MATCH($B$2,$A$284:$A$293,0)))</f>
        <v>OUT Pallets Movimentados</v>
      </c>
      <c r="J2" t="str">
        <f>T(INDEX($H$284:$H$293,MATCH($B$2,$A$284:$A$293,0)))</f>
        <v>OUT Toneladas Movimentadas</v>
      </c>
      <c r="K2" t="str">
        <f>T(INDEX($I$284:$I$293,MATCH($B$2,$A$284:$A$293,0)))</f>
        <v>OUT Linhas NF</v>
      </c>
    </row>
    <row r="3">
      <c r="A3" t="inlineStr">
        <is>
          <t xml:space="preserve">Destaque IN / OUT (cartões e gráfico semanal)</t>
        </is>
      </c>
      <c r="B3" t="str">
        <f>T(INDEX($J$284:$J$293,MATCH($B$2,$A$284:$A$293,0)))</f>
        <v>IN Pallets Movimentados</v>
      </c>
      <c r="C3" t="str">
        <f>T(INDEX($K$284:$K$293,MATCH($B$2,$A$284:$A$293,0)))</f>
        <v>OUT Pallets Movimentados</v>
      </c>
    </row>
    <row r="4">
      <c r="A4" t="inlineStr">
        <is>
          <t xml:space="preserve">Capacidade do CD (posições)</t>
        </is>
      </c>
      <c r="B4" s="160"/>
      <c r="C4" t="inlineStr">
        <is>
          <t xml:space="preserve">vazio = soma das posições disponíveis dos clientes</t>
        </is>
      </c>
    </row>
    <row r="5">
      <c r="A5" t="inlineStr">
        <is>
          <t xml:space="preserve">Faixa de atenção (ocupação)</t>
        </is>
      </c>
      <c r="B5" s="160">
        <v>0.7</v>
      </c>
    </row>
    <row r="6">
      <c r="A6" t="inlineStr">
        <is>
          <t xml:space="preserve">Faixa crítica (ocupação)</t>
        </is>
      </c>
      <c r="B6" s="160">
        <v>0.9</v>
      </c>
    </row>
    <row r="7">
      <c r="A7" t="inlineStr">
        <is>
          <t xml:space="preserve">Competência</t>
        </is>
      </c>
      <c r="B7" t="str">
        <f>INDEX({"Janeiro","Fevereiro","Março","Abril","Maio","Junho","Julho","Agosto","Setembro","Outubro","Novembro","Dezembro"},MONTH($C$7))&amp;"/"&amp;YEAR($C$7)</f>
        <v>Setembro/2026</v>
      </c>
      <c r="C7" s="152">
        <f>IF(ISNUMBER('Quadro de Indicadores'!$V$1),DATE(YEAR('Quadro de Indicadores'!$V$1),MONTH('Quadro de Indicadores'!$V$1),1),IFERROR(DATE(VALUE(RIGHT(TRIM('Quadro de Indicadores'!$V$1),4)),MATCH(TRIM(LEFT('Quadro de Indicadores'!$V$1,FIND("·",'Quadro de Indicadores'!$V$1)-1)),{"JANEIRO","FEVEREIRO","MARÇO","ABRIL","MAIO","JUNHO","JULHO","AGOSTO","SETEMBRO","OUTUBRO","NOVEMBRO","DEZEMBRO"},0),1),DATE(2026,9,1)))</f>
        <v>46266</v>
      </c>
      <c r="D7" s="152">
        <f>DATE(YEAR($C$7),MONTH($C$7)+1,0)</f>
        <v>46295</v>
      </c>
    </row>
    <row r="8">
      <c r="A8" t="inlineStr">
        <is>
          <t xml:space="preserve">Mês anterior (comparação)</t>
        </is>
      </c>
      <c r="B8" t="str">
        <f>INDEX({"Janeiro","Fevereiro","Março","Abril","Maio","Junho","Julho","Agosto","Setembro","Outubro","Novembro","Dezembro"},MONTH($C$8))&amp;"/"&amp;YEAR($C$8)</f>
        <v>Agosto/2026</v>
      </c>
      <c r="C8" s="152">
        <f>DATE(YEAR($C$7),MONTH($C$7)-1,1)</f>
        <v>46235</v>
      </c>
      <c r="D8" s="152">
        <f>IF($B$9=0,$C$8-1,MIN($C$8+MAX(MIN($B$9,31),1)-1,DATE(YEAR($C$8),MONTH($C$8)+1,0)))</f>
        <v>46234</v>
      </c>
    </row>
    <row r="9">
      <c r="A9" t="inlineStr">
        <is>
          <t xml:space="preserve">Comparar até o dia</t>
        </is>
      </c>
      <c r="B9">
        <f>IFERROR(IF(_xlfn.MAXIFS(Base!$A$3:$A$5001,Base!$A$3:$A$5001,"&gt;="&amp;$C$7,Base!$A$3:$A$5001,"&lt;="&amp;$D$7)=0,0,DAY(_xlfn.MAXIFS(Base!$A$3:$A$5001,Base!$A$3:$A$5001,"&gt;="&amp;$C$7,Base!$A$3:$A$5001,"&lt;="&amp;$D$7))),0)</f>
        <v>0</v>
      </c>
      <c r="C9" t="inlineStr">
        <is>
          <t xml:space="preserve">o mês anterior é somado do dia 1 até este dia (último dia com dado no mês escolhido)</t>
        </is>
      </c>
    </row>
    <row r="11">
      <c r="A11" s="145" t="inlineStr">
        <is>
          <t xml:space="preserve">Dia</t>
        </is>
      </c>
      <c r="B11" s="145" t="inlineStr">
        <is>
          <t xml:space="preserve">Data</t>
        </is>
      </c>
      <c r="C11" s="145" t="inlineStr">
        <is>
          <t xml:space="preserve">IN Veículos Recebidos</t>
        </is>
      </c>
      <c r="D11" s="145" t="inlineStr">
        <is>
          <t xml:space="preserve">IN Pallets Movimentados</t>
        </is>
      </c>
      <c r="E11" s="145" t="inlineStr">
        <is>
          <t xml:space="preserve">IN Toneladas Movimentadas</t>
        </is>
      </c>
      <c r="F11" s="145" t="inlineStr">
        <is>
          <t xml:space="preserve">IN Caixas Movimentadas</t>
        </is>
      </c>
      <c r="G11" s="145" t="inlineStr">
        <is>
          <t xml:space="preserve">IN Itens Recebidos CX Mista</t>
        </is>
      </c>
      <c r="H11" s="145" t="inlineStr">
        <is>
          <t xml:space="preserve">IN Caixas Mistas Recebidas</t>
        </is>
      </c>
      <c r="I11" s="145" t="inlineStr">
        <is>
          <t xml:space="preserve">IN Caixas Fechadas</t>
        </is>
      </c>
      <c r="J11" s="145" t="inlineStr">
        <is>
          <t xml:space="preserve">IN Peças Movimentadas</t>
        </is>
      </c>
      <c r="K11" s="145" t="inlineStr">
        <is>
          <t xml:space="preserve">IN Linhas NF</t>
        </is>
      </c>
      <c r="L11" s="145" t="inlineStr">
        <is>
          <t xml:space="preserve">OUT Veículos Expedidos</t>
        </is>
      </c>
      <c r="M11" s="145" t="inlineStr">
        <is>
          <t xml:space="preserve">OUT Pallets Movimentados</t>
        </is>
      </c>
      <c r="N11" s="145" t="inlineStr">
        <is>
          <t xml:space="preserve">OUT Toneladas Movimentadas</t>
        </is>
      </c>
      <c r="O11" s="145" t="inlineStr">
        <is>
          <t xml:space="preserve">OUT Caixas Expedidas</t>
        </is>
      </c>
      <c r="P11" s="145" t="inlineStr">
        <is>
          <t xml:space="preserve">OUT Pedidos Expedidos</t>
        </is>
      </c>
      <c r="Q11" s="145" t="inlineStr">
        <is>
          <t xml:space="preserve">OUT Pedidos Faturados</t>
        </is>
      </c>
      <c r="R11" s="145" t="inlineStr">
        <is>
          <t xml:space="preserve">OUT Itens Expedidos</t>
        </is>
      </c>
      <c r="S11" s="145" t="inlineStr">
        <is>
          <t xml:space="preserve">OUT Peças Movimentadas</t>
        </is>
      </c>
      <c r="T11" s="145" t="inlineStr">
        <is>
          <t xml:space="preserve">OUT Linhas NF</t>
        </is>
      </c>
      <c r="U11" s="145" t="inlineStr">
        <is>
          <t xml:space="preserve">NC Incidentes</t>
        </is>
      </c>
      <c r="V11" s="145" t="inlineStr">
        <is>
          <t xml:space="preserve">NC No show</t>
        </is>
      </c>
      <c r="W11" s="145" t="inlineStr">
        <is>
          <t xml:space="preserve">NC Backlog</t>
        </is>
      </c>
      <c r="X11" s="145" t="inlineStr">
        <is>
          <t xml:space="preserve">Posições Disponíveis</t>
        </is>
      </c>
      <c r="Y11" s="145" t="inlineStr">
        <is>
          <t xml:space="preserve">Posições Ocupadas</t>
        </is>
      </c>
      <c r="Z11" s="145" t="inlineStr">
        <is>
          <t xml:space="preserve">Taxa de Ocupação</t>
        </is>
      </c>
      <c r="AA11" s="145" t="inlineStr">
        <is>
          <t xml:space="preserve">Efetivo</t>
        </is>
      </c>
      <c r="AB11" s="145" t="inlineStr">
        <is>
          <t xml:space="preserve">Falta</t>
        </is>
      </c>
      <c r="AC11" s="145" t="inlineStr">
        <is>
          <t xml:space="preserve">Folga</t>
        </is>
      </c>
      <c r="AD11" s="145" t="inlineStr">
        <is>
          <t xml:space="preserve">Férias</t>
        </is>
      </c>
      <c r="AE11" s="145" t="inlineStr">
        <is>
          <t xml:space="preserve">Desligamentos</t>
        </is>
      </c>
      <c r="AG11" s="145" t="inlineStr">
        <is>
          <t xml:space="preserve">Destaque IN</t>
        </is>
      </c>
      <c r="AH11" s="145" t="inlineStr">
        <is>
          <t xml:space="preserve">Destaque OUT</t>
        </is>
      </c>
      <c r="AI11" s="145" t="inlineStr">
        <is>
          <t xml:space="preserve">Faixa atenção</t>
        </is>
      </c>
      <c r="AJ11" s="145" t="inlineStr">
        <is>
          <t xml:space="preserve">Faixa crítica</t>
        </is>
      </c>
      <c r="AL11" s="145" t="inlineStr">
        <is>
          <t xml:space="preserve">Clientes (filtro)</t>
        </is>
      </c>
      <c r="AN11" s="145" t="inlineStr">
        <is>
          <t xml:space="preserve">Meses (filtros das abas)</t>
        </is>
      </c>
      <c r="AP11" s="145" t="inlineStr">
        <is>
          <t xml:space="preserve">Títulos dos gráficos</t>
        </is>
      </c>
    </row>
    <row r="12">
      <c r="A12">
        <v>1</v>
      </c>
      <c r="B12" s="152">
        <f>IF(ISNUMBER($A12),$C$7+$A12-1,"")</f>
        <v>46266</v>
      </c>
      <c r="C12">
        <f>IF($B$2="Todos",SUMIFS(Base!$C$3:$C$5001,Base!$A$3:$A$5001,$B12),SUMIFS(Base!$C$3:$C$5001,Base!$A$3:$A$5001,$B12,Base!$B$3:$B$5001,$B$2))</f>
        <v>0</v>
      </c>
      <c r="D12">
        <f>IF($B$2="Todos",SUMIFS(Base!$D$3:$D$5001,Base!$A$3:$A$5001,$B12),SUMIFS(Base!$D$3:$D$5001,Base!$A$3:$A$5001,$B12,Base!$B$3:$B$5001,$B$2))</f>
        <v>0</v>
      </c>
      <c r="E12">
        <f>IF($B$2="Todos",SUMIFS(Base!$E$3:$E$5001,Base!$A$3:$A$5001,$B12),SUMIFS(Base!$E$3:$E$5001,Base!$A$3:$A$5001,$B12,Base!$B$3:$B$5001,$B$2))</f>
        <v>0</v>
      </c>
      <c r="F12">
        <f>IF($B$2="Todos",SUMIFS(Base!$F$3:$F$5001,Base!$A$3:$A$5001,$B12),SUMIFS(Base!$F$3:$F$5001,Base!$A$3:$A$5001,$B12,Base!$B$3:$B$5001,$B$2))</f>
        <v>0</v>
      </c>
      <c r="G12">
        <f>IF($B$2="Todos",SUMIFS(Base!$G$3:$G$5001,Base!$A$3:$A$5001,$B12),SUMIFS(Base!$G$3:$G$5001,Base!$A$3:$A$5001,$B12,Base!$B$3:$B$5001,$B$2))</f>
        <v>0</v>
      </c>
      <c r="H12">
        <f>IF($B$2="Todos",SUMIFS(Base!$H$3:$H$5001,Base!$A$3:$A$5001,$B12),SUMIFS(Base!$H$3:$H$5001,Base!$A$3:$A$5001,$B12,Base!$B$3:$B$5001,$B$2))</f>
        <v>0</v>
      </c>
      <c r="I12">
        <f>IF($B$2="Todos",SUMIFS(Base!$I$3:$I$5001,Base!$A$3:$A$5001,$B12),SUMIFS(Base!$I$3:$I$5001,Base!$A$3:$A$5001,$B12,Base!$B$3:$B$5001,$B$2))</f>
        <v>0</v>
      </c>
      <c r="J12">
        <f>IF($B$2="Todos",SUMIFS(Base!$J$3:$J$5001,Base!$A$3:$A$5001,$B12),SUMIFS(Base!$J$3:$J$5001,Base!$A$3:$A$5001,$B12,Base!$B$3:$B$5001,$B$2))</f>
        <v>0</v>
      </c>
      <c r="K12">
        <f>IF($B$2="Todos",SUMIFS(Base!$K$3:$K$5001,Base!$A$3:$A$5001,$B12),SUMIFS(Base!$K$3:$K$5001,Base!$A$3:$A$5001,$B12,Base!$B$3:$B$5001,$B$2))</f>
        <v>0</v>
      </c>
      <c r="L12">
        <f>IF($B$2="Todos",SUMIFS(Base!$L$3:$L$5001,Base!$A$3:$A$5001,$B12),SUMIFS(Base!$L$3:$L$5001,Base!$A$3:$A$5001,$B12,Base!$B$3:$B$5001,$B$2))</f>
        <v>0</v>
      </c>
      <c r="M12">
        <f>IF($B$2="Todos",SUMIFS(Base!$M$3:$M$5001,Base!$A$3:$A$5001,$B12),SUMIFS(Base!$M$3:$M$5001,Base!$A$3:$A$5001,$B12,Base!$B$3:$B$5001,$B$2))</f>
        <v>0</v>
      </c>
      <c r="N12">
        <f>IF($B$2="Todos",SUMIFS(Base!$N$3:$N$5001,Base!$A$3:$A$5001,$B12),SUMIFS(Base!$N$3:$N$5001,Base!$A$3:$A$5001,$B12,Base!$B$3:$B$5001,$B$2))</f>
        <v>0</v>
      </c>
      <c r="O12">
        <f>IF($B$2="Todos",SUMIFS(Base!$O$3:$O$5001,Base!$A$3:$A$5001,$B12),SUMIFS(Base!$O$3:$O$5001,Base!$A$3:$A$5001,$B12,Base!$B$3:$B$5001,$B$2))</f>
        <v>0</v>
      </c>
      <c r="P12">
        <f>IF($B$2="Todos",SUMIFS(Base!$P$3:$P$5001,Base!$A$3:$A$5001,$B12),SUMIFS(Base!$P$3:$P$5001,Base!$A$3:$A$5001,$B12,Base!$B$3:$B$5001,$B$2))</f>
        <v>0</v>
      </c>
      <c r="Q12">
        <f>IF($B$2="Todos",SUMIFS(Base!$Q$3:$Q$5001,Base!$A$3:$A$5001,$B12),SUMIFS(Base!$Q$3:$Q$5001,Base!$A$3:$A$5001,$B12,Base!$B$3:$B$5001,$B$2))</f>
        <v>0</v>
      </c>
      <c r="R12">
        <f>IF($B$2="Todos",SUMIFS(Base!$R$3:$R$5001,Base!$A$3:$A$5001,$B12),SUMIFS(Base!$R$3:$R$5001,Base!$A$3:$A$5001,$B12,Base!$B$3:$B$5001,$B$2))</f>
        <v>0</v>
      </c>
      <c r="S12">
        <f>IF($B$2="Todos",SUMIFS(Base!$S$3:$S$5001,Base!$A$3:$A$5001,$B12),SUMIFS(Base!$S$3:$S$5001,Base!$A$3:$A$5001,$B12,Base!$B$3:$B$5001,$B$2))</f>
        <v>0</v>
      </c>
      <c r="T12">
        <f>IF($B$2="Todos",SUMIFS(Base!$T$3:$T$5001,Base!$A$3:$A$5001,$B12),SUMIFS(Base!$T$3:$T$5001,Base!$A$3:$A$5001,$B12,Base!$B$3:$B$5001,$B$2))</f>
        <v>0</v>
      </c>
      <c r="U12">
        <f>IF($B$2="Todos",SUMIFS(Base!$U$3:$U$5001,Base!$A$3:$A$5001,$B12),SUMIFS(Base!$U$3:$U$5001,Base!$A$3:$A$5001,$B12,Base!$B$3:$B$5001,$B$2))</f>
        <v>0</v>
      </c>
      <c r="V12">
        <f>IF($B$2="Todos",SUMIFS(Base!$V$3:$V$5001,Base!$A$3:$A$5001,$B12),SUMIFS(Base!$V$3:$V$5001,Base!$A$3:$A$5001,$B12,Base!$B$3:$B$5001,$B$2))</f>
        <v>0</v>
      </c>
      <c r="W12" t="str">
        <f>IF($B$2="Todos",IF(COUNT($C$128:$K$128)=0,"",SUM($C$128:$K$128)),IFERROR(INDEX($C$128:$K$128,MATCH($B$2,$C$127:$K$127,0)),""))</f>
        <v/>
      </c>
      <c r="X12" t="str">
        <f>IF(Y12="","",IF($B$2="Todos",IF(ISNUMBER($B$4),$B$4,IF(COUNT($C$163:$K$163)=0,"",SUM($C$163:$K$163))),IFERROR(INDEX($C$163:$K$163,MATCH($B$2,$C$162:$K$162,0)),"")))</f>
        <v/>
      </c>
      <c r="Y12" t="str">
        <f>IF($B$2="Todos",IF(COUNT($C$198:$K$198)=0,"",SUM($C$198:$K$198)),IFERROR(INDEX($C$198:$K$198,MATCH($B$2,$C$197:$K$197,0)),""))</f>
        <v/>
      </c>
      <c r="Z12" t="str">
        <f>IF(AND(ISNUMBER(Y12),ISNUMBER(X12)),IF(X12&gt;0,Y12/X12,""),"")</f>
        <v/>
      </c>
      <c r="AA12" t="str">
        <f>IF($B$2="Todos",IF(COUNT($C$233:$K$233)=0,"",SUM($C$233:$K$233)),IFERROR(INDEX($C$233:$K$233,MATCH($B$2,$C$232:$K$232,0)),""))</f>
        <v/>
      </c>
      <c r="AB12">
        <f>IF($B$2="Todos",SUMIFS(Base!$AA$3:$AA$5001,Base!$A$3:$A$5001,$B12),SUMIFS(Base!$AA$3:$AA$5001,Base!$A$3:$A$5001,$B12,Base!$B$3:$B$5001,$B$2))</f>
        <v>0</v>
      </c>
      <c r="AC12">
        <f>IF($B$2="Todos",SUMIFS(Base!$AB$3:$AB$5001,Base!$A$3:$A$5001,$B12),SUMIFS(Base!$AB$3:$AB$5001,Base!$A$3:$A$5001,$B12,Base!$B$3:$B$5001,$B$2))</f>
        <v>0</v>
      </c>
      <c r="AD12">
        <f>IF($B$2="Todos",SUMIFS(Base!$AC$3:$AC$5001,Base!$A$3:$A$5001,$B12),SUMIFS(Base!$AC$3:$AC$5001,Base!$A$3:$A$5001,$B12,Base!$B$3:$B$5001,$B$2))</f>
        <v>0</v>
      </c>
      <c r="AE12">
        <f>IF($B$2="Todos",SUMIFS(Base!$AD$3:$AD$5001,Base!$A$3:$A$5001,$B12),SUMIFS(Base!$AD$3:$AD$5001,Base!$A$3:$A$5001,$B12,Base!$B$3:$B$5001,$B$2))</f>
        <v>0</v>
      </c>
      <c r="AG12">
        <f>IFERROR(N(INDEX($C12:$AE12,MATCH($B$3,$C$11:$AE$11,0))),0)</f>
        <v>0</v>
      </c>
      <c r="AH12">
        <f>IFERROR(N(INDEX($C12:$AE12,MATCH($C$3,$C$11:$AE$11,0))),0)</f>
        <v>0</v>
      </c>
      <c r="AI12">
        <f>$B$5</f>
        <v>0.7</v>
      </c>
      <c r="AJ12">
        <f>$B$6</f>
        <v>0.9</v>
      </c>
      <c r="AL12" t="inlineStr">
        <is>
          <t xml:space="preserve">Todos</t>
        </is>
      </c>
      <c r="AN12" t="inlineStr">
        <is>
          <t xml:space="preserve">JANEIRO · 2026</t>
        </is>
      </c>
      <c r="AP12" t="str">
        <f>"Veículos por dia · recebidos x expedidos — "&amp;IF($B$2="Todos","todos os clientes",$B$2)</f>
        <v>Veículos por dia · recebidos x expedidos — todos os clientes</v>
      </c>
    </row>
    <row r="13">
      <c r="A13">
        <v>2</v>
      </c>
      <c r="B13" s="152">
        <f>IF(ISNUMBER($A13),$C$7+$A13-1,"")</f>
        <v>46267</v>
      </c>
      <c r="C13">
        <f>IF($B$2="Todos",SUMIFS(Base!$C$3:$C$5001,Base!$A$3:$A$5001,$B13),SUMIFS(Base!$C$3:$C$5001,Base!$A$3:$A$5001,$B13,Base!$B$3:$B$5001,$B$2))</f>
        <v>0</v>
      </c>
      <c r="D13">
        <f>IF($B$2="Todos",SUMIFS(Base!$D$3:$D$5001,Base!$A$3:$A$5001,$B13),SUMIFS(Base!$D$3:$D$5001,Base!$A$3:$A$5001,$B13,Base!$B$3:$B$5001,$B$2))</f>
        <v>0</v>
      </c>
      <c r="E13">
        <f>IF($B$2="Todos",SUMIFS(Base!$E$3:$E$5001,Base!$A$3:$A$5001,$B13),SUMIFS(Base!$E$3:$E$5001,Base!$A$3:$A$5001,$B13,Base!$B$3:$B$5001,$B$2))</f>
        <v>0</v>
      </c>
      <c r="F13">
        <f>IF($B$2="Todos",SUMIFS(Base!$F$3:$F$5001,Base!$A$3:$A$5001,$B13),SUMIFS(Base!$F$3:$F$5001,Base!$A$3:$A$5001,$B13,Base!$B$3:$B$5001,$B$2))</f>
        <v>0</v>
      </c>
      <c r="G13">
        <f>IF($B$2="Todos",SUMIFS(Base!$G$3:$G$5001,Base!$A$3:$A$5001,$B13),SUMIFS(Base!$G$3:$G$5001,Base!$A$3:$A$5001,$B13,Base!$B$3:$B$5001,$B$2))</f>
        <v>0</v>
      </c>
      <c r="H13">
        <f>IF($B$2="Todos",SUMIFS(Base!$H$3:$H$5001,Base!$A$3:$A$5001,$B13),SUMIFS(Base!$H$3:$H$5001,Base!$A$3:$A$5001,$B13,Base!$B$3:$B$5001,$B$2))</f>
        <v>0</v>
      </c>
      <c r="I13">
        <f>IF($B$2="Todos",SUMIFS(Base!$I$3:$I$5001,Base!$A$3:$A$5001,$B13),SUMIFS(Base!$I$3:$I$5001,Base!$A$3:$A$5001,$B13,Base!$B$3:$B$5001,$B$2))</f>
        <v>0</v>
      </c>
      <c r="J13">
        <f>IF($B$2="Todos",SUMIFS(Base!$J$3:$J$5001,Base!$A$3:$A$5001,$B13),SUMIFS(Base!$J$3:$J$5001,Base!$A$3:$A$5001,$B13,Base!$B$3:$B$5001,$B$2))</f>
        <v>0</v>
      </c>
      <c r="K13">
        <f>IF($B$2="Todos",SUMIFS(Base!$K$3:$K$5001,Base!$A$3:$A$5001,$B13),SUMIFS(Base!$K$3:$K$5001,Base!$A$3:$A$5001,$B13,Base!$B$3:$B$5001,$B$2))</f>
        <v>0</v>
      </c>
      <c r="L13">
        <f>IF($B$2="Todos",SUMIFS(Base!$L$3:$L$5001,Base!$A$3:$A$5001,$B13),SUMIFS(Base!$L$3:$L$5001,Base!$A$3:$A$5001,$B13,Base!$B$3:$B$5001,$B$2))</f>
        <v>0</v>
      </c>
      <c r="M13">
        <f>IF($B$2="Todos",SUMIFS(Base!$M$3:$M$5001,Base!$A$3:$A$5001,$B13),SUMIFS(Base!$M$3:$M$5001,Base!$A$3:$A$5001,$B13,Base!$B$3:$B$5001,$B$2))</f>
        <v>0</v>
      </c>
      <c r="N13">
        <f>IF($B$2="Todos",SUMIFS(Base!$N$3:$N$5001,Base!$A$3:$A$5001,$B13),SUMIFS(Base!$N$3:$N$5001,Base!$A$3:$A$5001,$B13,Base!$B$3:$B$5001,$B$2))</f>
        <v>0</v>
      </c>
      <c r="O13">
        <f>IF($B$2="Todos",SUMIFS(Base!$O$3:$O$5001,Base!$A$3:$A$5001,$B13),SUMIFS(Base!$O$3:$O$5001,Base!$A$3:$A$5001,$B13,Base!$B$3:$B$5001,$B$2))</f>
        <v>0</v>
      </c>
      <c r="P13">
        <f>IF($B$2="Todos",SUMIFS(Base!$P$3:$P$5001,Base!$A$3:$A$5001,$B13),SUMIFS(Base!$P$3:$P$5001,Base!$A$3:$A$5001,$B13,Base!$B$3:$B$5001,$B$2))</f>
        <v>0</v>
      </c>
      <c r="Q13">
        <f>IF($B$2="Todos",SUMIFS(Base!$Q$3:$Q$5001,Base!$A$3:$A$5001,$B13),SUMIFS(Base!$Q$3:$Q$5001,Base!$A$3:$A$5001,$B13,Base!$B$3:$B$5001,$B$2))</f>
        <v>0</v>
      </c>
      <c r="R13">
        <f>IF($B$2="Todos",SUMIFS(Base!$R$3:$R$5001,Base!$A$3:$A$5001,$B13),SUMIFS(Base!$R$3:$R$5001,Base!$A$3:$A$5001,$B13,Base!$B$3:$B$5001,$B$2))</f>
        <v>0</v>
      </c>
      <c r="S13">
        <f>IF($B$2="Todos",SUMIFS(Base!$S$3:$S$5001,Base!$A$3:$A$5001,$B13),SUMIFS(Base!$S$3:$S$5001,Base!$A$3:$A$5001,$B13,Base!$B$3:$B$5001,$B$2))</f>
        <v>0</v>
      </c>
      <c r="T13">
        <f>IF($B$2="Todos",SUMIFS(Base!$T$3:$T$5001,Base!$A$3:$A$5001,$B13),SUMIFS(Base!$T$3:$T$5001,Base!$A$3:$A$5001,$B13,Base!$B$3:$B$5001,$B$2))</f>
        <v>0</v>
      </c>
      <c r="U13">
        <f>IF($B$2="Todos",SUMIFS(Base!$U$3:$U$5001,Base!$A$3:$A$5001,$B13),SUMIFS(Base!$U$3:$U$5001,Base!$A$3:$A$5001,$B13,Base!$B$3:$B$5001,$B$2))</f>
        <v>0</v>
      </c>
      <c r="V13">
        <f>IF($B$2="Todos",SUMIFS(Base!$V$3:$V$5001,Base!$A$3:$A$5001,$B13),SUMIFS(Base!$V$3:$V$5001,Base!$A$3:$A$5001,$B13,Base!$B$3:$B$5001,$B$2))</f>
        <v>0</v>
      </c>
      <c r="W13" t="str">
        <f>IF($B$2="Todos",IF(COUNT($C$129:$K$129)=0,"",SUM($C$129:$K$129)),IFERROR(INDEX($C$129:$K$129,MATCH($B$2,$C$127:$K$127,0)),""))</f>
        <v/>
      </c>
      <c r="X13" t="str">
        <f>IF(Y13="","",IF($B$2="Todos",IF(ISNUMBER($B$4),$B$4,IF(COUNT($C$164:$K$164)=0,"",SUM($C$164:$K$164))),IFERROR(INDEX($C$164:$K$164,MATCH($B$2,$C$162:$K$162,0)),"")))</f>
        <v/>
      </c>
      <c r="Y13" t="str">
        <f>IF($B$2="Todos",IF(COUNT($C$199:$K$199)=0,"",SUM($C$199:$K$199)),IFERROR(INDEX($C$199:$K$199,MATCH($B$2,$C$197:$K$197,0)),""))</f>
        <v/>
      </c>
      <c r="Z13" t="str">
        <f>IF(AND(ISNUMBER(Y13),ISNUMBER(X13)),IF(X13&gt;0,Y13/X13,""),"")</f>
        <v/>
      </c>
      <c r="AA13" t="str">
        <f>IF($B$2="Todos",IF(COUNT($C$234:$K$234)=0,"",SUM($C$234:$K$234)),IFERROR(INDEX($C$234:$K$234,MATCH($B$2,$C$232:$K$232,0)),""))</f>
        <v/>
      </c>
      <c r="AB13">
        <f>IF($B$2="Todos",SUMIFS(Base!$AA$3:$AA$5001,Base!$A$3:$A$5001,$B13),SUMIFS(Base!$AA$3:$AA$5001,Base!$A$3:$A$5001,$B13,Base!$B$3:$B$5001,$B$2))</f>
        <v>0</v>
      </c>
      <c r="AC13">
        <f>IF($B$2="Todos",SUMIFS(Base!$AB$3:$AB$5001,Base!$A$3:$A$5001,$B13),SUMIFS(Base!$AB$3:$AB$5001,Base!$A$3:$A$5001,$B13,Base!$B$3:$B$5001,$B$2))</f>
        <v>0</v>
      </c>
      <c r="AD13">
        <f>IF($B$2="Todos",SUMIFS(Base!$AC$3:$AC$5001,Base!$A$3:$A$5001,$B13),SUMIFS(Base!$AC$3:$AC$5001,Base!$A$3:$A$5001,$B13,Base!$B$3:$B$5001,$B$2))</f>
        <v>0</v>
      </c>
      <c r="AE13">
        <f>IF($B$2="Todos",SUMIFS(Base!$AD$3:$AD$5001,Base!$A$3:$A$5001,$B13),SUMIFS(Base!$AD$3:$AD$5001,Base!$A$3:$A$5001,$B13,Base!$B$3:$B$5001,$B$2))</f>
        <v>0</v>
      </c>
      <c r="AG13">
        <f>IFERROR(N(INDEX($C13:$AE13,MATCH($B$3,$C$11:$AE$11,0))),0)</f>
        <v>0</v>
      </c>
      <c r="AH13">
        <f>IFERROR(N(INDEX($C13:$AE13,MATCH($C$3,$C$11:$AE$11,0))),0)</f>
        <v>0</v>
      </c>
      <c r="AI13">
        <f>$B$5</f>
        <v>0.7</v>
      </c>
      <c r="AJ13">
        <f>$B$6</f>
        <v>0.9</v>
      </c>
      <c r="AL13" t="inlineStr">
        <is>
          <t xml:space="preserve">BASF</t>
        </is>
      </c>
      <c r="AN13" t="inlineStr">
        <is>
          <t xml:space="preserve">FEVEREIRO · 2026</t>
        </is>
      </c>
      <c r="AP13" t="str">
        <f>"Taxa de ocupação por dia — "&amp;IF($B$2="Todos","todos os clientes",$B$2)</f>
        <v>Taxa de ocupação por dia — todos os clientes</v>
      </c>
    </row>
    <row r="14">
      <c r="A14">
        <v>3</v>
      </c>
      <c r="B14" s="152">
        <f>IF(ISNUMBER($A14),$C$7+$A14-1,"")</f>
        <v>46268</v>
      </c>
      <c r="C14">
        <f>IF($B$2="Todos",SUMIFS(Base!$C$3:$C$5001,Base!$A$3:$A$5001,$B14),SUMIFS(Base!$C$3:$C$5001,Base!$A$3:$A$5001,$B14,Base!$B$3:$B$5001,$B$2))</f>
        <v>0</v>
      </c>
      <c r="D14">
        <f>IF($B$2="Todos",SUMIFS(Base!$D$3:$D$5001,Base!$A$3:$A$5001,$B14),SUMIFS(Base!$D$3:$D$5001,Base!$A$3:$A$5001,$B14,Base!$B$3:$B$5001,$B$2))</f>
        <v>0</v>
      </c>
      <c r="E14">
        <f>IF($B$2="Todos",SUMIFS(Base!$E$3:$E$5001,Base!$A$3:$A$5001,$B14),SUMIFS(Base!$E$3:$E$5001,Base!$A$3:$A$5001,$B14,Base!$B$3:$B$5001,$B$2))</f>
        <v>0</v>
      </c>
      <c r="F14">
        <f>IF($B$2="Todos",SUMIFS(Base!$F$3:$F$5001,Base!$A$3:$A$5001,$B14),SUMIFS(Base!$F$3:$F$5001,Base!$A$3:$A$5001,$B14,Base!$B$3:$B$5001,$B$2))</f>
        <v>0</v>
      </c>
      <c r="G14">
        <f>IF($B$2="Todos",SUMIFS(Base!$G$3:$G$5001,Base!$A$3:$A$5001,$B14),SUMIFS(Base!$G$3:$G$5001,Base!$A$3:$A$5001,$B14,Base!$B$3:$B$5001,$B$2))</f>
        <v>0</v>
      </c>
      <c r="H14">
        <f>IF($B$2="Todos",SUMIFS(Base!$H$3:$H$5001,Base!$A$3:$A$5001,$B14),SUMIFS(Base!$H$3:$H$5001,Base!$A$3:$A$5001,$B14,Base!$B$3:$B$5001,$B$2))</f>
        <v>0</v>
      </c>
      <c r="I14">
        <f>IF($B$2="Todos",SUMIFS(Base!$I$3:$I$5001,Base!$A$3:$A$5001,$B14),SUMIFS(Base!$I$3:$I$5001,Base!$A$3:$A$5001,$B14,Base!$B$3:$B$5001,$B$2))</f>
        <v>0</v>
      </c>
      <c r="J14">
        <f>IF($B$2="Todos",SUMIFS(Base!$J$3:$J$5001,Base!$A$3:$A$5001,$B14),SUMIFS(Base!$J$3:$J$5001,Base!$A$3:$A$5001,$B14,Base!$B$3:$B$5001,$B$2))</f>
        <v>0</v>
      </c>
      <c r="K14">
        <f>IF($B$2="Todos",SUMIFS(Base!$K$3:$K$5001,Base!$A$3:$A$5001,$B14),SUMIFS(Base!$K$3:$K$5001,Base!$A$3:$A$5001,$B14,Base!$B$3:$B$5001,$B$2))</f>
        <v>0</v>
      </c>
      <c r="L14">
        <f>IF($B$2="Todos",SUMIFS(Base!$L$3:$L$5001,Base!$A$3:$A$5001,$B14),SUMIFS(Base!$L$3:$L$5001,Base!$A$3:$A$5001,$B14,Base!$B$3:$B$5001,$B$2))</f>
        <v>0</v>
      </c>
      <c r="M14">
        <f>IF($B$2="Todos",SUMIFS(Base!$M$3:$M$5001,Base!$A$3:$A$5001,$B14),SUMIFS(Base!$M$3:$M$5001,Base!$A$3:$A$5001,$B14,Base!$B$3:$B$5001,$B$2))</f>
        <v>0</v>
      </c>
      <c r="N14">
        <f>IF($B$2="Todos",SUMIFS(Base!$N$3:$N$5001,Base!$A$3:$A$5001,$B14),SUMIFS(Base!$N$3:$N$5001,Base!$A$3:$A$5001,$B14,Base!$B$3:$B$5001,$B$2))</f>
        <v>0</v>
      </c>
      <c r="O14">
        <f>IF($B$2="Todos",SUMIFS(Base!$O$3:$O$5001,Base!$A$3:$A$5001,$B14),SUMIFS(Base!$O$3:$O$5001,Base!$A$3:$A$5001,$B14,Base!$B$3:$B$5001,$B$2))</f>
        <v>0</v>
      </c>
      <c r="P14">
        <f>IF($B$2="Todos",SUMIFS(Base!$P$3:$P$5001,Base!$A$3:$A$5001,$B14),SUMIFS(Base!$P$3:$P$5001,Base!$A$3:$A$5001,$B14,Base!$B$3:$B$5001,$B$2))</f>
        <v>0</v>
      </c>
      <c r="Q14">
        <f>IF($B$2="Todos",SUMIFS(Base!$Q$3:$Q$5001,Base!$A$3:$A$5001,$B14),SUMIFS(Base!$Q$3:$Q$5001,Base!$A$3:$A$5001,$B14,Base!$B$3:$B$5001,$B$2))</f>
        <v>0</v>
      </c>
      <c r="R14">
        <f>IF($B$2="Todos",SUMIFS(Base!$R$3:$R$5001,Base!$A$3:$A$5001,$B14),SUMIFS(Base!$R$3:$R$5001,Base!$A$3:$A$5001,$B14,Base!$B$3:$B$5001,$B$2))</f>
        <v>0</v>
      </c>
      <c r="S14">
        <f>IF($B$2="Todos",SUMIFS(Base!$S$3:$S$5001,Base!$A$3:$A$5001,$B14),SUMIFS(Base!$S$3:$S$5001,Base!$A$3:$A$5001,$B14,Base!$B$3:$B$5001,$B$2))</f>
        <v>0</v>
      </c>
      <c r="T14">
        <f>IF($B$2="Todos",SUMIFS(Base!$T$3:$T$5001,Base!$A$3:$A$5001,$B14),SUMIFS(Base!$T$3:$T$5001,Base!$A$3:$A$5001,$B14,Base!$B$3:$B$5001,$B$2))</f>
        <v>0</v>
      </c>
      <c r="U14">
        <f>IF($B$2="Todos",SUMIFS(Base!$U$3:$U$5001,Base!$A$3:$A$5001,$B14),SUMIFS(Base!$U$3:$U$5001,Base!$A$3:$A$5001,$B14,Base!$B$3:$B$5001,$B$2))</f>
        <v>0</v>
      </c>
      <c r="V14">
        <f>IF($B$2="Todos",SUMIFS(Base!$V$3:$V$5001,Base!$A$3:$A$5001,$B14),SUMIFS(Base!$V$3:$V$5001,Base!$A$3:$A$5001,$B14,Base!$B$3:$B$5001,$B$2))</f>
        <v>0</v>
      </c>
      <c r="W14" t="str">
        <f>IF($B$2="Todos",IF(COUNT($C$130:$K$130)=0,"",SUM($C$130:$K$130)),IFERROR(INDEX($C$130:$K$130,MATCH($B$2,$C$127:$K$127,0)),""))</f>
        <v/>
      </c>
      <c r="X14" t="str">
        <f>IF(Y14="","",IF($B$2="Todos",IF(ISNUMBER($B$4),$B$4,IF(COUNT($C$165:$K$165)=0,"",SUM($C$165:$K$165))),IFERROR(INDEX($C$165:$K$165,MATCH($B$2,$C$162:$K$162,0)),"")))</f>
        <v/>
      </c>
      <c r="Y14" t="str">
        <f>IF($B$2="Todos",IF(COUNT($C$200:$K$200)=0,"",SUM($C$200:$K$200)),IFERROR(INDEX($C$200:$K$200,MATCH($B$2,$C$197:$K$197,0)),""))</f>
        <v/>
      </c>
      <c r="Z14" t="str">
        <f>IF(AND(ISNUMBER(Y14),ISNUMBER(X14)),IF(X14&gt;0,Y14/X14,""),"")</f>
        <v/>
      </c>
      <c r="AA14" t="str">
        <f>IF($B$2="Todos",IF(COUNT($C$235:$K$235)=0,"",SUM($C$235:$K$235)),IFERROR(INDEX($C$235:$K$235,MATCH($B$2,$C$232:$K$232,0)),""))</f>
        <v/>
      </c>
      <c r="AB14">
        <f>IF($B$2="Todos",SUMIFS(Base!$AA$3:$AA$5001,Base!$A$3:$A$5001,$B14),SUMIFS(Base!$AA$3:$AA$5001,Base!$A$3:$A$5001,$B14,Base!$B$3:$B$5001,$B$2))</f>
        <v>0</v>
      </c>
      <c r="AC14">
        <f>IF($B$2="Todos",SUMIFS(Base!$AB$3:$AB$5001,Base!$A$3:$A$5001,$B14),SUMIFS(Base!$AB$3:$AB$5001,Base!$A$3:$A$5001,$B14,Base!$B$3:$B$5001,$B$2))</f>
        <v>0</v>
      </c>
      <c r="AD14">
        <f>IF($B$2="Todos",SUMIFS(Base!$AC$3:$AC$5001,Base!$A$3:$A$5001,$B14),SUMIFS(Base!$AC$3:$AC$5001,Base!$A$3:$A$5001,$B14,Base!$B$3:$B$5001,$B$2))</f>
        <v>0</v>
      </c>
      <c r="AE14">
        <f>IF($B$2="Todos",SUMIFS(Base!$AD$3:$AD$5001,Base!$A$3:$A$5001,$B14),SUMIFS(Base!$AD$3:$AD$5001,Base!$A$3:$A$5001,$B14,Base!$B$3:$B$5001,$B$2))</f>
        <v>0</v>
      </c>
      <c r="AG14">
        <f>IFERROR(N(INDEX($C14:$AE14,MATCH($B$3,$C$11:$AE$11,0))),0)</f>
        <v>0</v>
      </c>
      <c r="AH14">
        <f>IFERROR(N(INDEX($C14:$AE14,MATCH($C$3,$C$11:$AE$11,0))),0)</f>
        <v>0</v>
      </c>
      <c r="AI14">
        <f>$B$5</f>
        <v>0.7</v>
      </c>
      <c r="AJ14">
        <f>$B$6</f>
        <v>0.9</v>
      </c>
      <c r="AL14" t="inlineStr">
        <is>
          <t xml:space="preserve">BEAUTYBIZ</t>
        </is>
      </c>
      <c r="AN14" t="inlineStr">
        <is>
          <t xml:space="preserve">MARÇO · 2026</t>
        </is>
      </c>
      <c r="AP14" t="str">
        <f>"Por semana · "&amp;MID($B$3,FIND(" ",$B$3)+1,99)&amp;" (IN) x "&amp;MID($C$3,FIND(" ",$C$3)+1,99)&amp;" (OUT) — "&amp;IF($B$2="Todos","todos os clientes",$B$2)</f>
        <v>Por semana · Pallets Movimentados (IN) x Pallets Movimentados (OUT) — todos os clientes</v>
      </c>
    </row>
    <row r="15">
      <c r="A15">
        <v>4</v>
      </c>
      <c r="B15" s="152">
        <f>IF(ISNUMBER($A15),$C$7+$A15-1,"")</f>
        <v>46269</v>
      </c>
      <c r="C15">
        <f>IF($B$2="Todos",SUMIFS(Base!$C$3:$C$5001,Base!$A$3:$A$5001,$B15),SUMIFS(Base!$C$3:$C$5001,Base!$A$3:$A$5001,$B15,Base!$B$3:$B$5001,$B$2))</f>
        <v>0</v>
      </c>
      <c r="D15">
        <f>IF($B$2="Todos",SUMIFS(Base!$D$3:$D$5001,Base!$A$3:$A$5001,$B15),SUMIFS(Base!$D$3:$D$5001,Base!$A$3:$A$5001,$B15,Base!$B$3:$B$5001,$B$2))</f>
        <v>0</v>
      </c>
      <c r="E15">
        <f>IF($B$2="Todos",SUMIFS(Base!$E$3:$E$5001,Base!$A$3:$A$5001,$B15),SUMIFS(Base!$E$3:$E$5001,Base!$A$3:$A$5001,$B15,Base!$B$3:$B$5001,$B$2))</f>
        <v>0</v>
      </c>
      <c r="F15">
        <f>IF($B$2="Todos",SUMIFS(Base!$F$3:$F$5001,Base!$A$3:$A$5001,$B15),SUMIFS(Base!$F$3:$F$5001,Base!$A$3:$A$5001,$B15,Base!$B$3:$B$5001,$B$2))</f>
        <v>0</v>
      </c>
      <c r="G15">
        <f>IF($B$2="Todos",SUMIFS(Base!$G$3:$G$5001,Base!$A$3:$A$5001,$B15),SUMIFS(Base!$G$3:$G$5001,Base!$A$3:$A$5001,$B15,Base!$B$3:$B$5001,$B$2))</f>
        <v>0</v>
      </c>
      <c r="H15">
        <f>IF($B$2="Todos",SUMIFS(Base!$H$3:$H$5001,Base!$A$3:$A$5001,$B15),SUMIFS(Base!$H$3:$H$5001,Base!$A$3:$A$5001,$B15,Base!$B$3:$B$5001,$B$2))</f>
        <v>0</v>
      </c>
      <c r="I15">
        <f>IF($B$2="Todos",SUMIFS(Base!$I$3:$I$5001,Base!$A$3:$A$5001,$B15),SUMIFS(Base!$I$3:$I$5001,Base!$A$3:$A$5001,$B15,Base!$B$3:$B$5001,$B$2))</f>
        <v>0</v>
      </c>
      <c r="J15">
        <f>IF($B$2="Todos",SUMIFS(Base!$J$3:$J$5001,Base!$A$3:$A$5001,$B15),SUMIFS(Base!$J$3:$J$5001,Base!$A$3:$A$5001,$B15,Base!$B$3:$B$5001,$B$2))</f>
        <v>0</v>
      </c>
      <c r="K15">
        <f>IF($B$2="Todos",SUMIFS(Base!$K$3:$K$5001,Base!$A$3:$A$5001,$B15),SUMIFS(Base!$K$3:$K$5001,Base!$A$3:$A$5001,$B15,Base!$B$3:$B$5001,$B$2))</f>
        <v>0</v>
      </c>
      <c r="L15">
        <f>IF($B$2="Todos",SUMIFS(Base!$L$3:$L$5001,Base!$A$3:$A$5001,$B15),SUMIFS(Base!$L$3:$L$5001,Base!$A$3:$A$5001,$B15,Base!$B$3:$B$5001,$B$2))</f>
        <v>0</v>
      </c>
      <c r="M15">
        <f>IF($B$2="Todos",SUMIFS(Base!$M$3:$M$5001,Base!$A$3:$A$5001,$B15),SUMIFS(Base!$M$3:$M$5001,Base!$A$3:$A$5001,$B15,Base!$B$3:$B$5001,$B$2))</f>
        <v>0</v>
      </c>
      <c r="N15">
        <f>IF($B$2="Todos",SUMIFS(Base!$N$3:$N$5001,Base!$A$3:$A$5001,$B15),SUMIFS(Base!$N$3:$N$5001,Base!$A$3:$A$5001,$B15,Base!$B$3:$B$5001,$B$2))</f>
        <v>0</v>
      </c>
      <c r="O15">
        <f>IF($B$2="Todos",SUMIFS(Base!$O$3:$O$5001,Base!$A$3:$A$5001,$B15),SUMIFS(Base!$O$3:$O$5001,Base!$A$3:$A$5001,$B15,Base!$B$3:$B$5001,$B$2))</f>
        <v>0</v>
      </c>
      <c r="P15">
        <f>IF($B$2="Todos",SUMIFS(Base!$P$3:$P$5001,Base!$A$3:$A$5001,$B15),SUMIFS(Base!$P$3:$P$5001,Base!$A$3:$A$5001,$B15,Base!$B$3:$B$5001,$B$2))</f>
        <v>0</v>
      </c>
      <c r="Q15">
        <f>IF($B$2="Todos",SUMIFS(Base!$Q$3:$Q$5001,Base!$A$3:$A$5001,$B15),SUMIFS(Base!$Q$3:$Q$5001,Base!$A$3:$A$5001,$B15,Base!$B$3:$B$5001,$B$2))</f>
        <v>0</v>
      </c>
      <c r="R15">
        <f>IF($B$2="Todos",SUMIFS(Base!$R$3:$R$5001,Base!$A$3:$A$5001,$B15),SUMIFS(Base!$R$3:$R$5001,Base!$A$3:$A$5001,$B15,Base!$B$3:$B$5001,$B$2))</f>
        <v>0</v>
      </c>
      <c r="S15">
        <f>IF($B$2="Todos",SUMIFS(Base!$S$3:$S$5001,Base!$A$3:$A$5001,$B15),SUMIFS(Base!$S$3:$S$5001,Base!$A$3:$A$5001,$B15,Base!$B$3:$B$5001,$B$2))</f>
        <v>0</v>
      </c>
      <c r="T15">
        <f>IF($B$2="Todos",SUMIFS(Base!$T$3:$T$5001,Base!$A$3:$A$5001,$B15),SUMIFS(Base!$T$3:$T$5001,Base!$A$3:$A$5001,$B15,Base!$B$3:$B$5001,$B$2))</f>
        <v>0</v>
      </c>
      <c r="U15">
        <f>IF($B$2="Todos",SUMIFS(Base!$U$3:$U$5001,Base!$A$3:$A$5001,$B15),SUMIFS(Base!$U$3:$U$5001,Base!$A$3:$A$5001,$B15,Base!$B$3:$B$5001,$B$2))</f>
        <v>0</v>
      </c>
      <c r="V15">
        <f>IF($B$2="Todos",SUMIFS(Base!$V$3:$V$5001,Base!$A$3:$A$5001,$B15),SUMIFS(Base!$V$3:$V$5001,Base!$A$3:$A$5001,$B15,Base!$B$3:$B$5001,$B$2))</f>
        <v>0</v>
      </c>
      <c r="W15" t="str">
        <f>IF($B$2="Todos",IF(COUNT($C$131:$K$131)=0,"",SUM($C$131:$K$131)),IFERROR(INDEX($C$131:$K$131,MATCH($B$2,$C$127:$K$127,0)),""))</f>
        <v/>
      </c>
      <c r="X15" t="str">
        <f>IF(Y15="","",IF($B$2="Todos",IF(ISNUMBER($B$4),$B$4,IF(COUNT($C$166:$K$166)=0,"",SUM($C$166:$K$166))),IFERROR(INDEX($C$166:$K$166,MATCH($B$2,$C$162:$K$162,0)),"")))</f>
        <v/>
      </c>
      <c r="Y15" t="str">
        <f>IF($B$2="Todos",IF(COUNT($C$201:$K$201)=0,"",SUM($C$201:$K$201)),IFERROR(INDEX($C$201:$K$201,MATCH($B$2,$C$197:$K$197,0)),""))</f>
        <v/>
      </c>
      <c r="Z15" t="str">
        <f>IF(AND(ISNUMBER(Y15),ISNUMBER(X15)),IF(X15&gt;0,Y15/X15,""),"")</f>
        <v/>
      </c>
      <c r="AA15" t="str">
        <f>IF($B$2="Todos",IF(COUNT($C$236:$K$236)=0,"",SUM($C$236:$K$236)),IFERROR(INDEX($C$236:$K$236,MATCH($B$2,$C$232:$K$232,0)),""))</f>
        <v/>
      </c>
      <c r="AB15">
        <f>IF($B$2="Todos",SUMIFS(Base!$AA$3:$AA$5001,Base!$A$3:$A$5001,$B15),SUMIFS(Base!$AA$3:$AA$5001,Base!$A$3:$A$5001,$B15,Base!$B$3:$B$5001,$B$2))</f>
        <v>0</v>
      </c>
      <c r="AC15">
        <f>IF($B$2="Todos",SUMIFS(Base!$AB$3:$AB$5001,Base!$A$3:$A$5001,$B15),SUMIFS(Base!$AB$3:$AB$5001,Base!$A$3:$A$5001,$B15,Base!$B$3:$B$5001,$B$2))</f>
        <v>0</v>
      </c>
      <c r="AD15">
        <f>IF($B$2="Todos",SUMIFS(Base!$AC$3:$AC$5001,Base!$A$3:$A$5001,$B15),SUMIFS(Base!$AC$3:$AC$5001,Base!$A$3:$A$5001,$B15,Base!$B$3:$B$5001,$B$2))</f>
        <v>0</v>
      </c>
      <c r="AE15">
        <f>IF($B$2="Todos",SUMIFS(Base!$AD$3:$AD$5001,Base!$A$3:$A$5001,$B15),SUMIFS(Base!$AD$3:$AD$5001,Base!$A$3:$A$5001,$B15,Base!$B$3:$B$5001,$B$2))</f>
        <v>0</v>
      </c>
      <c r="AG15">
        <f>IFERROR(N(INDEX($C15:$AE15,MATCH($B$3,$C$11:$AE$11,0))),0)</f>
        <v>0</v>
      </c>
      <c r="AH15">
        <f>IFERROR(N(INDEX($C15:$AE15,MATCH($C$3,$C$11:$AE$11,0))),0)</f>
        <v>0</v>
      </c>
      <c r="AI15">
        <f>$B$5</f>
        <v>0.7</v>
      </c>
      <c r="AJ15">
        <f>$B$6</f>
        <v>0.9</v>
      </c>
      <c r="AL15" t="inlineStr">
        <is>
          <t xml:space="preserve">BOTICÁRIO</t>
        </is>
      </c>
      <c r="AN15" t="inlineStr">
        <is>
          <t xml:space="preserve">ABRIL · 2026</t>
        </is>
      </c>
    </row>
    <row r="16">
      <c r="A16">
        <v>5</v>
      </c>
      <c r="B16" s="152">
        <f>IF(ISNUMBER($A16),$C$7+$A16-1,"")</f>
        <v>46270</v>
      </c>
      <c r="C16">
        <f>IF($B$2="Todos",SUMIFS(Base!$C$3:$C$5001,Base!$A$3:$A$5001,$B16),SUMIFS(Base!$C$3:$C$5001,Base!$A$3:$A$5001,$B16,Base!$B$3:$B$5001,$B$2))</f>
        <v>0</v>
      </c>
      <c r="D16">
        <f>IF($B$2="Todos",SUMIFS(Base!$D$3:$D$5001,Base!$A$3:$A$5001,$B16),SUMIFS(Base!$D$3:$D$5001,Base!$A$3:$A$5001,$B16,Base!$B$3:$B$5001,$B$2))</f>
        <v>0</v>
      </c>
      <c r="E16">
        <f>IF($B$2="Todos",SUMIFS(Base!$E$3:$E$5001,Base!$A$3:$A$5001,$B16),SUMIFS(Base!$E$3:$E$5001,Base!$A$3:$A$5001,$B16,Base!$B$3:$B$5001,$B$2))</f>
        <v>0</v>
      </c>
      <c r="F16">
        <f>IF($B$2="Todos",SUMIFS(Base!$F$3:$F$5001,Base!$A$3:$A$5001,$B16),SUMIFS(Base!$F$3:$F$5001,Base!$A$3:$A$5001,$B16,Base!$B$3:$B$5001,$B$2))</f>
        <v>0</v>
      </c>
      <c r="G16">
        <f>IF($B$2="Todos",SUMIFS(Base!$G$3:$G$5001,Base!$A$3:$A$5001,$B16),SUMIFS(Base!$G$3:$G$5001,Base!$A$3:$A$5001,$B16,Base!$B$3:$B$5001,$B$2))</f>
        <v>0</v>
      </c>
      <c r="H16">
        <f>IF($B$2="Todos",SUMIFS(Base!$H$3:$H$5001,Base!$A$3:$A$5001,$B16),SUMIFS(Base!$H$3:$H$5001,Base!$A$3:$A$5001,$B16,Base!$B$3:$B$5001,$B$2))</f>
        <v>0</v>
      </c>
      <c r="I16">
        <f>IF($B$2="Todos",SUMIFS(Base!$I$3:$I$5001,Base!$A$3:$A$5001,$B16),SUMIFS(Base!$I$3:$I$5001,Base!$A$3:$A$5001,$B16,Base!$B$3:$B$5001,$B$2))</f>
        <v>0</v>
      </c>
      <c r="J16">
        <f>IF($B$2="Todos",SUMIFS(Base!$J$3:$J$5001,Base!$A$3:$A$5001,$B16),SUMIFS(Base!$J$3:$J$5001,Base!$A$3:$A$5001,$B16,Base!$B$3:$B$5001,$B$2))</f>
        <v>0</v>
      </c>
      <c r="K16">
        <f>IF($B$2="Todos",SUMIFS(Base!$K$3:$K$5001,Base!$A$3:$A$5001,$B16),SUMIFS(Base!$K$3:$K$5001,Base!$A$3:$A$5001,$B16,Base!$B$3:$B$5001,$B$2))</f>
        <v>0</v>
      </c>
      <c r="L16">
        <f>IF($B$2="Todos",SUMIFS(Base!$L$3:$L$5001,Base!$A$3:$A$5001,$B16),SUMIFS(Base!$L$3:$L$5001,Base!$A$3:$A$5001,$B16,Base!$B$3:$B$5001,$B$2))</f>
        <v>0</v>
      </c>
      <c r="M16">
        <f>IF($B$2="Todos",SUMIFS(Base!$M$3:$M$5001,Base!$A$3:$A$5001,$B16),SUMIFS(Base!$M$3:$M$5001,Base!$A$3:$A$5001,$B16,Base!$B$3:$B$5001,$B$2))</f>
        <v>0</v>
      </c>
      <c r="N16">
        <f>IF($B$2="Todos",SUMIFS(Base!$N$3:$N$5001,Base!$A$3:$A$5001,$B16),SUMIFS(Base!$N$3:$N$5001,Base!$A$3:$A$5001,$B16,Base!$B$3:$B$5001,$B$2))</f>
        <v>0</v>
      </c>
      <c r="O16">
        <f>IF($B$2="Todos",SUMIFS(Base!$O$3:$O$5001,Base!$A$3:$A$5001,$B16),SUMIFS(Base!$O$3:$O$5001,Base!$A$3:$A$5001,$B16,Base!$B$3:$B$5001,$B$2))</f>
        <v>0</v>
      </c>
      <c r="P16">
        <f>IF($B$2="Todos",SUMIFS(Base!$P$3:$P$5001,Base!$A$3:$A$5001,$B16),SUMIFS(Base!$P$3:$P$5001,Base!$A$3:$A$5001,$B16,Base!$B$3:$B$5001,$B$2))</f>
        <v>0</v>
      </c>
      <c r="Q16">
        <f>IF($B$2="Todos",SUMIFS(Base!$Q$3:$Q$5001,Base!$A$3:$A$5001,$B16),SUMIFS(Base!$Q$3:$Q$5001,Base!$A$3:$A$5001,$B16,Base!$B$3:$B$5001,$B$2))</f>
        <v>0</v>
      </c>
      <c r="R16">
        <f>IF($B$2="Todos",SUMIFS(Base!$R$3:$R$5001,Base!$A$3:$A$5001,$B16),SUMIFS(Base!$R$3:$R$5001,Base!$A$3:$A$5001,$B16,Base!$B$3:$B$5001,$B$2))</f>
        <v>0</v>
      </c>
      <c r="S16">
        <f>IF($B$2="Todos",SUMIFS(Base!$S$3:$S$5001,Base!$A$3:$A$5001,$B16),SUMIFS(Base!$S$3:$S$5001,Base!$A$3:$A$5001,$B16,Base!$B$3:$B$5001,$B$2))</f>
        <v>0</v>
      </c>
      <c r="T16">
        <f>IF($B$2="Todos",SUMIFS(Base!$T$3:$T$5001,Base!$A$3:$A$5001,$B16),SUMIFS(Base!$T$3:$T$5001,Base!$A$3:$A$5001,$B16,Base!$B$3:$B$5001,$B$2))</f>
        <v>0</v>
      </c>
      <c r="U16">
        <f>IF($B$2="Todos",SUMIFS(Base!$U$3:$U$5001,Base!$A$3:$A$5001,$B16),SUMIFS(Base!$U$3:$U$5001,Base!$A$3:$A$5001,$B16,Base!$B$3:$B$5001,$B$2))</f>
        <v>0</v>
      </c>
      <c r="V16">
        <f>IF($B$2="Todos",SUMIFS(Base!$V$3:$V$5001,Base!$A$3:$A$5001,$B16),SUMIFS(Base!$V$3:$V$5001,Base!$A$3:$A$5001,$B16,Base!$B$3:$B$5001,$B$2))</f>
        <v>0</v>
      </c>
      <c r="W16" t="str">
        <f>IF($B$2="Todos",IF(COUNT($C$132:$K$132)=0,"",SUM($C$132:$K$132)),IFERROR(INDEX($C$132:$K$132,MATCH($B$2,$C$127:$K$127,0)),""))</f>
        <v/>
      </c>
      <c r="X16" t="str">
        <f>IF(Y16="","",IF($B$2="Todos",IF(ISNUMBER($B$4),$B$4,IF(COUNT($C$167:$K$167)=0,"",SUM($C$167:$K$167))),IFERROR(INDEX($C$167:$K$167,MATCH($B$2,$C$162:$K$162,0)),"")))</f>
        <v/>
      </c>
      <c r="Y16" t="str">
        <f>IF($B$2="Todos",IF(COUNT($C$202:$K$202)=0,"",SUM($C$202:$K$202)),IFERROR(INDEX($C$202:$K$202,MATCH($B$2,$C$197:$K$197,0)),""))</f>
        <v/>
      </c>
      <c r="Z16" t="str">
        <f>IF(AND(ISNUMBER(Y16),ISNUMBER(X16)),IF(X16&gt;0,Y16/X16,""),"")</f>
        <v/>
      </c>
      <c r="AA16" t="str">
        <f>IF($B$2="Todos",IF(COUNT($C$237:$K$237)=0,"",SUM($C$237:$K$237)),IFERROR(INDEX($C$237:$K$237,MATCH($B$2,$C$232:$K$232,0)),""))</f>
        <v/>
      </c>
      <c r="AB16">
        <f>IF($B$2="Todos",SUMIFS(Base!$AA$3:$AA$5001,Base!$A$3:$A$5001,$B16),SUMIFS(Base!$AA$3:$AA$5001,Base!$A$3:$A$5001,$B16,Base!$B$3:$B$5001,$B$2))</f>
        <v>0</v>
      </c>
      <c r="AC16">
        <f>IF($B$2="Todos",SUMIFS(Base!$AB$3:$AB$5001,Base!$A$3:$A$5001,$B16),SUMIFS(Base!$AB$3:$AB$5001,Base!$A$3:$A$5001,$B16,Base!$B$3:$B$5001,$B$2))</f>
        <v>0</v>
      </c>
      <c r="AD16">
        <f>IF($B$2="Todos",SUMIFS(Base!$AC$3:$AC$5001,Base!$A$3:$A$5001,$B16),SUMIFS(Base!$AC$3:$AC$5001,Base!$A$3:$A$5001,$B16,Base!$B$3:$B$5001,$B$2))</f>
        <v>0</v>
      </c>
      <c r="AE16">
        <f>IF($B$2="Todos",SUMIFS(Base!$AD$3:$AD$5001,Base!$A$3:$A$5001,$B16),SUMIFS(Base!$AD$3:$AD$5001,Base!$A$3:$A$5001,$B16,Base!$B$3:$B$5001,$B$2))</f>
        <v>0</v>
      </c>
      <c r="AG16">
        <f>IFERROR(N(INDEX($C16:$AE16,MATCH($B$3,$C$11:$AE$11,0))),0)</f>
        <v>0</v>
      </c>
      <c r="AH16">
        <f>IFERROR(N(INDEX($C16:$AE16,MATCH($C$3,$C$11:$AE$11,0))),0)</f>
        <v>0</v>
      </c>
      <c r="AI16">
        <f>$B$5</f>
        <v>0.7</v>
      </c>
      <c r="AJ16">
        <f>$B$6</f>
        <v>0.9</v>
      </c>
      <c r="AL16" t="inlineStr">
        <is>
          <t xml:space="preserve">SUPPLY</t>
        </is>
      </c>
      <c r="AN16" t="inlineStr">
        <is>
          <t xml:space="preserve">MAIO · 2026</t>
        </is>
      </c>
    </row>
    <row r="17">
      <c r="A17">
        <v>6</v>
      </c>
      <c r="B17" s="152">
        <f>IF(ISNUMBER($A17),$C$7+$A17-1,"")</f>
        <v>46271</v>
      </c>
      <c r="C17">
        <f>IF($B$2="Todos",SUMIFS(Base!$C$3:$C$5001,Base!$A$3:$A$5001,$B17),SUMIFS(Base!$C$3:$C$5001,Base!$A$3:$A$5001,$B17,Base!$B$3:$B$5001,$B$2))</f>
        <v>0</v>
      </c>
      <c r="D17">
        <f>IF($B$2="Todos",SUMIFS(Base!$D$3:$D$5001,Base!$A$3:$A$5001,$B17),SUMIFS(Base!$D$3:$D$5001,Base!$A$3:$A$5001,$B17,Base!$B$3:$B$5001,$B$2))</f>
        <v>0</v>
      </c>
      <c r="E17">
        <f>IF($B$2="Todos",SUMIFS(Base!$E$3:$E$5001,Base!$A$3:$A$5001,$B17),SUMIFS(Base!$E$3:$E$5001,Base!$A$3:$A$5001,$B17,Base!$B$3:$B$5001,$B$2))</f>
        <v>0</v>
      </c>
      <c r="F17">
        <f>IF($B$2="Todos",SUMIFS(Base!$F$3:$F$5001,Base!$A$3:$A$5001,$B17),SUMIFS(Base!$F$3:$F$5001,Base!$A$3:$A$5001,$B17,Base!$B$3:$B$5001,$B$2))</f>
        <v>0</v>
      </c>
      <c r="G17">
        <f>IF($B$2="Todos",SUMIFS(Base!$G$3:$G$5001,Base!$A$3:$A$5001,$B17),SUMIFS(Base!$G$3:$G$5001,Base!$A$3:$A$5001,$B17,Base!$B$3:$B$5001,$B$2))</f>
        <v>0</v>
      </c>
      <c r="H17">
        <f>IF($B$2="Todos",SUMIFS(Base!$H$3:$H$5001,Base!$A$3:$A$5001,$B17),SUMIFS(Base!$H$3:$H$5001,Base!$A$3:$A$5001,$B17,Base!$B$3:$B$5001,$B$2))</f>
        <v>0</v>
      </c>
      <c r="I17">
        <f>IF($B$2="Todos",SUMIFS(Base!$I$3:$I$5001,Base!$A$3:$A$5001,$B17),SUMIFS(Base!$I$3:$I$5001,Base!$A$3:$A$5001,$B17,Base!$B$3:$B$5001,$B$2))</f>
        <v>0</v>
      </c>
      <c r="J17">
        <f>IF($B$2="Todos",SUMIFS(Base!$J$3:$J$5001,Base!$A$3:$A$5001,$B17),SUMIFS(Base!$J$3:$J$5001,Base!$A$3:$A$5001,$B17,Base!$B$3:$B$5001,$B$2))</f>
        <v>0</v>
      </c>
      <c r="K17">
        <f>IF($B$2="Todos",SUMIFS(Base!$K$3:$K$5001,Base!$A$3:$A$5001,$B17),SUMIFS(Base!$K$3:$K$5001,Base!$A$3:$A$5001,$B17,Base!$B$3:$B$5001,$B$2))</f>
        <v>0</v>
      </c>
      <c r="L17">
        <f>IF($B$2="Todos",SUMIFS(Base!$L$3:$L$5001,Base!$A$3:$A$5001,$B17),SUMIFS(Base!$L$3:$L$5001,Base!$A$3:$A$5001,$B17,Base!$B$3:$B$5001,$B$2))</f>
        <v>0</v>
      </c>
      <c r="M17">
        <f>IF($B$2="Todos",SUMIFS(Base!$M$3:$M$5001,Base!$A$3:$A$5001,$B17),SUMIFS(Base!$M$3:$M$5001,Base!$A$3:$A$5001,$B17,Base!$B$3:$B$5001,$B$2))</f>
        <v>0</v>
      </c>
      <c r="N17">
        <f>IF($B$2="Todos",SUMIFS(Base!$N$3:$N$5001,Base!$A$3:$A$5001,$B17),SUMIFS(Base!$N$3:$N$5001,Base!$A$3:$A$5001,$B17,Base!$B$3:$B$5001,$B$2))</f>
        <v>0</v>
      </c>
      <c r="O17">
        <f>IF($B$2="Todos",SUMIFS(Base!$O$3:$O$5001,Base!$A$3:$A$5001,$B17),SUMIFS(Base!$O$3:$O$5001,Base!$A$3:$A$5001,$B17,Base!$B$3:$B$5001,$B$2))</f>
        <v>0</v>
      </c>
      <c r="P17">
        <f>IF($B$2="Todos",SUMIFS(Base!$P$3:$P$5001,Base!$A$3:$A$5001,$B17),SUMIFS(Base!$P$3:$P$5001,Base!$A$3:$A$5001,$B17,Base!$B$3:$B$5001,$B$2))</f>
        <v>0</v>
      </c>
      <c r="Q17">
        <f>IF($B$2="Todos",SUMIFS(Base!$Q$3:$Q$5001,Base!$A$3:$A$5001,$B17),SUMIFS(Base!$Q$3:$Q$5001,Base!$A$3:$A$5001,$B17,Base!$B$3:$B$5001,$B$2))</f>
        <v>0</v>
      </c>
      <c r="R17">
        <f>IF($B$2="Todos",SUMIFS(Base!$R$3:$R$5001,Base!$A$3:$A$5001,$B17),SUMIFS(Base!$R$3:$R$5001,Base!$A$3:$A$5001,$B17,Base!$B$3:$B$5001,$B$2))</f>
        <v>0</v>
      </c>
      <c r="S17">
        <f>IF($B$2="Todos",SUMIFS(Base!$S$3:$S$5001,Base!$A$3:$A$5001,$B17),SUMIFS(Base!$S$3:$S$5001,Base!$A$3:$A$5001,$B17,Base!$B$3:$B$5001,$B$2))</f>
        <v>0</v>
      </c>
      <c r="T17">
        <f>IF($B$2="Todos",SUMIFS(Base!$T$3:$T$5001,Base!$A$3:$A$5001,$B17),SUMIFS(Base!$T$3:$T$5001,Base!$A$3:$A$5001,$B17,Base!$B$3:$B$5001,$B$2))</f>
        <v>0</v>
      </c>
      <c r="U17">
        <f>IF($B$2="Todos",SUMIFS(Base!$U$3:$U$5001,Base!$A$3:$A$5001,$B17),SUMIFS(Base!$U$3:$U$5001,Base!$A$3:$A$5001,$B17,Base!$B$3:$B$5001,$B$2))</f>
        <v>0</v>
      </c>
      <c r="V17">
        <f>IF($B$2="Todos",SUMIFS(Base!$V$3:$V$5001,Base!$A$3:$A$5001,$B17),SUMIFS(Base!$V$3:$V$5001,Base!$A$3:$A$5001,$B17,Base!$B$3:$B$5001,$B$2))</f>
        <v>0</v>
      </c>
      <c r="W17" t="str">
        <f>IF($B$2="Todos",IF(COUNT($C$133:$K$133)=0,"",SUM($C$133:$K$133)),IFERROR(INDEX($C$133:$K$133,MATCH($B$2,$C$127:$K$127,0)),""))</f>
        <v/>
      </c>
      <c r="X17" t="str">
        <f>IF(Y17="","",IF($B$2="Todos",IF(ISNUMBER($B$4),$B$4,IF(COUNT($C$168:$K$168)=0,"",SUM($C$168:$K$168))),IFERROR(INDEX($C$168:$K$168,MATCH($B$2,$C$162:$K$162,0)),"")))</f>
        <v/>
      </c>
      <c r="Y17" t="str">
        <f>IF($B$2="Todos",IF(COUNT($C$203:$K$203)=0,"",SUM($C$203:$K$203)),IFERROR(INDEX($C$203:$K$203,MATCH($B$2,$C$197:$K$197,0)),""))</f>
        <v/>
      </c>
      <c r="Z17" t="str">
        <f>IF(AND(ISNUMBER(Y17),ISNUMBER(X17)),IF(X17&gt;0,Y17/X17,""),"")</f>
        <v/>
      </c>
      <c r="AA17" t="str">
        <f>IF($B$2="Todos",IF(COUNT($C$238:$K$238)=0,"",SUM($C$238:$K$238)),IFERROR(INDEX($C$238:$K$238,MATCH($B$2,$C$232:$K$232,0)),""))</f>
        <v/>
      </c>
      <c r="AB17">
        <f>IF($B$2="Todos",SUMIFS(Base!$AA$3:$AA$5001,Base!$A$3:$A$5001,$B17),SUMIFS(Base!$AA$3:$AA$5001,Base!$A$3:$A$5001,$B17,Base!$B$3:$B$5001,$B$2))</f>
        <v>0</v>
      </c>
      <c r="AC17">
        <f>IF($B$2="Todos",SUMIFS(Base!$AB$3:$AB$5001,Base!$A$3:$A$5001,$B17),SUMIFS(Base!$AB$3:$AB$5001,Base!$A$3:$A$5001,$B17,Base!$B$3:$B$5001,$B$2))</f>
        <v>0</v>
      </c>
      <c r="AD17">
        <f>IF($B$2="Todos",SUMIFS(Base!$AC$3:$AC$5001,Base!$A$3:$A$5001,$B17),SUMIFS(Base!$AC$3:$AC$5001,Base!$A$3:$A$5001,$B17,Base!$B$3:$B$5001,$B$2))</f>
        <v>0</v>
      </c>
      <c r="AE17">
        <f>IF($B$2="Todos",SUMIFS(Base!$AD$3:$AD$5001,Base!$A$3:$A$5001,$B17),SUMIFS(Base!$AD$3:$AD$5001,Base!$A$3:$A$5001,$B17,Base!$B$3:$B$5001,$B$2))</f>
        <v>0</v>
      </c>
      <c r="AG17">
        <f>IFERROR(N(INDEX($C17:$AE17,MATCH($B$3,$C$11:$AE$11,0))),0)</f>
        <v>0</v>
      </c>
      <c r="AH17">
        <f>IFERROR(N(INDEX($C17:$AE17,MATCH($C$3,$C$11:$AE$11,0))),0)</f>
        <v>0</v>
      </c>
      <c r="AI17">
        <f>$B$5</f>
        <v>0.7</v>
      </c>
      <c r="AJ17">
        <f>$B$6</f>
        <v>0.9</v>
      </c>
      <c r="AL17" t="inlineStr">
        <is>
          <t xml:space="preserve">GE VERNOVA</t>
        </is>
      </c>
      <c r="AN17" t="inlineStr">
        <is>
          <t xml:space="preserve">JUNHO · 2026</t>
        </is>
      </c>
    </row>
    <row r="18">
      <c r="A18">
        <v>7</v>
      </c>
      <c r="B18" s="152">
        <f>IF(ISNUMBER($A18),$C$7+$A18-1,"")</f>
        <v>46272</v>
      </c>
      <c r="C18">
        <f>IF($B$2="Todos",SUMIFS(Base!$C$3:$C$5001,Base!$A$3:$A$5001,$B18),SUMIFS(Base!$C$3:$C$5001,Base!$A$3:$A$5001,$B18,Base!$B$3:$B$5001,$B$2))</f>
        <v>0</v>
      </c>
      <c r="D18">
        <f>IF($B$2="Todos",SUMIFS(Base!$D$3:$D$5001,Base!$A$3:$A$5001,$B18),SUMIFS(Base!$D$3:$D$5001,Base!$A$3:$A$5001,$B18,Base!$B$3:$B$5001,$B$2))</f>
        <v>0</v>
      </c>
      <c r="E18">
        <f>IF($B$2="Todos",SUMIFS(Base!$E$3:$E$5001,Base!$A$3:$A$5001,$B18),SUMIFS(Base!$E$3:$E$5001,Base!$A$3:$A$5001,$B18,Base!$B$3:$B$5001,$B$2))</f>
        <v>0</v>
      </c>
      <c r="F18">
        <f>IF($B$2="Todos",SUMIFS(Base!$F$3:$F$5001,Base!$A$3:$A$5001,$B18),SUMIFS(Base!$F$3:$F$5001,Base!$A$3:$A$5001,$B18,Base!$B$3:$B$5001,$B$2))</f>
        <v>0</v>
      </c>
      <c r="G18">
        <f>IF($B$2="Todos",SUMIFS(Base!$G$3:$G$5001,Base!$A$3:$A$5001,$B18),SUMIFS(Base!$G$3:$G$5001,Base!$A$3:$A$5001,$B18,Base!$B$3:$B$5001,$B$2))</f>
        <v>0</v>
      </c>
      <c r="H18">
        <f>IF($B$2="Todos",SUMIFS(Base!$H$3:$H$5001,Base!$A$3:$A$5001,$B18),SUMIFS(Base!$H$3:$H$5001,Base!$A$3:$A$5001,$B18,Base!$B$3:$B$5001,$B$2))</f>
        <v>0</v>
      </c>
      <c r="I18">
        <f>IF($B$2="Todos",SUMIFS(Base!$I$3:$I$5001,Base!$A$3:$A$5001,$B18),SUMIFS(Base!$I$3:$I$5001,Base!$A$3:$A$5001,$B18,Base!$B$3:$B$5001,$B$2))</f>
        <v>0</v>
      </c>
      <c r="J18">
        <f>IF($B$2="Todos",SUMIFS(Base!$J$3:$J$5001,Base!$A$3:$A$5001,$B18),SUMIFS(Base!$J$3:$J$5001,Base!$A$3:$A$5001,$B18,Base!$B$3:$B$5001,$B$2))</f>
        <v>0</v>
      </c>
      <c r="K18">
        <f>IF($B$2="Todos",SUMIFS(Base!$K$3:$K$5001,Base!$A$3:$A$5001,$B18),SUMIFS(Base!$K$3:$K$5001,Base!$A$3:$A$5001,$B18,Base!$B$3:$B$5001,$B$2))</f>
        <v>0</v>
      </c>
      <c r="L18">
        <f>IF($B$2="Todos",SUMIFS(Base!$L$3:$L$5001,Base!$A$3:$A$5001,$B18),SUMIFS(Base!$L$3:$L$5001,Base!$A$3:$A$5001,$B18,Base!$B$3:$B$5001,$B$2))</f>
        <v>0</v>
      </c>
      <c r="M18">
        <f>IF($B$2="Todos",SUMIFS(Base!$M$3:$M$5001,Base!$A$3:$A$5001,$B18),SUMIFS(Base!$M$3:$M$5001,Base!$A$3:$A$5001,$B18,Base!$B$3:$B$5001,$B$2))</f>
        <v>0</v>
      </c>
      <c r="N18">
        <f>IF($B$2="Todos",SUMIFS(Base!$N$3:$N$5001,Base!$A$3:$A$5001,$B18),SUMIFS(Base!$N$3:$N$5001,Base!$A$3:$A$5001,$B18,Base!$B$3:$B$5001,$B$2))</f>
        <v>0</v>
      </c>
      <c r="O18">
        <f>IF($B$2="Todos",SUMIFS(Base!$O$3:$O$5001,Base!$A$3:$A$5001,$B18),SUMIFS(Base!$O$3:$O$5001,Base!$A$3:$A$5001,$B18,Base!$B$3:$B$5001,$B$2))</f>
        <v>0</v>
      </c>
      <c r="P18">
        <f>IF($B$2="Todos",SUMIFS(Base!$P$3:$P$5001,Base!$A$3:$A$5001,$B18),SUMIFS(Base!$P$3:$P$5001,Base!$A$3:$A$5001,$B18,Base!$B$3:$B$5001,$B$2))</f>
        <v>0</v>
      </c>
      <c r="Q18">
        <f>IF($B$2="Todos",SUMIFS(Base!$Q$3:$Q$5001,Base!$A$3:$A$5001,$B18),SUMIFS(Base!$Q$3:$Q$5001,Base!$A$3:$A$5001,$B18,Base!$B$3:$B$5001,$B$2))</f>
        <v>0</v>
      </c>
      <c r="R18">
        <f>IF($B$2="Todos",SUMIFS(Base!$R$3:$R$5001,Base!$A$3:$A$5001,$B18),SUMIFS(Base!$R$3:$R$5001,Base!$A$3:$A$5001,$B18,Base!$B$3:$B$5001,$B$2))</f>
        <v>0</v>
      </c>
      <c r="S18">
        <f>IF($B$2="Todos",SUMIFS(Base!$S$3:$S$5001,Base!$A$3:$A$5001,$B18),SUMIFS(Base!$S$3:$S$5001,Base!$A$3:$A$5001,$B18,Base!$B$3:$B$5001,$B$2))</f>
        <v>0</v>
      </c>
      <c r="T18">
        <f>IF($B$2="Todos",SUMIFS(Base!$T$3:$T$5001,Base!$A$3:$A$5001,$B18),SUMIFS(Base!$T$3:$T$5001,Base!$A$3:$A$5001,$B18,Base!$B$3:$B$5001,$B$2))</f>
        <v>0</v>
      </c>
      <c r="U18">
        <f>IF($B$2="Todos",SUMIFS(Base!$U$3:$U$5001,Base!$A$3:$A$5001,$B18),SUMIFS(Base!$U$3:$U$5001,Base!$A$3:$A$5001,$B18,Base!$B$3:$B$5001,$B$2))</f>
        <v>0</v>
      </c>
      <c r="V18">
        <f>IF($B$2="Todos",SUMIFS(Base!$V$3:$V$5001,Base!$A$3:$A$5001,$B18),SUMIFS(Base!$V$3:$V$5001,Base!$A$3:$A$5001,$B18,Base!$B$3:$B$5001,$B$2))</f>
        <v>0</v>
      </c>
      <c r="W18" t="str">
        <f>IF($B$2="Todos",IF(COUNT($C$134:$K$134)=0,"",SUM($C$134:$K$134)),IFERROR(INDEX($C$134:$K$134,MATCH($B$2,$C$127:$K$127,0)),""))</f>
        <v/>
      </c>
      <c r="X18" t="str">
        <f>IF(Y18="","",IF($B$2="Todos",IF(ISNUMBER($B$4),$B$4,IF(COUNT($C$169:$K$169)=0,"",SUM($C$169:$K$169))),IFERROR(INDEX($C$169:$K$169,MATCH($B$2,$C$162:$K$162,0)),"")))</f>
        <v/>
      </c>
      <c r="Y18" t="str">
        <f>IF($B$2="Todos",IF(COUNT($C$204:$K$204)=0,"",SUM($C$204:$K$204)),IFERROR(INDEX($C$204:$K$204,MATCH($B$2,$C$197:$K$197,0)),""))</f>
        <v/>
      </c>
      <c r="Z18" t="str">
        <f>IF(AND(ISNUMBER(Y18),ISNUMBER(X18)),IF(X18&gt;0,Y18/X18,""),"")</f>
        <v/>
      </c>
      <c r="AA18" t="str">
        <f>IF($B$2="Todos",IF(COUNT($C$239:$K$239)=0,"",SUM($C$239:$K$239)),IFERROR(INDEX($C$239:$K$239,MATCH($B$2,$C$232:$K$232,0)),""))</f>
        <v/>
      </c>
      <c r="AB18">
        <f>IF($B$2="Todos",SUMIFS(Base!$AA$3:$AA$5001,Base!$A$3:$A$5001,$B18),SUMIFS(Base!$AA$3:$AA$5001,Base!$A$3:$A$5001,$B18,Base!$B$3:$B$5001,$B$2))</f>
        <v>0</v>
      </c>
      <c r="AC18">
        <f>IF($B$2="Todos",SUMIFS(Base!$AB$3:$AB$5001,Base!$A$3:$A$5001,$B18),SUMIFS(Base!$AB$3:$AB$5001,Base!$A$3:$A$5001,$B18,Base!$B$3:$B$5001,$B$2))</f>
        <v>0</v>
      </c>
      <c r="AD18">
        <f>IF($B$2="Todos",SUMIFS(Base!$AC$3:$AC$5001,Base!$A$3:$A$5001,$B18),SUMIFS(Base!$AC$3:$AC$5001,Base!$A$3:$A$5001,$B18,Base!$B$3:$B$5001,$B$2))</f>
        <v>0</v>
      </c>
      <c r="AE18">
        <f>IF($B$2="Todos",SUMIFS(Base!$AD$3:$AD$5001,Base!$A$3:$A$5001,$B18),SUMIFS(Base!$AD$3:$AD$5001,Base!$A$3:$A$5001,$B18,Base!$B$3:$B$5001,$B$2))</f>
        <v>0</v>
      </c>
      <c r="AG18">
        <f>IFERROR(N(INDEX($C18:$AE18,MATCH($B$3,$C$11:$AE$11,0))),0)</f>
        <v>0</v>
      </c>
      <c r="AH18">
        <f>IFERROR(N(INDEX($C18:$AE18,MATCH($C$3,$C$11:$AE$11,0))),0)</f>
        <v>0</v>
      </c>
      <c r="AI18">
        <f>$B$5</f>
        <v>0.7</v>
      </c>
      <c r="AJ18">
        <f>$B$6</f>
        <v>0.9</v>
      </c>
      <c r="AL18" t="inlineStr">
        <is>
          <t xml:space="preserve">VESTAS</t>
        </is>
      </c>
      <c r="AN18" t="inlineStr">
        <is>
          <t xml:space="preserve">JULHO · 2026</t>
        </is>
      </c>
    </row>
    <row r="19">
      <c r="A19">
        <v>8</v>
      </c>
      <c r="B19" s="152">
        <f>IF(ISNUMBER($A19),$C$7+$A19-1,"")</f>
        <v>46273</v>
      </c>
      <c r="C19">
        <f>IF($B$2="Todos",SUMIFS(Base!$C$3:$C$5001,Base!$A$3:$A$5001,$B19),SUMIFS(Base!$C$3:$C$5001,Base!$A$3:$A$5001,$B19,Base!$B$3:$B$5001,$B$2))</f>
        <v>0</v>
      </c>
      <c r="D19">
        <f>IF($B$2="Todos",SUMIFS(Base!$D$3:$D$5001,Base!$A$3:$A$5001,$B19),SUMIFS(Base!$D$3:$D$5001,Base!$A$3:$A$5001,$B19,Base!$B$3:$B$5001,$B$2))</f>
        <v>0</v>
      </c>
      <c r="E19">
        <f>IF($B$2="Todos",SUMIFS(Base!$E$3:$E$5001,Base!$A$3:$A$5001,$B19),SUMIFS(Base!$E$3:$E$5001,Base!$A$3:$A$5001,$B19,Base!$B$3:$B$5001,$B$2))</f>
        <v>0</v>
      </c>
      <c r="F19">
        <f>IF($B$2="Todos",SUMIFS(Base!$F$3:$F$5001,Base!$A$3:$A$5001,$B19),SUMIFS(Base!$F$3:$F$5001,Base!$A$3:$A$5001,$B19,Base!$B$3:$B$5001,$B$2))</f>
        <v>0</v>
      </c>
      <c r="G19">
        <f>IF($B$2="Todos",SUMIFS(Base!$G$3:$G$5001,Base!$A$3:$A$5001,$B19),SUMIFS(Base!$G$3:$G$5001,Base!$A$3:$A$5001,$B19,Base!$B$3:$B$5001,$B$2))</f>
        <v>0</v>
      </c>
      <c r="H19">
        <f>IF($B$2="Todos",SUMIFS(Base!$H$3:$H$5001,Base!$A$3:$A$5001,$B19),SUMIFS(Base!$H$3:$H$5001,Base!$A$3:$A$5001,$B19,Base!$B$3:$B$5001,$B$2))</f>
        <v>0</v>
      </c>
      <c r="I19">
        <f>IF($B$2="Todos",SUMIFS(Base!$I$3:$I$5001,Base!$A$3:$A$5001,$B19),SUMIFS(Base!$I$3:$I$5001,Base!$A$3:$A$5001,$B19,Base!$B$3:$B$5001,$B$2))</f>
        <v>0</v>
      </c>
      <c r="J19">
        <f>IF($B$2="Todos",SUMIFS(Base!$J$3:$J$5001,Base!$A$3:$A$5001,$B19),SUMIFS(Base!$J$3:$J$5001,Base!$A$3:$A$5001,$B19,Base!$B$3:$B$5001,$B$2))</f>
        <v>0</v>
      </c>
      <c r="K19">
        <f>IF($B$2="Todos",SUMIFS(Base!$K$3:$K$5001,Base!$A$3:$A$5001,$B19),SUMIFS(Base!$K$3:$K$5001,Base!$A$3:$A$5001,$B19,Base!$B$3:$B$5001,$B$2))</f>
        <v>0</v>
      </c>
      <c r="L19">
        <f>IF($B$2="Todos",SUMIFS(Base!$L$3:$L$5001,Base!$A$3:$A$5001,$B19),SUMIFS(Base!$L$3:$L$5001,Base!$A$3:$A$5001,$B19,Base!$B$3:$B$5001,$B$2))</f>
        <v>0</v>
      </c>
      <c r="M19">
        <f>IF($B$2="Todos",SUMIFS(Base!$M$3:$M$5001,Base!$A$3:$A$5001,$B19),SUMIFS(Base!$M$3:$M$5001,Base!$A$3:$A$5001,$B19,Base!$B$3:$B$5001,$B$2))</f>
        <v>0</v>
      </c>
      <c r="N19">
        <f>IF($B$2="Todos",SUMIFS(Base!$N$3:$N$5001,Base!$A$3:$A$5001,$B19),SUMIFS(Base!$N$3:$N$5001,Base!$A$3:$A$5001,$B19,Base!$B$3:$B$5001,$B$2))</f>
        <v>0</v>
      </c>
      <c r="O19">
        <f>IF($B$2="Todos",SUMIFS(Base!$O$3:$O$5001,Base!$A$3:$A$5001,$B19),SUMIFS(Base!$O$3:$O$5001,Base!$A$3:$A$5001,$B19,Base!$B$3:$B$5001,$B$2))</f>
        <v>0</v>
      </c>
      <c r="P19">
        <f>IF($B$2="Todos",SUMIFS(Base!$P$3:$P$5001,Base!$A$3:$A$5001,$B19),SUMIFS(Base!$P$3:$P$5001,Base!$A$3:$A$5001,$B19,Base!$B$3:$B$5001,$B$2))</f>
        <v>0</v>
      </c>
      <c r="Q19">
        <f>IF($B$2="Todos",SUMIFS(Base!$Q$3:$Q$5001,Base!$A$3:$A$5001,$B19),SUMIFS(Base!$Q$3:$Q$5001,Base!$A$3:$A$5001,$B19,Base!$B$3:$B$5001,$B$2))</f>
        <v>0</v>
      </c>
      <c r="R19">
        <f>IF($B$2="Todos",SUMIFS(Base!$R$3:$R$5001,Base!$A$3:$A$5001,$B19),SUMIFS(Base!$R$3:$R$5001,Base!$A$3:$A$5001,$B19,Base!$B$3:$B$5001,$B$2))</f>
        <v>0</v>
      </c>
      <c r="S19">
        <f>IF($B$2="Todos",SUMIFS(Base!$S$3:$S$5001,Base!$A$3:$A$5001,$B19),SUMIFS(Base!$S$3:$S$5001,Base!$A$3:$A$5001,$B19,Base!$B$3:$B$5001,$B$2))</f>
        <v>0</v>
      </c>
      <c r="T19">
        <f>IF($B$2="Todos",SUMIFS(Base!$T$3:$T$5001,Base!$A$3:$A$5001,$B19),SUMIFS(Base!$T$3:$T$5001,Base!$A$3:$A$5001,$B19,Base!$B$3:$B$5001,$B$2))</f>
        <v>0</v>
      </c>
      <c r="U19">
        <f>IF($B$2="Todos",SUMIFS(Base!$U$3:$U$5001,Base!$A$3:$A$5001,$B19),SUMIFS(Base!$U$3:$U$5001,Base!$A$3:$A$5001,$B19,Base!$B$3:$B$5001,$B$2))</f>
        <v>0</v>
      </c>
      <c r="V19">
        <f>IF($B$2="Todos",SUMIFS(Base!$V$3:$V$5001,Base!$A$3:$A$5001,$B19),SUMIFS(Base!$V$3:$V$5001,Base!$A$3:$A$5001,$B19,Base!$B$3:$B$5001,$B$2))</f>
        <v>0</v>
      </c>
      <c r="W19" t="str">
        <f>IF($B$2="Todos",IF(COUNT($C$135:$K$135)=0,"",SUM($C$135:$K$135)),IFERROR(INDEX($C$135:$K$135,MATCH($B$2,$C$127:$K$127,0)),""))</f>
        <v/>
      </c>
      <c r="X19" t="str">
        <f>IF(Y19="","",IF($B$2="Todos",IF(ISNUMBER($B$4),$B$4,IF(COUNT($C$170:$K$170)=0,"",SUM($C$170:$K$170))),IFERROR(INDEX($C$170:$K$170,MATCH($B$2,$C$162:$K$162,0)),"")))</f>
        <v/>
      </c>
      <c r="Y19" t="str">
        <f>IF($B$2="Todos",IF(COUNT($C$205:$K$205)=0,"",SUM($C$205:$K$205)),IFERROR(INDEX($C$205:$K$205,MATCH($B$2,$C$197:$K$197,0)),""))</f>
        <v/>
      </c>
      <c r="Z19" t="str">
        <f>IF(AND(ISNUMBER(Y19),ISNUMBER(X19)),IF(X19&gt;0,Y19/X19,""),"")</f>
        <v/>
      </c>
      <c r="AA19" t="str">
        <f>IF($B$2="Todos",IF(COUNT($C$240:$K$240)=0,"",SUM($C$240:$K$240)),IFERROR(INDEX($C$240:$K$240,MATCH($B$2,$C$232:$K$232,0)),""))</f>
        <v/>
      </c>
      <c r="AB19">
        <f>IF($B$2="Todos",SUMIFS(Base!$AA$3:$AA$5001,Base!$A$3:$A$5001,$B19),SUMIFS(Base!$AA$3:$AA$5001,Base!$A$3:$A$5001,$B19,Base!$B$3:$B$5001,$B$2))</f>
        <v>0</v>
      </c>
      <c r="AC19">
        <f>IF($B$2="Todos",SUMIFS(Base!$AB$3:$AB$5001,Base!$A$3:$A$5001,$B19),SUMIFS(Base!$AB$3:$AB$5001,Base!$A$3:$A$5001,$B19,Base!$B$3:$B$5001,$B$2))</f>
        <v>0</v>
      </c>
      <c r="AD19">
        <f>IF($B$2="Todos",SUMIFS(Base!$AC$3:$AC$5001,Base!$A$3:$A$5001,$B19),SUMIFS(Base!$AC$3:$AC$5001,Base!$A$3:$A$5001,$B19,Base!$B$3:$B$5001,$B$2))</f>
        <v>0</v>
      </c>
      <c r="AE19">
        <f>IF($B$2="Todos",SUMIFS(Base!$AD$3:$AD$5001,Base!$A$3:$A$5001,$B19),SUMIFS(Base!$AD$3:$AD$5001,Base!$A$3:$A$5001,$B19,Base!$B$3:$B$5001,$B$2))</f>
        <v>0</v>
      </c>
      <c r="AG19">
        <f>IFERROR(N(INDEX($C19:$AE19,MATCH($B$3,$C$11:$AE$11,0))),0)</f>
        <v>0</v>
      </c>
      <c r="AH19">
        <f>IFERROR(N(INDEX($C19:$AE19,MATCH($C$3,$C$11:$AE$11,0))),0)</f>
        <v>0</v>
      </c>
      <c r="AI19">
        <f>$B$5</f>
        <v>0.7</v>
      </c>
      <c r="AJ19">
        <f>$B$6</f>
        <v>0.9</v>
      </c>
      <c r="AL19" t="inlineStr">
        <is>
          <t xml:space="preserve">VEDACIT</t>
        </is>
      </c>
      <c r="AN19" t="inlineStr">
        <is>
          <t xml:space="preserve">AGOSTO · 2026</t>
        </is>
      </c>
    </row>
    <row r="20">
      <c r="A20">
        <v>9</v>
      </c>
      <c r="B20" s="152">
        <f>IF(ISNUMBER($A20),$C$7+$A20-1,"")</f>
        <v>46274</v>
      </c>
      <c r="C20">
        <f>IF($B$2="Todos",SUMIFS(Base!$C$3:$C$5001,Base!$A$3:$A$5001,$B20),SUMIFS(Base!$C$3:$C$5001,Base!$A$3:$A$5001,$B20,Base!$B$3:$B$5001,$B$2))</f>
        <v>0</v>
      </c>
      <c r="D20">
        <f>IF($B$2="Todos",SUMIFS(Base!$D$3:$D$5001,Base!$A$3:$A$5001,$B20),SUMIFS(Base!$D$3:$D$5001,Base!$A$3:$A$5001,$B20,Base!$B$3:$B$5001,$B$2))</f>
        <v>0</v>
      </c>
      <c r="E20">
        <f>IF($B$2="Todos",SUMIFS(Base!$E$3:$E$5001,Base!$A$3:$A$5001,$B20),SUMIFS(Base!$E$3:$E$5001,Base!$A$3:$A$5001,$B20,Base!$B$3:$B$5001,$B$2))</f>
        <v>0</v>
      </c>
      <c r="F20">
        <f>IF($B$2="Todos",SUMIFS(Base!$F$3:$F$5001,Base!$A$3:$A$5001,$B20),SUMIFS(Base!$F$3:$F$5001,Base!$A$3:$A$5001,$B20,Base!$B$3:$B$5001,$B$2))</f>
        <v>0</v>
      </c>
      <c r="G20">
        <f>IF($B$2="Todos",SUMIFS(Base!$G$3:$G$5001,Base!$A$3:$A$5001,$B20),SUMIFS(Base!$G$3:$G$5001,Base!$A$3:$A$5001,$B20,Base!$B$3:$B$5001,$B$2))</f>
        <v>0</v>
      </c>
      <c r="H20">
        <f>IF($B$2="Todos",SUMIFS(Base!$H$3:$H$5001,Base!$A$3:$A$5001,$B20),SUMIFS(Base!$H$3:$H$5001,Base!$A$3:$A$5001,$B20,Base!$B$3:$B$5001,$B$2))</f>
        <v>0</v>
      </c>
      <c r="I20">
        <f>IF($B$2="Todos",SUMIFS(Base!$I$3:$I$5001,Base!$A$3:$A$5001,$B20),SUMIFS(Base!$I$3:$I$5001,Base!$A$3:$A$5001,$B20,Base!$B$3:$B$5001,$B$2))</f>
        <v>0</v>
      </c>
      <c r="J20">
        <f>IF($B$2="Todos",SUMIFS(Base!$J$3:$J$5001,Base!$A$3:$A$5001,$B20),SUMIFS(Base!$J$3:$J$5001,Base!$A$3:$A$5001,$B20,Base!$B$3:$B$5001,$B$2))</f>
        <v>0</v>
      </c>
      <c r="K20">
        <f>IF($B$2="Todos",SUMIFS(Base!$K$3:$K$5001,Base!$A$3:$A$5001,$B20),SUMIFS(Base!$K$3:$K$5001,Base!$A$3:$A$5001,$B20,Base!$B$3:$B$5001,$B$2))</f>
        <v>0</v>
      </c>
      <c r="L20">
        <f>IF($B$2="Todos",SUMIFS(Base!$L$3:$L$5001,Base!$A$3:$A$5001,$B20),SUMIFS(Base!$L$3:$L$5001,Base!$A$3:$A$5001,$B20,Base!$B$3:$B$5001,$B$2))</f>
        <v>0</v>
      </c>
      <c r="M20">
        <f>IF($B$2="Todos",SUMIFS(Base!$M$3:$M$5001,Base!$A$3:$A$5001,$B20),SUMIFS(Base!$M$3:$M$5001,Base!$A$3:$A$5001,$B20,Base!$B$3:$B$5001,$B$2))</f>
        <v>0</v>
      </c>
      <c r="N20">
        <f>IF($B$2="Todos",SUMIFS(Base!$N$3:$N$5001,Base!$A$3:$A$5001,$B20),SUMIFS(Base!$N$3:$N$5001,Base!$A$3:$A$5001,$B20,Base!$B$3:$B$5001,$B$2))</f>
        <v>0</v>
      </c>
      <c r="O20">
        <f>IF($B$2="Todos",SUMIFS(Base!$O$3:$O$5001,Base!$A$3:$A$5001,$B20),SUMIFS(Base!$O$3:$O$5001,Base!$A$3:$A$5001,$B20,Base!$B$3:$B$5001,$B$2))</f>
        <v>0</v>
      </c>
      <c r="P20">
        <f>IF($B$2="Todos",SUMIFS(Base!$P$3:$P$5001,Base!$A$3:$A$5001,$B20),SUMIFS(Base!$P$3:$P$5001,Base!$A$3:$A$5001,$B20,Base!$B$3:$B$5001,$B$2))</f>
        <v>0</v>
      </c>
      <c r="Q20">
        <f>IF($B$2="Todos",SUMIFS(Base!$Q$3:$Q$5001,Base!$A$3:$A$5001,$B20),SUMIFS(Base!$Q$3:$Q$5001,Base!$A$3:$A$5001,$B20,Base!$B$3:$B$5001,$B$2))</f>
        <v>0</v>
      </c>
      <c r="R20">
        <f>IF($B$2="Todos",SUMIFS(Base!$R$3:$R$5001,Base!$A$3:$A$5001,$B20),SUMIFS(Base!$R$3:$R$5001,Base!$A$3:$A$5001,$B20,Base!$B$3:$B$5001,$B$2))</f>
        <v>0</v>
      </c>
      <c r="S20">
        <f>IF($B$2="Todos",SUMIFS(Base!$S$3:$S$5001,Base!$A$3:$A$5001,$B20),SUMIFS(Base!$S$3:$S$5001,Base!$A$3:$A$5001,$B20,Base!$B$3:$B$5001,$B$2))</f>
        <v>0</v>
      </c>
      <c r="T20">
        <f>IF($B$2="Todos",SUMIFS(Base!$T$3:$T$5001,Base!$A$3:$A$5001,$B20),SUMIFS(Base!$T$3:$T$5001,Base!$A$3:$A$5001,$B20,Base!$B$3:$B$5001,$B$2))</f>
        <v>0</v>
      </c>
      <c r="U20">
        <f>IF($B$2="Todos",SUMIFS(Base!$U$3:$U$5001,Base!$A$3:$A$5001,$B20),SUMIFS(Base!$U$3:$U$5001,Base!$A$3:$A$5001,$B20,Base!$B$3:$B$5001,$B$2))</f>
        <v>0</v>
      </c>
      <c r="V20">
        <f>IF($B$2="Todos",SUMIFS(Base!$V$3:$V$5001,Base!$A$3:$A$5001,$B20),SUMIFS(Base!$V$3:$V$5001,Base!$A$3:$A$5001,$B20,Base!$B$3:$B$5001,$B$2))</f>
        <v>0</v>
      </c>
      <c r="W20" t="str">
        <f>IF($B$2="Todos",IF(COUNT($C$136:$K$136)=0,"",SUM($C$136:$K$136)),IFERROR(INDEX($C$136:$K$136,MATCH($B$2,$C$127:$K$127,0)),""))</f>
        <v/>
      </c>
      <c r="X20" t="str">
        <f>IF(Y20="","",IF($B$2="Todos",IF(ISNUMBER($B$4),$B$4,IF(COUNT($C$171:$K$171)=0,"",SUM($C$171:$K$171))),IFERROR(INDEX($C$171:$K$171,MATCH($B$2,$C$162:$K$162,0)),"")))</f>
        <v/>
      </c>
      <c r="Y20" t="str">
        <f>IF($B$2="Todos",IF(COUNT($C$206:$K$206)=0,"",SUM($C$206:$K$206)),IFERROR(INDEX($C$206:$K$206,MATCH($B$2,$C$197:$K$197,0)),""))</f>
        <v/>
      </c>
      <c r="Z20" t="str">
        <f>IF(AND(ISNUMBER(Y20),ISNUMBER(X20)),IF(X20&gt;0,Y20/X20,""),"")</f>
        <v/>
      </c>
      <c r="AA20" t="str">
        <f>IF($B$2="Todos",IF(COUNT($C$241:$K$241)=0,"",SUM($C$241:$K$241)),IFERROR(INDEX($C$241:$K$241,MATCH($B$2,$C$232:$K$232,0)),""))</f>
        <v/>
      </c>
      <c r="AB20">
        <f>IF($B$2="Todos",SUMIFS(Base!$AA$3:$AA$5001,Base!$A$3:$A$5001,$B20),SUMIFS(Base!$AA$3:$AA$5001,Base!$A$3:$A$5001,$B20,Base!$B$3:$B$5001,$B$2))</f>
        <v>0</v>
      </c>
      <c r="AC20">
        <f>IF($B$2="Todos",SUMIFS(Base!$AB$3:$AB$5001,Base!$A$3:$A$5001,$B20),SUMIFS(Base!$AB$3:$AB$5001,Base!$A$3:$A$5001,$B20,Base!$B$3:$B$5001,$B$2))</f>
        <v>0</v>
      </c>
      <c r="AD20">
        <f>IF($B$2="Todos",SUMIFS(Base!$AC$3:$AC$5001,Base!$A$3:$A$5001,$B20),SUMIFS(Base!$AC$3:$AC$5001,Base!$A$3:$A$5001,$B20,Base!$B$3:$B$5001,$B$2))</f>
        <v>0</v>
      </c>
      <c r="AE20">
        <f>IF($B$2="Todos",SUMIFS(Base!$AD$3:$AD$5001,Base!$A$3:$A$5001,$B20),SUMIFS(Base!$AD$3:$AD$5001,Base!$A$3:$A$5001,$B20,Base!$B$3:$B$5001,$B$2))</f>
        <v>0</v>
      </c>
      <c r="AG20">
        <f>IFERROR(N(INDEX($C20:$AE20,MATCH($B$3,$C$11:$AE$11,0))),0)</f>
        <v>0</v>
      </c>
      <c r="AH20">
        <f>IFERROR(N(INDEX($C20:$AE20,MATCH($C$3,$C$11:$AE$11,0))),0)</f>
        <v>0</v>
      </c>
      <c r="AI20">
        <f>$B$5</f>
        <v>0.7</v>
      </c>
      <c r="AJ20">
        <f>$B$6</f>
        <v>0.9</v>
      </c>
      <c r="AL20" t="inlineStr">
        <is>
          <t xml:space="preserve">OMNLIFE</t>
        </is>
      </c>
      <c r="AN20" t="inlineStr">
        <is>
          <t xml:space="preserve">SETEMBRO · 2026</t>
        </is>
      </c>
    </row>
    <row r="21">
      <c r="A21">
        <v>10</v>
      </c>
      <c r="B21" s="152">
        <f>IF(ISNUMBER($A21),$C$7+$A21-1,"")</f>
        <v>46275</v>
      </c>
      <c r="C21">
        <f>IF($B$2="Todos",SUMIFS(Base!$C$3:$C$5001,Base!$A$3:$A$5001,$B21),SUMIFS(Base!$C$3:$C$5001,Base!$A$3:$A$5001,$B21,Base!$B$3:$B$5001,$B$2))</f>
        <v>0</v>
      </c>
      <c r="D21">
        <f>IF($B$2="Todos",SUMIFS(Base!$D$3:$D$5001,Base!$A$3:$A$5001,$B21),SUMIFS(Base!$D$3:$D$5001,Base!$A$3:$A$5001,$B21,Base!$B$3:$B$5001,$B$2))</f>
        <v>0</v>
      </c>
      <c r="E21">
        <f>IF($B$2="Todos",SUMIFS(Base!$E$3:$E$5001,Base!$A$3:$A$5001,$B21),SUMIFS(Base!$E$3:$E$5001,Base!$A$3:$A$5001,$B21,Base!$B$3:$B$5001,$B$2))</f>
        <v>0</v>
      </c>
      <c r="F21">
        <f>IF($B$2="Todos",SUMIFS(Base!$F$3:$F$5001,Base!$A$3:$A$5001,$B21),SUMIFS(Base!$F$3:$F$5001,Base!$A$3:$A$5001,$B21,Base!$B$3:$B$5001,$B$2))</f>
        <v>0</v>
      </c>
      <c r="G21">
        <f>IF($B$2="Todos",SUMIFS(Base!$G$3:$G$5001,Base!$A$3:$A$5001,$B21),SUMIFS(Base!$G$3:$G$5001,Base!$A$3:$A$5001,$B21,Base!$B$3:$B$5001,$B$2))</f>
        <v>0</v>
      </c>
      <c r="H21">
        <f>IF($B$2="Todos",SUMIFS(Base!$H$3:$H$5001,Base!$A$3:$A$5001,$B21),SUMIFS(Base!$H$3:$H$5001,Base!$A$3:$A$5001,$B21,Base!$B$3:$B$5001,$B$2))</f>
        <v>0</v>
      </c>
      <c r="I21">
        <f>IF($B$2="Todos",SUMIFS(Base!$I$3:$I$5001,Base!$A$3:$A$5001,$B21),SUMIFS(Base!$I$3:$I$5001,Base!$A$3:$A$5001,$B21,Base!$B$3:$B$5001,$B$2))</f>
        <v>0</v>
      </c>
      <c r="J21">
        <f>IF($B$2="Todos",SUMIFS(Base!$J$3:$J$5001,Base!$A$3:$A$5001,$B21),SUMIFS(Base!$J$3:$J$5001,Base!$A$3:$A$5001,$B21,Base!$B$3:$B$5001,$B$2))</f>
        <v>0</v>
      </c>
      <c r="K21">
        <f>IF($B$2="Todos",SUMIFS(Base!$K$3:$K$5001,Base!$A$3:$A$5001,$B21),SUMIFS(Base!$K$3:$K$5001,Base!$A$3:$A$5001,$B21,Base!$B$3:$B$5001,$B$2))</f>
        <v>0</v>
      </c>
      <c r="L21">
        <f>IF($B$2="Todos",SUMIFS(Base!$L$3:$L$5001,Base!$A$3:$A$5001,$B21),SUMIFS(Base!$L$3:$L$5001,Base!$A$3:$A$5001,$B21,Base!$B$3:$B$5001,$B$2))</f>
        <v>0</v>
      </c>
      <c r="M21">
        <f>IF($B$2="Todos",SUMIFS(Base!$M$3:$M$5001,Base!$A$3:$A$5001,$B21),SUMIFS(Base!$M$3:$M$5001,Base!$A$3:$A$5001,$B21,Base!$B$3:$B$5001,$B$2))</f>
        <v>0</v>
      </c>
      <c r="N21">
        <f>IF($B$2="Todos",SUMIFS(Base!$N$3:$N$5001,Base!$A$3:$A$5001,$B21),SUMIFS(Base!$N$3:$N$5001,Base!$A$3:$A$5001,$B21,Base!$B$3:$B$5001,$B$2))</f>
        <v>0</v>
      </c>
      <c r="O21">
        <f>IF($B$2="Todos",SUMIFS(Base!$O$3:$O$5001,Base!$A$3:$A$5001,$B21),SUMIFS(Base!$O$3:$O$5001,Base!$A$3:$A$5001,$B21,Base!$B$3:$B$5001,$B$2))</f>
        <v>0</v>
      </c>
      <c r="P21">
        <f>IF($B$2="Todos",SUMIFS(Base!$P$3:$P$5001,Base!$A$3:$A$5001,$B21),SUMIFS(Base!$P$3:$P$5001,Base!$A$3:$A$5001,$B21,Base!$B$3:$B$5001,$B$2))</f>
        <v>0</v>
      </c>
      <c r="Q21">
        <f>IF($B$2="Todos",SUMIFS(Base!$Q$3:$Q$5001,Base!$A$3:$A$5001,$B21),SUMIFS(Base!$Q$3:$Q$5001,Base!$A$3:$A$5001,$B21,Base!$B$3:$B$5001,$B$2))</f>
        <v>0</v>
      </c>
      <c r="R21">
        <f>IF($B$2="Todos",SUMIFS(Base!$R$3:$R$5001,Base!$A$3:$A$5001,$B21),SUMIFS(Base!$R$3:$R$5001,Base!$A$3:$A$5001,$B21,Base!$B$3:$B$5001,$B$2))</f>
        <v>0</v>
      </c>
      <c r="S21">
        <f>IF($B$2="Todos",SUMIFS(Base!$S$3:$S$5001,Base!$A$3:$A$5001,$B21),SUMIFS(Base!$S$3:$S$5001,Base!$A$3:$A$5001,$B21,Base!$B$3:$B$5001,$B$2))</f>
        <v>0</v>
      </c>
      <c r="T21">
        <f>IF($B$2="Todos",SUMIFS(Base!$T$3:$T$5001,Base!$A$3:$A$5001,$B21),SUMIFS(Base!$T$3:$T$5001,Base!$A$3:$A$5001,$B21,Base!$B$3:$B$5001,$B$2))</f>
        <v>0</v>
      </c>
      <c r="U21">
        <f>IF($B$2="Todos",SUMIFS(Base!$U$3:$U$5001,Base!$A$3:$A$5001,$B21),SUMIFS(Base!$U$3:$U$5001,Base!$A$3:$A$5001,$B21,Base!$B$3:$B$5001,$B$2))</f>
        <v>0</v>
      </c>
      <c r="V21">
        <f>IF($B$2="Todos",SUMIFS(Base!$V$3:$V$5001,Base!$A$3:$A$5001,$B21),SUMIFS(Base!$V$3:$V$5001,Base!$A$3:$A$5001,$B21,Base!$B$3:$B$5001,$B$2))</f>
        <v>0</v>
      </c>
      <c r="W21" t="str">
        <f>IF($B$2="Todos",IF(COUNT($C$137:$K$137)=0,"",SUM($C$137:$K$137)),IFERROR(INDEX($C$137:$K$137,MATCH($B$2,$C$127:$K$127,0)),""))</f>
        <v/>
      </c>
      <c r="X21" t="str">
        <f>IF(Y21="","",IF($B$2="Todos",IF(ISNUMBER($B$4),$B$4,IF(COUNT($C$172:$K$172)=0,"",SUM($C$172:$K$172))),IFERROR(INDEX($C$172:$K$172,MATCH($B$2,$C$162:$K$162,0)),"")))</f>
        <v/>
      </c>
      <c r="Y21" t="str">
        <f>IF($B$2="Todos",IF(COUNT($C$207:$K$207)=0,"",SUM($C$207:$K$207)),IFERROR(INDEX($C$207:$K$207,MATCH($B$2,$C$197:$K$197,0)),""))</f>
        <v/>
      </c>
      <c r="Z21" t="str">
        <f>IF(AND(ISNUMBER(Y21),ISNUMBER(X21)),IF(X21&gt;0,Y21/X21,""),"")</f>
        <v/>
      </c>
      <c r="AA21" t="str">
        <f>IF($B$2="Todos",IF(COUNT($C$242:$K$242)=0,"",SUM($C$242:$K$242)),IFERROR(INDEX($C$242:$K$242,MATCH($B$2,$C$232:$K$232,0)),""))</f>
        <v/>
      </c>
      <c r="AB21">
        <f>IF($B$2="Todos",SUMIFS(Base!$AA$3:$AA$5001,Base!$A$3:$A$5001,$B21),SUMIFS(Base!$AA$3:$AA$5001,Base!$A$3:$A$5001,$B21,Base!$B$3:$B$5001,$B$2))</f>
        <v>0</v>
      </c>
      <c r="AC21">
        <f>IF($B$2="Todos",SUMIFS(Base!$AB$3:$AB$5001,Base!$A$3:$A$5001,$B21),SUMIFS(Base!$AB$3:$AB$5001,Base!$A$3:$A$5001,$B21,Base!$B$3:$B$5001,$B$2))</f>
        <v>0</v>
      </c>
      <c r="AD21">
        <f>IF($B$2="Todos",SUMIFS(Base!$AC$3:$AC$5001,Base!$A$3:$A$5001,$B21),SUMIFS(Base!$AC$3:$AC$5001,Base!$A$3:$A$5001,$B21,Base!$B$3:$B$5001,$B$2))</f>
        <v>0</v>
      </c>
      <c r="AE21">
        <f>IF($B$2="Todos",SUMIFS(Base!$AD$3:$AD$5001,Base!$A$3:$A$5001,$B21),SUMIFS(Base!$AD$3:$AD$5001,Base!$A$3:$A$5001,$B21,Base!$B$3:$B$5001,$B$2))</f>
        <v>0</v>
      </c>
      <c r="AG21">
        <f>IFERROR(N(INDEX($C21:$AE21,MATCH($B$3,$C$11:$AE$11,0))),0)</f>
        <v>0</v>
      </c>
      <c r="AH21">
        <f>IFERROR(N(INDEX($C21:$AE21,MATCH($C$3,$C$11:$AE$11,0))),0)</f>
        <v>0</v>
      </c>
      <c r="AI21">
        <f>$B$5</f>
        <v>0.7</v>
      </c>
      <c r="AJ21">
        <f>$B$6</f>
        <v>0.9</v>
      </c>
      <c r="AL21" t="inlineStr">
        <is>
          <t xml:space="preserve">ALPARGATAS</t>
        </is>
      </c>
      <c r="AN21" t="inlineStr">
        <is>
          <t xml:space="preserve">OUTUBRO · 2026</t>
        </is>
      </c>
    </row>
    <row r="22">
      <c r="A22">
        <v>11</v>
      </c>
      <c r="B22" s="152">
        <f>IF(ISNUMBER($A22),$C$7+$A22-1,"")</f>
        <v>46276</v>
      </c>
      <c r="C22">
        <f>IF($B$2="Todos",SUMIFS(Base!$C$3:$C$5001,Base!$A$3:$A$5001,$B22),SUMIFS(Base!$C$3:$C$5001,Base!$A$3:$A$5001,$B22,Base!$B$3:$B$5001,$B$2))</f>
        <v>0</v>
      </c>
      <c r="D22">
        <f>IF($B$2="Todos",SUMIFS(Base!$D$3:$D$5001,Base!$A$3:$A$5001,$B22),SUMIFS(Base!$D$3:$D$5001,Base!$A$3:$A$5001,$B22,Base!$B$3:$B$5001,$B$2))</f>
        <v>0</v>
      </c>
      <c r="E22">
        <f>IF($B$2="Todos",SUMIFS(Base!$E$3:$E$5001,Base!$A$3:$A$5001,$B22),SUMIFS(Base!$E$3:$E$5001,Base!$A$3:$A$5001,$B22,Base!$B$3:$B$5001,$B$2))</f>
        <v>0</v>
      </c>
      <c r="F22">
        <f>IF($B$2="Todos",SUMIFS(Base!$F$3:$F$5001,Base!$A$3:$A$5001,$B22),SUMIFS(Base!$F$3:$F$5001,Base!$A$3:$A$5001,$B22,Base!$B$3:$B$5001,$B$2))</f>
        <v>0</v>
      </c>
      <c r="G22">
        <f>IF($B$2="Todos",SUMIFS(Base!$G$3:$G$5001,Base!$A$3:$A$5001,$B22),SUMIFS(Base!$G$3:$G$5001,Base!$A$3:$A$5001,$B22,Base!$B$3:$B$5001,$B$2))</f>
        <v>0</v>
      </c>
      <c r="H22">
        <f>IF($B$2="Todos",SUMIFS(Base!$H$3:$H$5001,Base!$A$3:$A$5001,$B22),SUMIFS(Base!$H$3:$H$5001,Base!$A$3:$A$5001,$B22,Base!$B$3:$B$5001,$B$2))</f>
        <v>0</v>
      </c>
      <c r="I22">
        <f>IF($B$2="Todos",SUMIFS(Base!$I$3:$I$5001,Base!$A$3:$A$5001,$B22),SUMIFS(Base!$I$3:$I$5001,Base!$A$3:$A$5001,$B22,Base!$B$3:$B$5001,$B$2))</f>
        <v>0</v>
      </c>
      <c r="J22">
        <f>IF($B$2="Todos",SUMIFS(Base!$J$3:$J$5001,Base!$A$3:$A$5001,$B22),SUMIFS(Base!$J$3:$J$5001,Base!$A$3:$A$5001,$B22,Base!$B$3:$B$5001,$B$2))</f>
        <v>0</v>
      </c>
      <c r="K22">
        <f>IF($B$2="Todos",SUMIFS(Base!$K$3:$K$5001,Base!$A$3:$A$5001,$B22),SUMIFS(Base!$K$3:$K$5001,Base!$A$3:$A$5001,$B22,Base!$B$3:$B$5001,$B$2))</f>
        <v>0</v>
      </c>
      <c r="L22">
        <f>IF($B$2="Todos",SUMIFS(Base!$L$3:$L$5001,Base!$A$3:$A$5001,$B22),SUMIFS(Base!$L$3:$L$5001,Base!$A$3:$A$5001,$B22,Base!$B$3:$B$5001,$B$2))</f>
        <v>0</v>
      </c>
      <c r="M22">
        <f>IF($B$2="Todos",SUMIFS(Base!$M$3:$M$5001,Base!$A$3:$A$5001,$B22),SUMIFS(Base!$M$3:$M$5001,Base!$A$3:$A$5001,$B22,Base!$B$3:$B$5001,$B$2))</f>
        <v>0</v>
      </c>
      <c r="N22">
        <f>IF($B$2="Todos",SUMIFS(Base!$N$3:$N$5001,Base!$A$3:$A$5001,$B22),SUMIFS(Base!$N$3:$N$5001,Base!$A$3:$A$5001,$B22,Base!$B$3:$B$5001,$B$2))</f>
        <v>0</v>
      </c>
      <c r="O22">
        <f>IF($B$2="Todos",SUMIFS(Base!$O$3:$O$5001,Base!$A$3:$A$5001,$B22),SUMIFS(Base!$O$3:$O$5001,Base!$A$3:$A$5001,$B22,Base!$B$3:$B$5001,$B$2))</f>
        <v>0</v>
      </c>
      <c r="P22">
        <f>IF($B$2="Todos",SUMIFS(Base!$P$3:$P$5001,Base!$A$3:$A$5001,$B22),SUMIFS(Base!$P$3:$P$5001,Base!$A$3:$A$5001,$B22,Base!$B$3:$B$5001,$B$2))</f>
        <v>0</v>
      </c>
      <c r="Q22">
        <f>IF($B$2="Todos",SUMIFS(Base!$Q$3:$Q$5001,Base!$A$3:$A$5001,$B22),SUMIFS(Base!$Q$3:$Q$5001,Base!$A$3:$A$5001,$B22,Base!$B$3:$B$5001,$B$2))</f>
        <v>0</v>
      </c>
      <c r="R22">
        <f>IF($B$2="Todos",SUMIFS(Base!$R$3:$R$5001,Base!$A$3:$A$5001,$B22),SUMIFS(Base!$R$3:$R$5001,Base!$A$3:$A$5001,$B22,Base!$B$3:$B$5001,$B$2))</f>
        <v>0</v>
      </c>
      <c r="S22">
        <f>IF($B$2="Todos",SUMIFS(Base!$S$3:$S$5001,Base!$A$3:$A$5001,$B22),SUMIFS(Base!$S$3:$S$5001,Base!$A$3:$A$5001,$B22,Base!$B$3:$B$5001,$B$2))</f>
        <v>0</v>
      </c>
      <c r="T22">
        <f>IF($B$2="Todos",SUMIFS(Base!$T$3:$T$5001,Base!$A$3:$A$5001,$B22),SUMIFS(Base!$T$3:$T$5001,Base!$A$3:$A$5001,$B22,Base!$B$3:$B$5001,$B$2))</f>
        <v>0</v>
      </c>
      <c r="U22">
        <f>IF($B$2="Todos",SUMIFS(Base!$U$3:$U$5001,Base!$A$3:$A$5001,$B22),SUMIFS(Base!$U$3:$U$5001,Base!$A$3:$A$5001,$B22,Base!$B$3:$B$5001,$B$2))</f>
        <v>0</v>
      </c>
      <c r="V22">
        <f>IF($B$2="Todos",SUMIFS(Base!$V$3:$V$5001,Base!$A$3:$A$5001,$B22),SUMIFS(Base!$V$3:$V$5001,Base!$A$3:$A$5001,$B22,Base!$B$3:$B$5001,$B$2))</f>
        <v>0</v>
      </c>
      <c r="W22" t="str">
        <f>IF($B$2="Todos",IF(COUNT($C$138:$K$138)=0,"",SUM($C$138:$K$138)),IFERROR(INDEX($C$138:$K$138,MATCH($B$2,$C$127:$K$127,0)),""))</f>
        <v/>
      </c>
      <c r="X22" t="str">
        <f>IF(Y22="","",IF($B$2="Todos",IF(ISNUMBER($B$4),$B$4,IF(COUNT($C$173:$K$173)=0,"",SUM($C$173:$K$173))),IFERROR(INDEX($C$173:$K$173,MATCH($B$2,$C$162:$K$162,0)),"")))</f>
        <v/>
      </c>
      <c r="Y22" t="str">
        <f>IF($B$2="Todos",IF(COUNT($C$208:$K$208)=0,"",SUM($C$208:$K$208)),IFERROR(INDEX($C$208:$K$208,MATCH($B$2,$C$197:$K$197,0)),""))</f>
        <v/>
      </c>
      <c r="Z22" t="str">
        <f>IF(AND(ISNUMBER(Y22),ISNUMBER(X22)),IF(X22&gt;0,Y22/X22,""),"")</f>
        <v/>
      </c>
      <c r="AA22" t="str">
        <f>IF($B$2="Todos",IF(COUNT($C$243:$K$243)=0,"",SUM($C$243:$K$243)),IFERROR(INDEX($C$243:$K$243,MATCH($B$2,$C$232:$K$232,0)),""))</f>
        <v/>
      </c>
      <c r="AB22">
        <f>IF($B$2="Todos",SUMIFS(Base!$AA$3:$AA$5001,Base!$A$3:$A$5001,$B22),SUMIFS(Base!$AA$3:$AA$5001,Base!$A$3:$A$5001,$B22,Base!$B$3:$B$5001,$B$2))</f>
        <v>0</v>
      </c>
      <c r="AC22">
        <f>IF($B$2="Todos",SUMIFS(Base!$AB$3:$AB$5001,Base!$A$3:$A$5001,$B22),SUMIFS(Base!$AB$3:$AB$5001,Base!$A$3:$A$5001,$B22,Base!$B$3:$B$5001,$B$2))</f>
        <v>0</v>
      </c>
      <c r="AD22">
        <f>IF($B$2="Todos",SUMIFS(Base!$AC$3:$AC$5001,Base!$A$3:$A$5001,$B22),SUMIFS(Base!$AC$3:$AC$5001,Base!$A$3:$A$5001,$B22,Base!$B$3:$B$5001,$B$2))</f>
        <v>0</v>
      </c>
      <c r="AE22">
        <f>IF($B$2="Todos",SUMIFS(Base!$AD$3:$AD$5001,Base!$A$3:$A$5001,$B22),SUMIFS(Base!$AD$3:$AD$5001,Base!$A$3:$A$5001,$B22,Base!$B$3:$B$5001,$B$2))</f>
        <v>0</v>
      </c>
      <c r="AG22">
        <f>IFERROR(N(INDEX($C22:$AE22,MATCH($B$3,$C$11:$AE$11,0))),0)</f>
        <v>0</v>
      </c>
      <c r="AH22">
        <f>IFERROR(N(INDEX($C22:$AE22,MATCH($C$3,$C$11:$AE$11,0))),0)</f>
        <v>0</v>
      </c>
      <c r="AI22">
        <f>$B$5</f>
        <v>0.7</v>
      </c>
      <c r="AJ22">
        <f>$B$6</f>
        <v>0.9</v>
      </c>
      <c r="AN22" t="inlineStr">
        <is>
          <t xml:space="preserve">NOVEMBRO · 2026</t>
        </is>
      </c>
    </row>
    <row r="23">
      <c r="A23">
        <v>12</v>
      </c>
      <c r="B23" s="152">
        <f>IF(ISNUMBER($A23),$C$7+$A23-1,"")</f>
        <v>46277</v>
      </c>
      <c r="C23">
        <f>IF($B$2="Todos",SUMIFS(Base!$C$3:$C$5001,Base!$A$3:$A$5001,$B23),SUMIFS(Base!$C$3:$C$5001,Base!$A$3:$A$5001,$B23,Base!$B$3:$B$5001,$B$2))</f>
        <v>0</v>
      </c>
      <c r="D23">
        <f>IF($B$2="Todos",SUMIFS(Base!$D$3:$D$5001,Base!$A$3:$A$5001,$B23),SUMIFS(Base!$D$3:$D$5001,Base!$A$3:$A$5001,$B23,Base!$B$3:$B$5001,$B$2))</f>
        <v>0</v>
      </c>
      <c r="E23">
        <f>IF($B$2="Todos",SUMIFS(Base!$E$3:$E$5001,Base!$A$3:$A$5001,$B23),SUMIFS(Base!$E$3:$E$5001,Base!$A$3:$A$5001,$B23,Base!$B$3:$B$5001,$B$2))</f>
        <v>0</v>
      </c>
      <c r="F23">
        <f>IF($B$2="Todos",SUMIFS(Base!$F$3:$F$5001,Base!$A$3:$A$5001,$B23),SUMIFS(Base!$F$3:$F$5001,Base!$A$3:$A$5001,$B23,Base!$B$3:$B$5001,$B$2))</f>
        <v>0</v>
      </c>
      <c r="G23">
        <f>IF($B$2="Todos",SUMIFS(Base!$G$3:$G$5001,Base!$A$3:$A$5001,$B23),SUMIFS(Base!$G$3:$G$5001,Base!$A$3:$A$5001,$B23,Base!$B$3:$B$5001,$B$2))</f>
        <v>0</v>
      </c>
      <c r="H23">
        <f>IF($B$2="Todos",SUMIFS(Base!$H$3:$H$5001,Base!$A$3:$A$5001,$B23),SUMIFS(Base!$H$3:$H$5001,Base!$A$3:$A$5001,$B23,Base!$B$3:$B$5001,$B$2))</f>
        <v>0</v>
      </c>
      <c r="I23">
        <f>IF($B$2="Todos",SUMIFS(Base!$I$3:$I$5001,Base!$A$3:$A$5001,$B23),SUMIFS(Base!$I$3:$I$5001,Base!$A$3:$A$5001,$B23,Base!$B$3:$B$5001,$B$2))</f>
        <v>0</v>
      </c>
      <c r="J23">
        <f>IF($B$2="Todos",SUMIFS(Base!$J$3:$J$5001,Base!$A$3:$A$5001,$B23),SUMIFS(Base!$J$3:$J$5001,Base!$A$3:$A$5001,$B23,Base!$B$3:$B$5001,$B$2))</f>
        <v>0</v>
      </c>
      <c r="K23">
        <f>IF($B$2="Todos",SUMIFS(Base!$K$3:$K$5001,Base!$A$3:$A$5001,$B23),SUMIFS(Base!$K$3:$K$5001,Base!$A$3:$A$5001,$B23,Base!$B$3:$B$5001,$B$2))</f>
        <v>0</v>
      </c>
      <c r="L23">
        <f>IF($B$2="Todos",SUMIFS(Base!$L$3:$L$5001,Base!$A$3:$A$5001,$B23),SUMIFS(Base!$L$3:$L$5001,Base!$A$3:$A$5001,$B23,Base!$B$3:$B$5001,$B$2))</f>
        <v>0</v>
      </c>
      <c r="M23">
        <f>IF($B$2="Todos",SUMIFS(Base!$M$3:$M$5001,Base!$A$3:$A$5001,$B23),SUMIFS(Base!$M$3:$M$5001,Base!$A$3:$A$5001,$B23,Base!$B$3:$B$5001,$B$2))</f>
        <v>0</v>
      </c>
      <c r="N23">
        <f>IF($B$2="Todos",SUMIFS(Base!$N$3:$N$5001,Base!$A$3:$A$5001,$B23),SUMIFS(Base!$N$3:$N$5001,Base!$A$3:$A$5001,$B23,Base!$B$3:$B$5001,$B$2))</f>
        <v>0</v>
      </c>
      <c r="O23">
        <f>IF($B$2="Todos",SUMIFS(Base!$O$3:$O$5001,Base!$A$3:$A$5001,$B23),SUMIFS(Base!$O$3:$O$5001,Base!$A$3:$A$5001,$B23,Base!$B$3:$B$5001,$B$2))</f>
        <v>0</v>
      </c>
      <c r="P23">
        <f>IF($B$2="Todos",SUMIFS(Base!$P$3:$P$5001,Base!$A$3:$A$5001,$B23),SUMIFS(Base!$P$3:$P$5001,Base!$A$3:$A$5001,$B23,Base!$B$3:$B$5001,$B$2))</f>
        <v>0</v>
      </c>
      <c r="Q23">
        <f>IF($B$2="Todos",SUMIFS(Base!$Q$3:$Q$5001,Base!$A$3:$A$5001,$B23),SUMIFS(Base!$Q$3:$Q$5001,Base!$A$3:$A$5001,$B23,Base!$B$3:$B$5001,$B$2))</f>
        <v>0</v>
      </c>
      <c r="R23">
        <f>IF($B$2="Todos",SUMIFS(Base!$R$3:$R$5001,Base!$A$3:$A$5001,$B23),SUMIFS(Base!$R$3:$R$5001,Base!$A$3:$A$5001,$B23,Base!$B$3:$B$5001,$B$2))</f>
        <v>0</v>
      </c>
      <c r="S23">
        <f>IF($B$2="Todos",SUMIFS(Base!$S$3:$S$5001,Base!$A$3:$A$5001,$B23),SUMIFS(Base!$S$3:$S$5001,Base!$A$3:$A$5001,$B23,Base!$B$3:$B$5001,$B$2))</f>
        <v>0</v>
      </c>
      <c r="T23">
        <f>IF($B$2="Todos",SUMIFS(Base!$T$3:$T$5001,Base!$A$3:$A$5001,$B23),SUMIFS(Base!$T$3:$T$5001,Base!$A$3:$A$5001,$B23,Base!$B$3:$B$5001,$B$2))</f>
        <v>0</v>
      </c>
      <c r="U23">
        <f>IF($B$2="Todos",SUMIFS(Base!$U$3:$U$5001,Base!$A$3:$A$5001,$B23),SUMIFS(Base!$U$3:$U$5001,Base!$A$3:$A$5001,$B23,Base!$B$3:$B$5001,$B$2))</f>
        <v>0</v>
      </c>
      <c r="V23">
        <f>IF($B$2="Todos",SUMIFS(Base!$V$3:$V$5001,Base!$A$3:$A$5001,$B23),SUMIFS(Base!$V$3:$V$5001,Base!$A$3:$A$5001,$B23,Base!$B$3:$B$5001,$B$2))</f>
        <v>0</v>
      </c>
      <c r="W23" t="str">
        <f>IF($B$2="Todos",IF(COUNT($C$139:$K$139)=0,"",SUM($C$139:$K$139)),IFERROR(INDEX($C$139:$K$139,MATCH($B$2,$C$127:$K$127,0)),""))</f>
        <v/>
      </c>
      <c r="X23" t="str">
        <f>IF(Y23="","",IF($B$2="Todos",IF(ISNUMBER($B$4),$B$4,IF(COUNT($C$174:$K$174)=0,"",SUM($C$174:$K$174))),IFERROR(INDEX($C$174:$K$174,MATCH($B$2,$C$162:$K$162,0)),"")))</f>
        <v/>
      </c>
      <c r="Y23" t="str">
        <f>IF($B$2="Todos",IF(COUNT($C$209:$K$209)=0,"",SUM($C$209:$K$209)),IFERROR(INDEX($C$209:$K$209,MATCH($B$2,$C$197:$K$197,0)),""))</f>
        <v/>
      </c>
      <c r="Z23" t="str">
        <f>IF(AND(ISNUMBER(Y23),ISNUMBER(X23)),IF(X23&gt;0,Y23/X23,""),"")</f>
        <v/>
      </c>
      <c r="AA23" t="str">
        <f>IF($B$2="Todos",IF(COUNT($C$244:$K$244)=0,"",SUM($C$244:$K$244)),IFERROR(INDEX($C$244:$K$244,MATCH($B$2,$C$232:$K$232,0)),""))</f>
        <v/>
      </c>
      <c r="AB23">
        <f>IF($B$2="Todos",SUMIFS(Base!$AA$3:$AA$5001,Base!$A$3:$A$5001,$B23),SUMIFS(Base!$AA$3:$AA$5001,Base!$A$3:$A$5001,$B23,Base!$B$3:$B$5001,$B$2))</f>
        <v>0</v>
      </c>
      <c r="AC23">
        <f>IF($B$2="Todos",SUMIFS(Base!$AB$3:$AB$5001,Base!$A$3:$A$5001,$B23),SUMIFS(Base!$AB$3:$AB$5001,Base!$A$3:$A$5001,$B23,Base!$B$3:$B$5001,$B$2))</f>
        <v>0</v>
      </c>
      <c r="AD23">
        <f>IF($B$2="Todos",SUMIFS(Base!$AC$3:$AC$5001,Base!$A$3:$A$5001,$B23),SUMIFS(Base!$AC$3:$AC$5001,Base!$A$3:$A$5001,$B23,Base!$B$3:$B$5001,$B$2))</f>
        <v>0</v>
      </c>
      <c r="AE23">
        <f>IF($B$2="Todos",SUMIFS(Base!$AD$3:$AD$5001,Base!$A$3:$A$5001,$B23),SUMIFS(Base!$AD$3:$AD$5001,Base!$A$3:$A$5001,$B23,Base!$B$3:$B$5001,$B$2))</f>
        <v>0</v>
      </c>
      <c r="AG23">
        <f>IFERROR(N(INDEX($C23:$AE23,MATCH($B$3,$C$11:$AE$11,0))),0)</f>
        <v>0</v>
      </c>
      <c r="AH23">
        <f>IFERROR(N(INDEX($C23:$AE23,MATCH($C$3,$C$11:$AE$11,0))),0)</f>
        <v>0</v>
      </c>
      <c r="AI23">
        <f>$B$5</f>
        <v>0.7</v>
      </c>
      <c r="AJ23">
        <f>$B$6</f>
        <v>0.9</v>
      </c>
      <c r="AN23" t="inlineStr">
        <is>
          <t xml:space="preserve">DEZEMBRO · 2026</t>
        </is>
      </c>
    </row>
    <row r="24">
      <c r="A24">
        <v>13</v>
      </c>
      <c r="B24" s="152">
        <f>IF(ISNUMBER($A24),$C$7+$A24-1,"")</f>
        <v>46278</v>
      </c>
      <c r="C24">
        <f>IF($B$2="Todos",SUMIFS(Base!$C$3:$C$5001,Base!$A$3:$A$5001,$B24),SUMIFS(Base!$C$3:$C$5001,Base!$A$3:$A$5001,$B24,Base!$B$3:$B$5001,$B$2))</f>
        <v>0</v>
      </c>
      <c r="D24">
        <f>IF($B$2="Todos",SUMIFS(Base!$D$3:$D$5001,Base!$A$3:$A$5001,$B24),SUMIFS(Base!$D$3:$D$5001,Base!$A$3:$A$5001,$B24,Base!$B$3:$B$5001,$B$2))</f>
        <v>0</v>
      </c>
      <c r="E24">
        <f>IF($B$2="Todos",SUMIFS(Base!$E$3:$E$5001,Base!$A$3:$A$5001,$B24),SUMIFS(Base!$E$3:$E$5001,Base!$A$3:$A$5001,$B24,Base!$B$3:$B$5001,$B$2))</f>
        <v>0</v>
      </c>
      <c r="F24">
        <f>IF($B$2="Todos",SUMIFS(Base!$F$3:$F$5001,Base!$A$3:$A$5001,$B24),SUMIFS(Base!$F$3:$F$5001,Base!$A$3:$A$5001,$B24,Base!$B$3:$B$5001,$B$2))</f>
        <v>0</v>
      </c>
      <c r="G24">
        <f>IF($B$2="Todos",SUMIFS(Base!$G$3:$G$5001,Base!$A$3:$A$5001,$B24),SUMIFS(Base!$G$3:$G$5001,Base!$A$3:$A$5001,$B24,Base!$B$3:$B$5001,$B$2))</f>
        <v>0</v>
      </c>
      <c r="H24">
        <f>IF($B$2="Todos",SUMIFS(Base!$H$3:$H$5001,Base!$A$3:$A$5001,$B24),SUMIFS(Base!$H$3:$H$5001,Base!$A$3:$A$5001,$B24,Base!$B$3:$B$5001,$B$2))</f>
        <v>0</v>
      </c>
      <c r="I24">
        <f>IF($B$2="Todos",SUMIFS(Base!$I$3:$I$5001,Base!$A$3:$A$5001,$B24),SUMIFS(Base!$I$3:$I$5001,Base!$A$3:$A$5001,$B24,Base!$B$3:$B$5001,$B$2))</f>
        <v>0</v>
      </c>
      <c r="J24">
        <f>IF($B$2="Todos",SUMIFS(Base!$J$3:$J$5001,Base!$A$3:$A$5001,$B24),SUMIFS(Base!$J$3:$J$5001,Base!$A$3:$A$5001,$B24,Base!$B$3:$B$5001,$B$2))</f>
        <v>0</v>
      </c>
      <c r="K24">
        <f>IF($B$2="Todos",SUMIFS(Base!$K$3:$K$5001,Base!$A$3:$A$5001,$B24),SUMIFS(Base!$K$3:$K$5001,Base!$A$3:$A$5001,$B24,Base!$B$3:$B$5001,$B$2))</f>
        <v>0</v>
      </c>
      <c r="L24">
        <f>IF($B$2="Todos",SUMIFS(Base!$L$3:$L$5001,Base!$A$3:$A$5001,$B24),SUMIFS(Base!$L$3:$L$5001,Base!$A$3:$A$5001,$B24,Base!$B$3:$B$5001,$B$2))</f>
        <v>0</v>
      </c>
      <c r="M24">
        <f>IF($B$2="Todos",SUMIFS(Base!$M$3:$M$5001,Base!$A$3:$A$5001,$B24),SUMIFS(Base!$M$3:$M$5001,Base!$A$3:$A$5001,$B24,Base!$B$3:$B$5001,$B$2))</f>
        <v>0</v>
      </c>
      <c r="N24">
        <f>IF($B$2="Todos",SUMIFS(Base!$N$3:$N$5001,Base!$A$3:$A$5001,$B24),SUMIFS(Base!$N$3:$N$5001,Base!$A$3:$A$5001,$B24,Base!$B$3:$B$5001,$B$2))</f>
        <v>0</v>
      </c>
      <c r="O24">
        <f>IF($B$2="Todos",SUMIFS(Base!$O$3:$O$5001,Base!$A$3:$A$5001,$B24),SUMIFS(Base!$O$3:$O$5001,Base!$A$3:$A$5001,$B24,Base!$B$3:$B$5001,$B$2))</f>
        <v>0</v>
      </c>
      <c r="P24">
        <f>IF($B$2="Todos",SUMIFS(Base!$P$3:$P$5001,Base!$A$3:$A$5001,$B24),SUMIFS(Base!$P$3:$P$5001,Base!$A$3:$A$5001,$B24,Base!$B$3:$B$5001,$B$2))</f>
        <v>0</v>
      </c>
      <c r="Q24">
        <f>IF($B$2="Todos",SUMIFS(Base!$Q$3:$Q$5001,Base!$A$3:$A$5001,$B24),SUMIFS(Base!$Q$3:$Q$5001,Base!$A$3:$A$5001,$B24,Base!$B$3:$B$5001,$B$2))</f>
        <v>0</v>
      </c>
      <c r="R24">
        <f>IF($B$2="Todos",SUMIFS(Base!$R$3:$R$5001,Base!$A$3:$A$5001,$B24),SUMIFS(Base!$R$3:$R$5001,Base!$A$3:$A$5001,$B24,Base!$B$3:$B$5001,$B$2))</f>
        <v>0</v>
      </c>
      <c r="S24">
        <f>IF($B$2="Todos",SUMIFS(Base!$S$3:$S$5001,Base!$A$3:$A$5001,$B24),SUMIFS(Base!$S$3:$S$5001,Base!$A$3:$A$5001,$B24,Base!$B$3:$B$5001,$B$2))</f>
        <v>0</v>
      </c>
      <c r="T24">
        <f>IF($B$2="Todos",SUMIFS(Base!$T$3:$T$5001,Base!$A$3:$A$5001,$B24),SUMIFS(Base!$T$3:$T$5001,Base!$A$3:$A$5001,$B24,Base!$B$3:$B$5001,$B$2))</f>
        <v>0</v>
      </c>
      <c r="U24">
        <f>IF($B$2="Todos",SUMIFS(Base!$U$3:$U$5001,Base!$A$3:$A$5001,$B24),SUMIFS(Base!$U$3:$U$5001,Base!$A$3:$A$5001,$B24,Base!$B$3:$B$5001,$B$2))</f>
        <v>0</v>
      </c>
      <c r="V24">
        <f>IF($B$2="Todos",SUMIFS(Base!$V$3:$V$5001,Base!$A$3:$A$5001,$B24),SUMIFS(Base!$V$3:$V$5001,Base!$A$3:$A$5001,$B24,Base!$B$3:$B$5001,$B$2))</f>
        <v>0</v>
      </c>
      <c r="W24" t="str">
        <f>IF($B$2="Todos",IF(COUNT($C$140:$K$140)=0,"",SUM($C$140:$K$140)),IFERROR(INDEX($C$140:$K$140,MATCH($B$2,$C$127:$K$127,0)),""))</f>
        <v/>
      </c>
      <c r="X24" t="str">
        <f>IF(Y24="","",IF($B$2="Todos",IF(ISNUMBER($B$4),$B$4,IF(COUNT($C$175:$K$175)=0,"",SUM($C$175:$K$175))),IFERROR(INDEX($C$175:$K$175,MATCH($B$2,$C$162:$K$162,0)),"")))</f>
        <v/>
      </c>
      <c r="Y24" t="str">
        <f>IF($B$2="Todos",IF(COUNT($C$210:$K$210)=0,"",SUM($C$210:$K$210)),IFERROR(INDEX($C$210:$K$210,MATCH($B$2,$C$197:$K$197,0)),""))</f>
        <v/>
      </c>
      <c r="Z24" t="str">
        <f>IF(AND(ISNUMBER(Y24),ISNUMBER(X24)),IF(X24&gt;0,Y24/X24,""),"")</f>
        <v/>
      </c>
      <c r="AA24" t="str">
        <f>IF($B$2="Todos",IF(COUNT($C$245:$K$245)=0,"",SUM($C$245:$K$245)),IFERROR(INDEX($C$245:$K$245,MATCH($B$2,$C$232:$K$232,0)),""))</f>
        <v/>
      </c>
      <c r="AB24">
        <f>IF($B$2="Todos",SUMIFS(Base!$AA$3:$AA$5001,Base!$A$3:$A$5001,$B24),SUMIFS(Base!$AA$3:$AA$5001,Base!$A$3:$A$5001,$B24,Base!$B$3:$B$5001,$B$2))</f>
        <v>0</v>
      </c>
      <c r="AC24">
        <f>IF($B$2="Todos",SUMIFS(Base!$AB$3:$AB$5001,Base!$A$3:$A$5001,$B24),SUMIFS(Base!$AB$3:$AB$5001,Base!$A$3:$A$5001,$B24,Base!$B$3:$B$5001,$B$2))</f>
        <v>0</v>
      </c>
      <c r="AD24">
        <f>IF($B$2="Todos",SUMIFS(Base!$AC$3:$AC$5001,Base!$A$3:$A$5001,$B24),SUMIFS(Base!$AC$3:$AC$5001,Base!$A$3:$A$5001,$B24,Base!$B$3:$B$5001,$B$2))</f>
        <v>0</v>
      </c>
      <c r="AE24">
        <f>IF($B$2="Todos",SUMIFS(Base!$AD$3:$AD$5001,Base!$A$3:$A$5001,$B24),SUMIFS(Base!$AD$3:$AD$5001,Base!$A$3:$A$5001,$B24,Base!$B$3:$B$5001,$B$2))</f>
        <v>0</v>
      </c>
      <c r="AG24">
        <f>IFERROR(N(INDEX($C24:$AE24,MATCH($B$3,$C$11:$AE$11,0))),0)</f>
        <v>0</v>
      </c>
      <c r="AH24">
        <f>IFERROR(N(INDEX($C24:$AE24,MATCH($C$3,$C$11:$AE$11,0))),0)</f>
        <v>0</v>
      </c>
      <c r="AI24">
        <f>$B$5</f>
        <v>0.7</v>
      </c>
      <c r="AJ24">
        <f>$B$6</f>
        <v>0.9</v>
      </c>
      <c r="AN24" t="inlineStr">
        <is>
          <t xml:space="preserve">JANEIRO · 2027</t>
        </is>
      </c>
    </row>
    <row r="25">
      <c r="A25">
        <v>14</v>
      </c>
      <c r="B25" s="152">
        <f>IF(ISNUMBER($A25),$C$7+$A25-1,"")</f>
        <v>46279</v>
      </c>
      <c r="C25">
        <f>IF($B$2="Todos",SUMIFS(Base!$C$3:$C$5001,Base!$A$3:$A$5001,$B25),SUMIFS(Base!$C$3:$C$5001,Base!$A$3:$A$5001,$B25,Base!$B$3:$B$5001,$B$2))</f>
        <v>0</v>
      </c>
      <c r="D25">
        <f>IF($B$2="Todos",SUMIFS(Base!$D$3:$D$5001,Base!$A$3:$A$5001,$B25),SUMIFS(Base!$D$3:$D$5001,Base!$A$3:$A$5001,$B25,Base!$B$3:$B$5001,$B$2))</f>
        <v>0</v>
      </c>
      <c r="E25">
        <f>IF($B$2="Todos",SUMIFS(Base!$E$3:$E$5001,Base!$A$3:$A$5001,$B25),SUMIFS(Base!$E$3:$E$5001,Base!$A$3:$A$5001,$B25,Base!$B$3:$B$5001,$B$2))</f>
        <v>0</v>
      </c>
      <c r="F25">
        <f>IF($B$2="Todos",SUMIFS(Base!$F$3:$F$5001,Base!$A$3:$A$5001,$B25),SUMIFS(Base!$F$3:$F$5001,Base!$A$3:$A$5001,$B25,Base!$B$3:$B$5001,$B$2))</f>
        <v>0</v>
      </c>
      <c r="G25">
        <f>IF($B$2="Todos",SUMIFS(Base!$G$3:$G$5001,Base!$A$3:$A$5001,$B25),SUMIFS(Base!$G$3:$G$5001,Base!$A$3:$A$5001,$B25,Base!$B$3:$B$5001,$B$2))</f>
        <v>0</v>
      </c>
      <c r="H25">
        <f>IF($B$2="Todos",SUMIFS(Base!$H$3:$H$5001,Base!$A$3:$A$5001,$B25),SUMIFS(Base!$H$3:$H$5001,Base!$A$3:$A$5001,$B25,Base!$B$3:$B$5001,$B$2))</f>
        <v>0</v>
      </c>
      <c r="I25">
        <f>IF($B$2="Todos",SUMIFS(Base!$I$3:$I$5001,Base!$A$3:$A$5001,$B25),SUMIFS(Base!$I$3:$I$5001,Base!$A$3:$A$5001,$B25,Base!$B$3:$B$5001,$B$2))</f>
        <v>0</v>
      </c>
      <c r="J25">
        <f>IF($B$2="Todos",SUMIFS(Base!$J$3:$J$5001,Base!$A$3:$A$5001,$B25),SUMIFS(Base!$J$3:$J$5001,Base!$A$3:$A$5001,$B25,Base!$B$3:$B$5001,$B$2))</f>
        <v>0</v>
      </c>
      <c r="K25">
        <f>IF($B$2="Todos",SUMIFS(Base!$K$3:$K$5001,Base!$A$3:$A$5001,$B25),SUMIFS(Base!$K$3:$K$5001,Base!$A$3:$A$5001,$B25,Base!$B$3:$B$5001,$B$2))</f>
        <v>0</v>
      </c>
      <c r="L25">
        <f>IF($B$2="Todos",SUMIFS(Base!$L$3:$L$5001,Base!$A$3:$A$5001,$B25),SUMIFS(Base!$L$3:$L$5001,Base!$A$3:$A$5001,$B25,Base!$B$3:$B$5001,$B$2))</f>
        <v>0</v>
      </c>
      <c r="M25">
        <f>IF($B$2="Todos",SUMIFS(Base!$M$3:$M$5001,Base!$A$3:$A$5001,$B25),SUMIFS(Base!$M$3:$M$5001,Base!$A$3:$A$5001,$B25,Base!$B$3:$B$5001,$B$2))</f>
        <v>0</v>
      </c>
      <c r="N25">
        <f>IF($B$2="Todos",SUMIFS(Base!$N$3:$N$5001,Base!$A$3:$A$5001,$B25),SUMIFS(Base!$N$3:$N$5001,Base!$A$3:$A$5001,$B25,Base!$B$3:$B$5001,$B$2))</f>
        <v>0</v>
      </c>
      <c r="O25">
        <f>IF($B$2="Todos",SUMIFS(Base!$O$3:$O$5001,Base!$A$3:$A$5001,$B25),SUMIFS(Base!$O$3:$O$5001,Base!$A$3:$A$5001,$B25,Base!$B$3:$B$5001,$B$2))</f>
        <v>0</v>
      </c>
      <c r="P25">
        <f>IF($B$2="Todos",SUMIFS(Base!$P$3:$P$5001,Base!$A$3:$A$5001,$B25),SUMIFS(Base!$P$3:$P$5001,Base!$A$3:$A$5001,$B25,Base!$B$3:$B$5001,$B$2))</f>
        <v>0</v>
      </c>
      <c r="Q25">
        <f>IF($B$2="Todos",SUMIFS(Base!$Q$3:$Q$5001,Base!$A$3:$A$5001,$B25),SUMIFS(Base!$Q$3:$Q$5001,Base!$A$3:$A$5001,$B25,Base!$B$3:$B$5001,$B$2))</f>
        <v>0</v>
      </c>
      <c r="R25">
        <f>IF($B$2="Todos",SUMIFS(Base!$R$3:$R$5001,Base!$A$3:$A$5001,$B25),SUMIFS(Base!$R$3:$R$5001,Base!$A$3:$A$5001,$B25,Base!$B$3:$B$5001,$B$2))</f>
        <v>0</v>
      </c>
      <c r="S25">
        <f>IF($B$2="Todos",SUMIFS(Base!$S$3:$S$5001,Base!$A$3:$A$5001,$B25),SUMIFS(Base!$S$3:$S$5001,Base!$A$3:$A$5001,$B25,Base!$B$3:$B$5001,$B$2))</f>
        <v>0</v>
      </c>
      <c r="T25">
        <f>IF($B$2="Todos",SUMIFS(Base!$T$3:$T$5001,Base!$A$3:$A$5001,$B25),SUMIFS(Base!$T$3:$T$5001,Base!$A$3:$A$5001,$B25,Base!$B$3:$B$5001,$B$2))</f>
        <v>0</v>
      </c>
      <c r="U25">
        <f>IF($B$2="Todos",SUMIFS(Base!$U$3:$U$5001,Base!$A$3:$A$5001,$B25),SUMIFS(Base!$U$3:$U$5001,Base!$A$3:$A$5001,$B25,Base!$B$3:$B$5001,$B$2))</f>
        <v>0</v>
      </c>
      <c r="V25">
        <f>IF($B$2="Todos",SUMIFS(Base!$V$3:$V$5001,Base!$A$3:$A$5001,$B25),SUMIFS(Base!$V$3:$V$5001,Base!$A$3:$A$5001,$B25,Base!$B$3:$B$5001,$B$2))</f>
        <v>0</v>
      </c>
      <c r="W25" t="str">
        <f>IF($B$2="Todos",IF(COUNT($C$141:$K$141)=0,"",SUM($C$141:$K$141)),IFERROR(INDEX($C$141:$K$141,MATCH($B$2,$C$127:$K$127,0)),""))</f>
        <v/>
      </c>
      <c r="X25" t="str">
        <f>IF(Y25="","",IF($B$2="Todos",IF(ISNUMBER($B$4),$B$4,IF(COUNT($C$176:$K$176)=0,"",SUM($C$176:$K$176))),IFERROR(INDEX($C$176:$K$176,MATCH($B$2,$C$162:$K$162,0)),"")))</f>
        <v/>
      </c>
      <c r="Y25" t="str">
        <f>IF($B$2="Todos",IF(COUNT($C$211:$K$211)=0,"",SUM($C$211:$K$211)),IFERROR(INDEX($C$211:$K$211,MATCH($B$2,$C$197:$K$197,0)),""))</f>
        <v/>
      </c>
      <c r="Z25" t="str">
        <f>IF(AND(ISNUMBER(Y25),ISNUMBER(X25)),IF(X25&gt;0,Y25/X25,""),"")</f>
        <v/>
      </c>
      <c r="AA25" t="str">
        <f>IF($B$2="Todos",IF(COUNT($C$246:$K$246)=0,"",SUM($C$246:$K$246)),IFERROR(INDEX($C$246:$K$246,MATCH($B$2,$C$232:$K$232,0)),""))</f>
        <v/>
      </c>
      <c r="AB25">
        <f>IF($B$2="Todos",SUMIFS(Base!$AA$3:$AA$5001,Base!$A$3:$A$5001,$B25),SUMIFS(Base!$AA$3:$AA$5001,Base!$A$3:$A$5001,$B25,Base!$B$3:$B$5001,$B$2))</f>
        <v>0</v>
      </c>
      <c r="AC25">
        <f>IF($B$2="Todos",SUMIFS(Base!$AB$3:$AB$5001,Base!$A$3:$A$5001,$B25),SUMIFS(Base!$AB$3:$AB$5001,Base!$A$3:$A$5001,$B25,Base!$B$3:$B$5001,$B$2))</f>
        <v>0</v>
      </c>
      <c r="AD25">
        <f>IF($B$2="Todos",SUMIFS(Base!$AC$3:$AC$5001,Base!$A$3:$A$5001,$B25),SUMIFS(Base!$AC$3:$AC$5001,Base!$A$3:$A$5001,$B25,Base!$B$3:$B$5001,$B$2))</f>
        <v>0</v>
      </c>
      <c r="AE25">
        <f>IF($B$2="Todos",SUMIFS(Base!$AD$3:$AD$5001,Base!$A$3:$A$5001,$B25),SUMIFS(Base!$AD$3:$AD$5001,Base!$A$3:$A$5001,$B25,Base!$B$3:$B$5001,$B$2))</f>
        <v>0</v>
      </c>
      <c r="AG25">
        <f>IFERROR(N(INDEX($C25:$AE25,MATCH($B$3,$C$11:$AE$11,0))),0)</f>
        <v>0</v>
      </c>
      <c r="AH25">
        <f>IFERROR(N(INDEX($C25:$AE25,MATCH($C$3,$C$11:$AE$11,0))),0)</f>
        <v>0</v>
      </c>
      <c r="AI25">
        <f>$B$5</f>
        <v>0.7</v>
      </c>
      <c r="AJ25">
        <f>$B$6</f>
        <v>0.9</v>
      </c>
      <c r="AN25" t="inlineStr">
        <is>
          <t xml:space="preserve">FEVEREIRO · 2027</t>
        </is>
      </c>
    </row>
    <row r="26">
      <c r="A26">
        <v>15</v>
      </c>
      <c r="B26" s="152">
        <f>IF(ISNUMBER($A26),$C$7+$A26-1,"")</f>
        <v>46280</v>
      </c>
      <c r="C26">
        <f>IF($B$2="Todos",SUMIFS(Base!$C$3:$C$5001,Base!$A$3:$A$5001,$B26),SUMIFS(Base!$C$3:$C$5001,Base!$A$3:$A$5001,$B26,Base!$B$3:$B$5001,$B$2))</f>
        <v>0</v>
      </c>
      <c r="D26">
        <f>IF($B$2="Todos",SUMIFS(Base!$D$3:$D$5001,Base!$A$3:$A$5001,$B26),SUMIFS(Base!$D$3:$D$5001,Base!$A$3:$A$5001,$B26,Base!$B$3:$B$5001,$B$2))</f>
        <v>0</v>
      </c>
      <c r="E26">
        <f>IF($B$2="Todos",SUMIFS(Base!$E$3:$E$5001,Base!$A$3:$A$5001,$B26),SUMIFS(Base!$E$3:$E$5001,Base!$A$3:$A$5001,$B26,Base!$B$3:$B$5001,$B$2))</f>
        <v>0</v>
      </c>
      <c r="F26">
        <f>IF($B$2="Todos",SUMIFS(Base!$F$3:$F$5001,Base!$A$3:$A$5001,$B26),SUMIFS(Base!$F$3:$F$5001,Base!$A$3:$A$5001,$B26,Base!$B$3:$B$5001,$B$2))</f>
        <v>0</v>
      </c>
      <c r="G26">
        <f>IF($B$2="Todos",SUMIFS(Base!$G$3:$G$5001,Base!$A$3:$A$5001,$B26),SUMIFS(Base!$G$3:$G$5001,Base!$A$3:$A$5001,$B26,Base!$B$3:$B$5001,$B$2))</f>
        <v>0</v>
      </c>
      <c r="H26">
        <f>IF($B$2="Todos",SUMIFS(Base!$H$3:$H$5001,Base!$A$3:$A$5001,$B26),SUMIFS(Base!$H$3:$H$5001,Base!$A$3:$A$5001,$B26,Base!$B$3:$B$5001,$B$2))</f>
        <v>0</v>
      </c>
      <c r="I26">
        <f>IF($B$2="Todos",SUMIFS(Base!$I$3:$I$5001,Base!$A$3:$A$5001,$B26),SUMIFS(Base!$I$3:$I$5001,Base!$A$3:$A$5001,$B26,Base!$B$3:$B$5001,$B$2))</f>
        <v>0</v>
      </c>
      <c r="J26">
        <f>IF($B$2="Todos",SUMIFS(Base!$J$3:$J$5001,Base!$A$3:$A$5001,$B26),SUMIFS(Base!$J$3:$J$5001,Base!$A$3:$A$5001,$B26,Base!$B$3:$B$5001,$B$2))</f>
        <v>0</v>
      </c>
      <c r="K26">
        <f>IF($B$2="Todos",SUMIFS(Base!$K$3:$K$5001,Base!$A$3:$A$5001,$B26),SUMIFS(Base!$K$3:$K$5001,Base!$A$3:$A$5001,$B26,Base!$B$3:$B$5001,$B$2))</f>
        <v>0</v>
      </c>
      <c r="L26">
        <f>IF($B$2="Todos",SUMIFS(Base!$L$3:$L$5001,Base!$A$3:$A$5001,$B26),SUMIFS(Base!$L$3:$L$5001,Base!$A$3:$A$5001,$B26,Base!$B$3:$B$5001,$B$2))</f>
        <v>0</v>
      </c>
      <c r="M26">
        <f>IF($B$2="Todos",SUMIFS(Base!$M$3:$M$5001,Base!$A$3:$A$5001,$B26),SUMIFS(Base!$M$3:$M$5001,Base!$A$3:$A$5001,$B26,Base!$B$3:$B$5001,$B$2))</f>
        <v>0</v>
      </c>
      <c r="N26">
        <f>IF($B$2="Todos",SUMIFS(Base!$N$3:$N$5001,Base!$A$3:$A$5001,$B26),SUMIFS(Base!$N$3:$N$5001,Base!$A$3:$A$5001,$B26,Base!$B$3:$B$5001,$B$2))</f>
        <v>0</v>
      </c>
      <c r="O26">
        <f>IF($B$2="Todos",SUMIFS(Base!$O$3:$O$5001,Base!$A$3:$A$5001,$B26),SUMIFS(Base!$O$3:$O$5001,Base!$A$3:$A$5001,$B26,Base!$B$3:$B$5001,$B$2))</f>
        <v>0</v>
      </c>
      <c r="P26">
        <f>IF($B$2="Todos",SUMIFS(Base!$P$3:$P$5001,Base!$A$3:$A$5001,$B26),SUMIFS(Base!$P$3:$P$5001,Base!$A$3:$A$5001,$B26,Base!$B$3:$B$5001,$B$2))</f>
        <v>0</v>
      </c>
      <c r="Q26">
        <f>IF($B$2="Todos",SUMIFS(Base!$Q$3:$Q$5001,Base!$A$3:$A$5001,$B26),SUMIFS(Base!$Q$3:$Q$5001,Base!$A$3:$A$5001,$B26,Base!$B$3:$B$5001,$B$2))</f>
        <v>0</v>
      </c>
      <c r="R26">
        <f>IF($B$2="Todos",SUMIFS(Base!$R$3:$R$5001,Base!$A$3:$A$5001,$B26),SUMIFS(Base!$R$3:$R$5001,Base!$A$3:$A$5001,$B26,Base!$B$3:$B$5001,$B$2))</f>
        <v>0</v>
      </c>
      <c r="S26">
        <f>IF($B$2="Todos",SUMIFS(Base!$S$3:$S$5001,Base!$A$3:$A$5001,$B26),SUMIFS(Base!$S$3:$S$5001,Base!$A$3:$A$5001,$B26,Base!$B$3:$B$5001,$B$2))</f>
        <v>0</v>
      </c>
      <c r="T26">
        <f>IF($B$2="Todos",SUMIFS(Base!$T$3:$T$5001,Base!$A$3:$A$5001,$B26),SUMIFS(Base!$T$3:$T$5001,Base!$A$3:$A$5001,$B26,Base!$B$3:$B$5001,$B$2))</f>
        <v>0</v>
      </c>
      <c r="U26">
        <f>IF($B$2="Todos",SUMIFS(Base!$U$3:$U$5001,Base!$A$3:$A$5001,$B26),SUMIFS(Base!$U$3:$U$5001,Base!$A$3:$A$5001,$B26,Base!$B$3:$B$5001,$B$2))</f>
        <v>0</v>
      </c>
      <c r="V26">
        <f>IF($B$2="Todos",SUMIFS(Base!$V$3:$V$5001,Base!$A$3:$A$5001,$B26),SUMIFS(Base!$V$3:$V$5001,Base!$A$3:$A$5001,$B26,Base!$B$3:$B$5001,$B$2))</f>
        <v>0</v>
      </c>
      <c r="W26" t="str">
        <f>IF($B$2="Todos",IF(COUNT($C$142:$K$142)=0,"",SUM($C$142:$K$142)),IFERROR(INDEX($C$142:$K$142,MATCH($B$2,$C$127:$K$127,0)),""))</f>
        <v/>
      </c>
      <c r="X26" t="str">
        <f>IF(Y26="","",IF($B$2="Todos",IF(ISNUMBER($B$4),$B$4,IF(COUNT($C$177:$K$177)=0,"",SUM($C$177:$K$177))),IFERROR(INDEX($C$177:$K$177,MATCH($B$2,$C$162:$K$162,0)),"")))</f>
        <v/>
      </c>
      <c r="Y26" t="str">
        <f>IF($B$2="Todos",IF(COUNT($C$212:$K$212)=0,"",SUM($C$212:$K$212)),IFERROR(INDEX($C$212:$K$212,MATCH($B$2,$C$197:$K$197,0)),""))</f>
        <v/>
      </c>
      <c r="Z26" t="str">
        <f>IF(AND(ISNUMBER(Y26),ISNUMBER(X26)),IF(X26&gt;0,Y26/X26,""),"")</f>
        <v/>
      </c>
      <c r="AA26" t="str">
        <f>IF($B$2="Todos",IF(COUNT($C$247:$K$247)=0,"",SUM($C$247:$K$247)),IFERROR(INDEX($C$247:$K$247,MATCH($B$2,$C$232:$K$232,0)),""))</f>
        <v/>
      </c>
      <c r="AB26">
        <f>IF($B$2="Todos",SUMIFS(Base!$AA$3:$AA$5001,Base!$A$3:$A$5001,$B26),SUMIFS(Base!$AA$3:$AA$5001,Base!$A$3:$A$5001,$B26,Base!$B$3:$B$5001,$B$2))</f>
        <v>0</v>
      </c>
      <c r="AC26">
        <f>IF($B$2="Todos",SUMIFS(Base!$AB$3:$AB$5001,Base!$A$3:$A$5001,$B26),SUMIFS(Base!$AB$3:$AB$5001,Base!$A$3:$A$5001,$B26,Base!$B$3:$B$5001,$B$2))</f>
        <v>0</v>
      </c>
      <c r="AD26">
        <f>IF($B$2="Todos",SUMIFS(Base!$AC$3:$AC$5001,Base!$A$3:$A$5001,$B26),SUMIFS(Base!$AC$3:$AC$5001,Base!$A$3:$A$5001,$B26,Base!$B$3:$B$5001,$B$2))</f>
        <v>0</v>
      </c>
      <c r="AE26">
        <f>IF($B$2="Todos",SUMIFS(Base!$AD$3:$AD$5001,Base!$A$3:$A$5001,$B26),SUMIFS(Base!$AD$3:$AD$5001,Base!$A$3:$A$5001,$B26,Base!$B$3:$B$5001,$B$2))</f>
        <v>0</v>
      </c>
      <c r="AG26">
        <f>IFERROR(N(INDEX($C26:$AE26,MATCH($B$3,$C$11:$AE$11,0))),0)</f>
        <v>0</v>
      </c>
      <c r="AH26">
        <f>IFERROR(N(INDEX($C26:$AE26,MATCH($C$3,$C$11:$AE$11,0))),0)</f>
        <v>0</v>
      </c>
      <c r="AI26">
        <f>$B$5</f>
        <v>0.7</v>
      </c>
      <c r="AJ26">
        <f>$B$6</f>
        <v>0.9</v>
      </c>
      <c r="AN26" t="inlineStr">
        <is>
          <t xml:space="preserve">MARÇO · 2027</t>
        </is>
      </c>
    </row>
    <row r="27">
      <c r="A27">
        <v>16</v>
      </c>
      <c r="B27" s="152">
        <f>IF(ISNUMBER($A27),$C$7+$A27-1,"")</f>
        <v>46281</v>
      </c>
      <c r="C27">
        <f>IF($B$2="Todos",SUMIFS(Base!$C$3:$C$5001,Base!$A$3:$A$5001,$B27),SUMIFS(Base!$C$3:$C$5001,Base!$A$3:$A$5001,$B27,Base!$B$3:$B$5001,$B$2))</f>
        <v>0</v>
      </c>
      <c r="D27">
        <f>IF($B$2="Todos",SUMIFS(Base!$D$3:$D$5001,Base!$A$3:$A$5001,$B27),SUMIFS(Base!$D$3:$D$5001,Base!$A$3:$A$5001,$B27,Base!$B$3:$B$5001,$B$2))</f>
        <v>0</v>
      </c>
      <c r="E27">
        <f>IF($B$2="Todos",SUMIFS(Base!$E$3:$E$5001,Base!$A$3:$A$5001,$B27),SUMIFS(Base!$E$3:$E$5001,Base!$A$3:$A$5001,$B27,Base!$B$3:$B$5001,$B$2))</f>
        <v>0</v>
      </c>
      <c r="F27">
        <f>IF($B$2="Todos",SUMIFS(Base!$F$3:$F$5001,Base!$A$3:$A$5001,$B27),SUMIFS(Base!$F$3:$F$5001,Base!$A$3:$A$5001,$B27,Base!$B$3:$B$5001,$B$2))</f>
        <v>0</v>
      </c>
      <c r="G27">
        <f>IF($B$2="Todos",SUMIFS(Base!$G$3:$G$5001,Base!$A$3:$A$5001,$B27),SUMIFS(Base!$G$3:$G$5001,Base!$A$3:$A$5001,$B27,Base!$B$3:$B$5001,$B$2))</f>
        <v>0</v>
      </c>
      <c r="H27">
        <f>IF($B$2="Todos",SUMIFS(Base!$H$3:$H$5001,Base!$A$3:$A$5001,$B27),SUMIFS(Base!$H$3:$H$5001,Base!$A$3:$A$5001,$B27,Base!$B$3:$B$5001,$B$2))</f>
        <v>0</v>
      </c>
      <c r="I27">
        <f>IF($B$2="Todos",SUMIFS(Base!$I$3:$I$5001,Base!$A$3:$A$5001,$B27),SUMIFS(Base!$I$3:$I$5001,Base!$A$3:$A$5001,$B27,Base!$B$3:$B$5001,$B$2))</f>
        <v>0</v>
      </c>
      <c r="J27">
        <f>IF($B$2="Todos",SUMIFS(Base!$J$3:$J$5001,Base!$A$3:$A$5001,$B27),SUMIFS(Base!$J$3:$J$5001,Base!$A$3:$A$5001,$B27,Base!$B$3:$B$5001,$B$2))</f>
        <v>0</v>
      </c>
      <c r="K27">
        <f>IF($B$2="Todos",SUMIFS(Base!$K$3:$K$5001,Base!$A$3:$A$5001,$B27),SUMIFS(Base!$K$3:$K$5001,Base!$A$3:$A$5001,$B27,Base!$B$3:$B$5001,$B$2))</f>
        <v>0</v>
      </c>
      <c r="L27">
        <f>IF($B$2="Todos",SUMIFS(Base!$L$3:$L$5001,Base!$A$3:$A$5001,$B27),SUMIFS(Base!$L$3:$L$5001,Base!$A$3:$A$5001,$B27,Base!$B$3:$B$5001,$B$2))</f>
        <v>0</v>
      </c>
      <c r="M27">
        <f>IF($B$2="Todos",SUMIFS(Base!$M$3:$M$5001,Base!$A$3:$A$5001,$B27),SUMIFS(Base!$M$3:$M$5001,Base!$A$3:$A$5001,$B27,Base!$B$3:$B$5001,$B$2))</f>
        <v>0</v>
      </c>
      <c r="N27">
        <f>IF($B$2="Todos",SUMIFS(Base!$N$3:$N$5001,Base!$A$3:$A$5001,$B27),SUMIFS(Base!$N$3:$N$5001,Base!$A$3:$A$5001,$B27,Base!$B$3:$B$5001,$B$2))</f>
        <v>0</v>
      </c>
      <c r="O27">
        <f>IF($B$2="Todos",SUMIFS(Base!$O$3:$O$5001,Base!$A$3:$A$5001,$B27),SUMIFS(Base!$O$3:$O$5001,Base!$A$3:$A$5001,$B27,Base!$B$3:$B$5001,$B$2))</f>
        <v>0</v>
      </c>
      <c r="P27">
        <f>IF($B$2="Todos",SUMIFS(Base!$P$3:$P$5001,Base!$A$3:$A$5001,$B27),SUMIFS(Base!$P$3:$P$5001,Base!$A$3:$A$5001,$B27,Base!$B$3:$B$5001,$B$2))</f>
        <v>0</v>
      </c>
      <c r="Q27">
        <f>IF($B$2="Todos",SUMIFS(Base!$Q$3:$Q$5001,Base!$A$3:$A$5001,$B27),SUMIFS(Base!$Q$3:$Q$5001,Base!$A$3:$A$5001,$B27,Base!$B$3:$B$5001,$B$2))</f>
        <v>0</v>
      </c>
      <c r="R27">
        <f>IF($B$2="Todos",SUMIFS(Base!$R$3:$R$5001,Base!$A$3:$A$5001,$B27),SUMIFS(Base!$R$3:$R$5001,Base!$A$3:$A$5001,$B27,Base!$B$3:$B$5001,$B$2))</f>
        <v>0</v>
      </c>
      <c r="S27">
        <f>IF($B$2="Todos",SUMIFS(Base!$S$3:$S$5001,Base!$A$3:$A$5001,$B27),SUMIFS(Base!$S$3:$S$5001,Base!$A$3:$A$5001,$B27,Base!$B$3:$B$5001,$B$2))</f>
        <v>0</v>
      </c>
      <c r="T27">
        <f>IF($B$2="Todos",SUMIFS(Base!$T$3:$T$5001,Base!$A$3:$A$5001,$B27),SUMIFS(Base!$T$3:$T$5001,Base!$A$3:$A$5001,$B27,Base!$B$3:$B$5001,$B$2))</f>
        <v>0</v>
      </c>
      <c r="U27">
        <f>IF($B$2="Todos",SUMIFS(Base!$U$3:$U$5001,Base!$A$3:$A$5001,$B27),SUMIFS(Base!$U$3:$U$5001,Base!$A$3:$A$5001,$B27,Base!$B$3:$B$5001,$B$2))</f>
        <v>0</v>
      </c>
      <c r="V27">
        <f>IF($B$2="Todos",SUMIFS(Base!$V$3:$V$5001,Base!$A$3:$A$5001,$B27),SUMIFS(Base!$V$3:$V$5001,Base!$A$3:$A$5001,$B27,Base!$B$3:$B$5001,$B$2))</f>
        <v>0</v>
      </c>
      <c r="W27" t="str">
        <f>IF($B$2="Todos",IF(COUNT($C$143:$K$143)=0,"",SUM($C$143:$K$143)),IFERROR(INDEX($C$143:$K$143,MATCH($B$2,$C$127:$K$127,0)),""))</f>
        <v/>
      </c>
      <c r="X27" t="str">
        <f>IF(Y27="","",IF($B$2="Todos",IF(ISNUMBER($B$4),$B$4,IF(COUNT($C$178:$K$178)=0,"",SUM($C$178:$K$178))),IFERROR(INDEX($C$178:$K$178,MATCH($B$2,$C$162:$K$162,0)),"")))</f>
        <v/>
      </c>
      <c r="Y27" t="str">
        <f>IF($B$2="Todos",IF(COUNT($C$213:$K$213)=0,"",SUM($C$213:$K$213)),IFERROR(INDEX($C$213:$K$213,MATCH($B$2,$C$197:$K$197,0)),""))</f>
        <v/>
      </c>
      <c r="Z27" t="str">
        <f>IF(AND(ISNUMBER(Y27),ISNUMBER(X27)),IF(X27&gt;0,Y27/X27,""),"")</f>
        <v/>
      </c>
      <c r="AA27" t="str">
        <f>IF($B$2="Todos",IF(COUNT($C$248:$K$248)=0,"",SUM($C$248:$K$248)),IFERROR(INDEX($C$248:$K$248,MATCH($B$2,$C$232:$K$232,0)),""))</f>
        <v/>
      </c>
      <c r="AB27">
        <f>IF($B$2="Todos",SUMIFS(Base!$AA$3:$AA$5001,Base!$A$3:$A$5001,$B27),SUMIFS(Base!$AA$3:$AA$5001,Base!$A$3:$A$5001,$B27,Base!$B$3:$B$5001,$B$2))</f>
        <v>0</v>
      </c>
      <c r="AC27">
        <f>IF($B$2="Todos",SUMIFS(Base!$AB$3:$AB$5001,Base!$A$3:$A$5001,$B27),SUMIFS(Base!$AB$3:$AB$5001,Base!$A$3:$A$5001,$B27,Base!$B$3:$B$5001,$B$2))</f>
        <v>0</v>
      </c>
      <c r="AD27">
        <f>IF($B$2="Todos",SUMIFS(Base!$AC$3:$AC$5001,Base!$A$3:$A$5001,$B27),SUMIFS(Base!$AC$3:$AC$5001,Base!$A$3:$A$5001,$B27,Base!$B$3:$B$5001,$B$2))</f>
        <v>0</v>
      </c>
      <c r="AE27">
        <f>IF($B$2="Todos",SUMIFS(Base!$AD$3:$AD$5001,Base!$A$3:$A$5001,$B27),SUMIFS(Base!$AD$3:$AD$5001,Base!$A$3:$A$5001,$B27,Base!$B$3:$B$5001,$B$2))</f>
        <v>0</v>
      </c>
      <c r="AG27">
        <f>IFERROR(N(INDEX($C27:$AE27,MATCH($B$3,$C$11:$AE$11,0))),0)</f>
        <v>0</v>
      </c>
      <c r="AH27">
        <f>IFERROR(N(INDEX($C27:$AE27,MATCH($C$3,$C$11:$AE$11,0))),0)</f>
        <v>0</v>
      </c>
      <c r="AI27">
        <f>$B$5</f>
        <v>0.7</v>
      </c>
      <c r="AJ27">
        <f>$B$6</f>
        <v>0.9</v>
      </c>
      <c r="AN27" t="inlineStr">
        <is>
          <t xml:space="preserve">ABRIL · 2027</t>
        </is>
      </c>
    </row>
    <row r="28">
      <c r="A28">
        <v>17</v>
      </c>
      <c r="B28" s="152">
        <f>IF(ISNUMBER($A28),$C$7+$A28-1,"")</f>
        <v>46282</v>
      </c>
      <c r="C28">
        <f>IF($B$2="Todos",SUMIFS(Base!$C$3:$C$5001,Base!$A$3:$A$5001,$B28),SUMIFS(Base!$C$3:$C$5001,Base!$A$3:$A$5001,$B28,Base!$B$3:$B$5001,$B$2))</f>
        <v>0</v>
      </c>
      <c r="D28">
        <f>IF($B$2="Todos",SUMIFS(Base!$D$3:$D$5001,Base!$A$3:$A$5001,$B28),SUMIFS(Base!$D$3:$D$5001,Base!$A$3:$A$5001,$B28,Base!$B$3:$B$5001,$B$2))</f>
        <v>0</v>
      </c>
      <c r="E28">
        <f>IF($B$2="Todos",SUMIFS(Base!$E$3:$E$5001,Base!$A$3:$A$5001,$B28),SUMIFS(Base!$E$3:$E$5001,Base!$A$3:$A$5001,$B28,Base!$B$3:$B$5001,$B$2))</f>
        <v>0</v>
      </c>
      <c r="F28">
        <f>IF($B$2="Todos",SUMIFS(Base!$F$3:$F$5001,Base!$A$3:$A$5001,$B28),SUMIFS(Base!$F$3:$F$5001,Base!$A$3:$A$5001,$B28,Base!$B$3:$B$5001,$B$2))</f>
        <v>0</v>
      </c>
      <c r="G28">
        <f>IF($B$2="Todos",SUMIFS(Base!$G$3:$G$5001,Base!$A$3:$A$5001,$B28),SUMIFS(Base!$G$3:$G$5001,Base!$A$3:$A$5001,$B28,Base!$B$3:$B$5001,$B$2))</f>
        <v>0</v>
      </c>
      <c r="H28">
        <f>IF($B$2="Todos",SUMIFS(Base!$H$3:$H$5001,Base!$A$3:$A$5001,$B28),SUMIFS(Base!$H$3:$H$5001,Base!$A$3:$A$5001,$B28,Base!$B$3:$B$5001,$B$2))</f>
        <v>0</v>
      </c>
      <c r="I28">
        <f>IF($B$2="Todos",SUMIFS(Base!$I$3:$I$5001,Base!$A$3:$A$5001,$B28),SUMIFS(Base!$I$3:$I$5001,Base!$A$3:$A$5001,$B28,Base!$B$3:$B$5001,$B$2))</f>
        <v>0</v>
      </c>
      <c r="J28">
        <f>IF($B$2="Todos",SUMIFS(Base!$J$3:$J$5001,Base!$A$3:$A$5001,$B28),SUMIFS(Base!$J$3:$J$5001,Base!$A$3:$A$5001,$B28,Base!$B$3:$B$5001,$B$2))</f>
        <v>0</v>
      </c>
      <c r="K28">
        <f>IF($B$2="Todos",SUMIFS(Base!$K$3:$K$5001,Base!$A$3:$A$5001,$B28),SUMIFS(Base!$K$3:$K$5001,Base!$A$3:$A$5001,$B28,Base!$B$3:$B$5001,$B$2))</f>
        <v>0</v>
      </c>
      <c r="L28">
        <f>IF($B$2="Todos",SUMIFS(Base!$L$3:$L$5001,Base!$A$3:$A$5001,$B28),SUMIFS(Base!$L$3:$L$5001,Base!$A$3:$A$5001,$B28,Base!$B$3:$B$5001,$B$2))</f>
        <v>0</v>
      </c>
      <c r="M28">
        <f>IF($B$2="Todos",SUMIFS(Base!$M$3:$M$5001,Base!$A$3:$A$5001,$B28),SUMIFS(Base!$M$3:$M$5001,Base!$A$3:$A$5001,$B28,Base!$B$3:$B$5001,$B$2))</f>
        <v>0</v>
      </c>
      <c r="N28">
        <f>IF($B$2="Todos",SUMIFS(Base!$N$3:$N$5001,Base!$A$3:$A$5001,$B28),SUMIFS(Base!$N$3:$N$5001,Base!$A$3:$A$5001,$B28,Base!$B$3:$B$5001,$B$2))</f>
        <v>0</v>
      </c>
      <c r="O28">
        <f>IF($B$2="Todos",SUMIFS(Base!$O$3:$O$5001,Base!$A$3:$A$5001,$B28),SUMIFS(Base!$O$3:$O$5001,Base!$A$3:$A$5001,$B28,Base!$B$3:$B$5001,$B$2))</f>
        <v>0</v>
      </c>
      <c r="P28">
        <f>IF($B$2="Todos",SUMIFS(Base!$P$3:$P$5001,Base!$A$3:$A$5001,$B28),SUMIFS(Base!$P$3:$P$5001,Base!$A$3:$A$5001,$B28,Base!$B$3:$B$5001,$B$2))</f>
        <v>0</v>
      </c>
      <c r="Q28">
        <f>IF($B$2="Todos",SUMIFS(Base!$Q$3:$Q$5001,Base!$A$3:$A$5001,$B28),SUMIFS(Base!$Q$3:$Q$5001,Base!$A$3:$A$5001,$B28,Base!$B$3:$B$5001,$B$2))</f>
        <v>0</v>
      </c>
      <c r="R28">
        <f>IF($B$2="Todos",SUMIFS(Base!$R$3:$R$5001,Base!$A$3:$A$5001,$B28),SUMIFS(Base!$R$3:$R$5001,Base!$A$3:$A$5001,$B28,Base!$B$3:$B$5001,$B$2))</f>
        <v>0</v>
      </c>
      <c r="S28">
        <f>IF($B$2="Todos",SUMIFS(Base!$S$3:$S$5001,Base!$A$3:$A$5001,$B28),SUMIFS(Base!$S$3:$S$5001,Base!$A$3:$A$5001,$B28,Base!$B$3:$B$5001,$B$2))</f>
        <v>0</v>
      </c>
      <c r="T28">
        <f>IF($B$2="Todos",SUMIFS(Base!$T$3:$T$5001,Base!$A$3:$A$5001,$B28),SUMIFS(Base!$T$3:$T$5001,Base!$A$3:$A$5001,$B28,Base!$B$3:$B$5001,$B$2))</f>
        <v>0</v>
      </c>
      <c r="U28">
        <f>IF($B$2="Todos",SUMIFS(Base!$U$3:$U$5001,Base!$A$3:$A$5001,$B28),SUMIFS(Base!$U$3:$U$5001,Base!$A$3:$A$5001,$B28,Base!$B$3:$B$5001,$B$2))</f>
        <v>0</v>
      </c>
      <c r="V28">
        <f>IF($B$2="Todos",SUMIFS(Base!$V$3:$V$5001,Base!$A$3:$A$5001,$B28),SUMIFS(Base!$V$3:$V$5001,Base!$A$3:$A$5001,$B28,Base!$B$3:$B$5001,$B$2))</f>
        <v>0</v>
      </c>
      <c r="W28" t="str">
        <f>IF($B$2="Todos",IF(COUNT($C$144:$K$144)=0,"",SUM($C$144:$K$144)),IFERROR(INDEX($C$144:$K$144,MATCH($B$2,$C$127:$K$127,0)),""))</f>
        <v/>
      </c>
      <c r="X28" t="str">
        <f>IF(Y28="","",IF($B$2="Todos",IF(ISNUMBER($B$4),$B$4,IF(COUNT($C$179:$K$179)=0,"",SUM($C$179:$K$179))),IFERROR(INDEX($C$179:$K$179,MATCH($B$2,$C$162:$K$162,0)),"")))</f>
        <v/>
      </c>
      <c r="Y28" t="str">
        <f>IF($B$2="Todos",IF(COUNT($C$214:$K$214)=0,"",SUM($C$214:$K$214)),IFERROR(INDEX($C$214:$K$214,MATCH($B$2,$C$197:$K$197,0)),""))</f>
        <v/>
      </c>
      <c r="Z28" t="str">
        <f>IF(AND(ISNUMBER(Y28),ISNUMBER(X28)),IF(X28&gt;0,Y28/X28,""),"")</f>
        <v/>
      </c>
      <c r="AA28" t="str">
        <f>IF($B$2="Todos",IF(COUNT($C$249:$K$249)=0,"",SUM($C$249:$K$249)),IFERROR(INDEX($C$249:$K$249,MATCH($B$2,$C$232:$K$232,0)),""))</f>
        <v/>
      </c>
      <c r="AB28">
        <f>IF($B$2="Todos",SUMIFS(Base!$AA$3:$AA$5001,Base!$A$3:$A$5001,$B28),SUMIFS(Base!$AA$3:$AA$5001,Base!$A$3:$A$5001,$B28,Base!$B$3:$B$5001,$B$2))</f>
        <v>0</v>
      </c>
      <c r="AC28">
        <f>IF($B$2="Todos",SUMIFS(Base!$AB$3:$AB$5001,Base!$A$3:$A$5001,$B28),SUMIFS(Base!$AB$3:$AB$5001,Base!$A$3:$A$5001,$B28,Base!$B$3:$B$5001,$B$2))</f>
        <v>0</v>
      </c>
      <c r="AD28">
        <f>IF($B$2="Todos",SUMIFS(Base!$AC$3:$AC$5001,Base!$A$3:$A$5001,$B28),SUMIFS(Base!$AC$3:$AC$5001,Base!$A$3:$A$5001,$B28,Base!$B$3:$B$5001,$B$2))</f>
        <v>0</v>
      </c>
      <c r="AE28">
        <f>IF($B$2="Todos",SUMIFS(Base!$AD$3:$AD$5001,Base!$A$3:$A$5001,$B28),SUMIFS(Base!$AD$3:$AD$5001,Base!$A$3:$A$5001,$B28,Base!$B$3:$B$5001,$B$2))</f>
        <v>0</v>
      </c>
      <c r="AG28">
        <f>IFERROR(N(INDEX($C28:$AE28,MATCH($B$3,$C$11:$AE$11,0))),0)</f>
        <v>0</v>
      </c>
      <c r="AH28">
        <f>IFERROR(N(INDEX($C28:$AE28,MATCH($C$3,$C$11:$AE$11,0))),0)</f>
        <v>0</v>
      </c>
      <c r="AI28">
        <f>$B$5</f>
        <v>0.7</v>
      </c>
      <c r="AJ28">
        <f>$B$6</f>
        <v>0.9</v>
      </c>
      <c r="AN28" t="inlineStr">
        <is>
          <t xml:space="preserve">MAIO · 2027</t>
        </is>
      </c>
    </row>
    <row r="29">
      <c r="A29">
        <v>18</v>
      </c>
      <c r="B29" s="152">
        <f>IF(ISNUMBER($A29),$C$7+$A29-1,"")</f>
        <v>46283</v>
      </c>
      <c r="C29">
        <f>IF($B$2="Todos",SUMIFS(Base!$C$3:$C$5001,Base!$A$3:$A$5001,$B29),SUMIFS(Base!$C$3:$C$5001,Base!$A$3:$A$5001,$B29,Base!$B$3:$B$5001,$B$2))</f>
        <v>0</v>
      </c>
      <c r="D29">
        <f>IF($B$2="Todos",SUMIFS(Base!$D$3:$D$5001,Base!$A$3:$A$5001,$B29),SUMIFS(Base!$D$3:$D$5001,Base!$A$3:$A$5001,$B29,Base!$B$3:$B$5001,$B$2))</f>
        <v>0</v>
      </c>
      <c r="E29">
        <f>IF($B$2="Todos",SUMIFS(Base!$E$3:$E$5001,Base!$A$3:$A$5001,$B29),SUMIFS(Base!$E$3:$E$5001,Base!$A$3:$A$5001,$B29,Base!$B$3:$B$5001,$B$2))</f>
        <v>0</v>
      </c>
      <c r="F29">
        <f>IF($B$2="Todos",SUMIFS(Base!$F$3:$F$5001,Base!$A$3:$A$5001,$B29),SUMIFS(Base!$F$3:$F$5001,Base!$A$3:$A$5001,$B29,Base!$B$3:$B$5001,$B$2))</f>
        <v>0</v>
      </c>
      <c r="G29">
        <f>IF($B$2="Todos",SUMIFS(Base!$G$3:$G$5001,Base!$A$3:$A$5001,$B29),SUMIFS(Base!$G$3:$G$5001,Base!$A$3:$A$5001,$B29,Base!$B$3:$B$5001,$B$2))</f>
        <v>0</v>
      </c>
      <c r="H29">
        <f>IF($B$2="Todos",SUMIFS(Base!$H$3:$H$5001,Base!$A$3:$A$5001,$B29),SUMIFS(Base!$H$3:$H$5001,Base!$A$3:$A$5001,$B29,Base!$B$3:$B$5001,$B$2))</f>
        <v>0</v>
      </c>
      <c r="I29">
        <f>IF($B$2="Todos",SUMIFS(Base!$I$3:$I$5001,Base!$A$3:$A$5001,$B29),SUMIFS(Base!$I$3:$I$5001,Base!$A$3:$A$5001,$B29,Base!$B$3:$B$5001,$B$2))</f>
        <v>0</v>
      </c>
      <c r="J29">
        <f>IF($B$2="Todos",SUMIFS(Base!$J$3:$J$5001,Base!$A$3:$A$5001,$B29),SUMIFS(Base!$J$3:$J$5001,Base!$A$3:$A$5001,$B29,Base!$B$3:$B$5001,$B$2))</f>
        <v>0</v>
      </c>
      <c r="K29">
        <f>IF($B$2="Todos",SUMIFS(Base!$K$3:$K$5001,Base!$A$3:$A$5001,$B29),SUMIFS(Base!$K$3:$K$5001,Base!$A$3:$A$5001,$B29,Base!$B$3:$B$5001,$B$2))</f>
        <v>0</v>
      </c>
      <c r="L29">
        <f>IF($B$2="Todos",SUMIFS(Base!$L$3:$L$5001,Base!$A$3:$A$5001,$B29),SUMIFS(Base!$L$3:$L$5001,Base!$A$3:$A$5001,$B29,Base!$B$3:$B$5001,$B$2))</f>
        <v>0</v>
      </c>
      <c r="M29">
        <f>IF($B$2="Todos",SUMIFS(Base!$M$3:$M$5001,Base!$A$3:$A$5001,$B29),SUMIFS(Base!$M$3:$M$5001,Base!$A$3:$A$5001,$B29,Base!$B$3:$B$5001,$B$2))</f>
        <v>0</v>
      </c>
      <c r="N29">
        <f>IF($B$2="Todos",SUMIFS(Base!$N$3:$N$5001,Base!$A$3:$A$5001,$B29),SUMIFS(Base!$N$3:$N$5001,Base!$A$3:$A$5001,$B29,Base!$B$3:$B$5001,$B$2))</f>
        <v>0</v>
      </c>
      <c r="O29">
        <f>IF($B$2="Todos",SUMIFS(Base!$O$3:$O$5001,Base!$A$3:$A$5001,$B29),SUMIFS(Base!$O$3:$O$5001,Base!$A$3:$A$5001,$B29,Base!$B$3:$B$5001,$B$2))</f>
        <v>0</v>
      </c>
      <c r="P29">
        <f>IF($B$2="Todos",SUMIFS(Base!$P$3:$P$5001,Base!$A$3:$A$5001,$B29),SUMIFS(Base!$P$3:$P$5001,Base!$A$3:$A$5001,$B29,Base!$B$3:$B$5001,$B$2))</f>
        <v>0</v>
      </c>
      <c r="Q29">
        <f>IF($B$2="Todos",SUMIFS(Base!$Q$3:$Q$5001,Base!$A$3:$A$5001,$B29),SUMIFS(Base!$Q$3:$Q$5001,Base!$A$3:$A$5001,$B29,Base!$B$3:$B$5001,$B$2))</f>
        <v>0</v>
      </c>
      <c r="R29">
        <f>IF($B$2="Todos",SUMIFS(Base!$R$3:$R$5001,Base!$A$3:$A$5001,$B29),SUMIFS(Base!$R$3:$R$5001,Base!$A$3:$A$5001,$B29,Base!$B$3:$B$5001,$B$2))</f>
        <v>0</v>
      </c>
      <c r="S29">
        <f>IF($B$2="Todos",SUMIFS(Base!$S$3:$S$5001,Base!$A$3:$A$5001,$B29),SUMIFS(Base!$S$3:$S$5001,Base!$A$3:$A$5001,$B29,Base!$B$3:$B$5001,$B$2))</f>
        <v>0</v>
      </c>
      <c r="T29">
        <f>IF($B$2="Todos",SUMIFS(Base!$T$3:$T$5001,Base!$A$3:$A$5001,$B29),SUMIFS(Base!$T$3:$T$5001,Base!$A$3:$A$5001,$B29,Base!$B$3:$B$5001,$B$2))</f>
        <v>0</v>
      </c>
      <c r="U29">
        <f>IF($B$2="Todos",SUMIFS(Base!$U$3:$U$5001,Base!$A$3:$A$5001,$B29),SUMIFS(Base!$U$3:$U$5001,Base!$A$3:$A$5001,$B29,Base!$B$3:$B$5001,$B$2))</f>
        <v>0</v>
      </c>
      <c r="V29">
        <f>IF($B$2="Todos",SUMIFS(Base!$V$3:$V$5001,Base!$A$3:$A$5001,$B29),SUMIFS(Base!$V$3:$V$5001,Base!$A$3:$A$5001,$B29,Base!$B$3:$B$5001,$B$2))</f>
        <v>0</v>
      </c>
      <c r="W29" t="str">
        <f>IF($B$2="Todos",IF(COUNT($C$145:$K$145)=0,"",SUM($C$145:$K$145)),IFERROR(INDEX($C$145:$K$145,MATCH($B$2,$C$127:$K$127,0)),""))</f>
        <v/>
      </c>
      <c r="X29" t="str">
        <f>IF(Y29="","",IF($B$2="Todos",IF(ISNUMBER($B$4),$B$4,IF(COUNT($C$180:$K$180)=0,"",SUM($C$180:$K$180))),IFERROR(INDEX($C$180:$K$180,MATCH($B$2,$C$162:$K$162,0)),"")))</f>
        <v/>
      </c>
      <c r="Y29" t="str">
        <f>IF($B$2="Todos",IF(COUNT($C$215:$K$215)=0,"",SUM($C$215:$K$215)),IFERROR(INDEX($C$215:$K$215,MATCH($B$2,$C$197:$K$197,0)),""))</f>
        <v/>
      </c>
      <c r="Z29" t="str">
        <f>IF(AND(ISNUMBER(Y29),ISNUMBER(X29)),IF(X29&gt;0,Y29/X29,""),"")</f>
        <v/>
      </c>
      <c r="AA29" t="str">
        <f>IF($B$2="Todos",IF(COUNT($C$250:$K$250)=0,"",SUM($C$250:$K$250)),IFERROR(INDEX($C$250:$K$250,MATCH($B$2,$C$232:$K$232,0)),""))</f>
        <v/>
      </c>
      <c r="AB29">
        <f>IF($B$2="Todos",SUMIFS(Base!$AA$3:$AA$5001,Base!$A$3:$A$5001,$B29),SUMIFS(Base!$AA$3:$AA$5001,Base!$A$3:$A$5001,$B29,Base!$B$3:$B$5001,$B$2))</f>
        <v>0</v>
      </c>
      <c r="AC29">
        <f>IF($B$2="Todos",SUMIFS(Base!$AB$3:$AB$5001,Base!$A$3:$A$5001,$B29),SUMIFS(Base!$AB$3:$AB$5001,Base!$A$3:$A$5001,$B29,Base!$B$3:$B$5001,$B$2))</f>
        <v>0</v>
      </c>
      <c r="AD29">
        <f>IF($B$2="Todos",SUMIFS(Base!$AC$3:$AC$5001,Base!$A$3:$A$5001,$B29),SUMIFS(Base!$AC$3:$AC$5001,Base!$A$3:$A$5001,$B29,Base!$B$3:$B$5001,$B$2))</f>
        <v>0</v>
      </c>
      <c r="AE29">
        <f>IF($B$2="Todos",SUMIFS(Base!$AD$3:$AD$5001,Base!$A$3:$A$5001,$B29),SUMIFS(Base!$AD$3:$AD$5001,Base!$A$3:$A$5001,$B29,Base!$B$3:$B$5001,$B$2))</f>
        <v>0</v>
      </c>
      <c r="AG29">
        <f>IFERROR(N(INDEX($C29:$AE29,MATCH($B$3,$C$11:$AE$11,0))),0)</f>
        <v>0</v>
      </c>
      <c r="AH29">
        <f>IFERROR(N(INDEX($C29:$AE29,MATCH($C$3,$C$11:$AE$11,0))),0)</f>
        <v>0</v>
      </c>
      <c r="AI29">
        <f>$B$5</f>
        <v>0.7</v>
      </c>
      <c r="AJ29">
        <f>$B$6</f>
        <v>0.9</v>
      </c>
      <c r="AN29" t="inlineStr">
        <is>
          <t xml:space="preserve">JUNHO · 2027</t>
        </is>
      </c>
    </row>
    <row r="30">
      <c r="A30">
        <v>19</v>
      </c>
      <c r="B30" s="152">
        <f>IF(ISNUMBER($A30),$C$7+$A30-1,"")</f>
        <v>46284</v>
      </c>
      <c r="C30">
        <f>IF($B$2="Todos",SUMIFS(Base!$C$3:$C$5001,Base!$A$3:$A$5001,$B30),SUMIFS(Base!$C$3:$C$5001,Base!$A$3:$A$5001,$B30,Base!$B$3:$B$5001,$B$2))</f>
        <v>0</v>
      </c>
      <c r="D30">
        <f>IF($B$2="Todos",SUMIFS(Base!$D$3:$D$5001,Base!$A$3:$A$5001,$B30),SUMIFS(Base!$D$3:$D$5001,Base!$A$3:$A$5001,$B30,Base!$B$3:$B$5001,$B$2))</f>
        <v>0</v>
      </c>
      <c r="E30">
        <f>IF($B$2="Todos",SUMIFS(Base!$E$3:$E$5001,Base!$A$3:$A$5001,$B30),SUMIFS(Base!$E$3:$E$5001,Base!$A$3:$A$5001,$B30,Base!$B$3:$B$5001,$B$2))</f>
        <v>0</v>
      </c>
      <c r="F30">
        <f>IF($B$2="Todos",SUMIFS(Base!$F$3:$F$5001,Base!$A$3:$A$5001,$B30),SUMIFS(Base!$F$3:$F$5001,Base!$A$3:$A$5001,$B30,Base!$B$3:$B$5001,$B$2))</f>
        <v>0</v>
      </c>
      <c r="G30">
        <f>IF($B$2="Todos",SUMIFS(Base!$G$3:$G$5001,Base!$A$3:$A$5001,$B30),SUMIFS(Base!$G$3:$G$5001,Base!$A$3:$A$5001,$B30,Base!$B$3:$B$5001,$B$2))</f>
        <v>0</v>
      </c>
      <c r="H30">
        <f>IF($B$2="Todos",SUMIFS(Base!$H$3:$H$5001,Base!$A$3:$A$5001,$B30),SUMIFS(Base!$H$3:$H$5001,Base!$A$3:$A$5001,$B30,Base!$B$3:$B$5001,$B$2))</f>
        <v>0</v>
      </c>
      <c r="I30">
        <f>IF($B$2="Todos",SUMIFS(Base!$I$3:$I$5001,Base!$A$3:$A$5001,$B30),SUMIFS(Base!$I$3:$I$5001,Base!$A$3:$A$5001,$B30,Base!$B$3:$B$5001,$B$2))</f>
        <v>0</v>
      </c>
      <c r="J30">
        <f>IF($B$2="Todos",SUMIFS(Base!$J$3:$J$5001,Base!$A$3:$A$5001,$B30),SUMIFS(Base!$J$3:$J$5001,Base!$A$3:$A$5001,$B30,Base!$B$3:$B$5001,$B$2))</f>
        <v>0</v>
      </c>
      <c r="K30">
        <f>IF($B$2="Todos",SUMIFS(Base!$K$3:$K$5001,Base!$A$3:$A$5001,$B30),SUMIFS(Base!$K$3:$K$5001,Base!$A$3:$A$5001,$B30,Base!$B$3:$B$5001,$B$2))</f>
        <v>0</v>
      </c>
      <c r="L30">
        <f>IF($B$2="Todos",SUMIFS(Base!$L$3:$L$5001,Base!$A$3:$A$5001,$B30),SUMIFS(Base!$L$3:$L$5001,Base!$A$3:$A$5001,$B30,Base!$B$3:$B$5001,$B$2))</f>
        <v>0</v>
      </c>
      <c r="M30">
        <f>IF($B$2="Todos",SUMIFS(Base!$M$3:$M$5001,Base!$A$3:$A$5001,$B30),SUMIFS(Base!$M$3:$M$5001,Base!$A$3:$A$5001,$B30,Base!$B$3:$B$5001,$B$2))</f>
        <v>0</v>
      </c>
      <c r="N30">
        <f>IF($B$2="Todos",SUMIFS(Base!$N$3:$N$5001,Base!$A$3:$A$5001,$B30),SUMIFS(Base!$N$3:$N$5001,Base!$A$3:$A$5001,$B30,Base!$B$3:$B$5001,$B$2))</f>
        <v>0</v>
      </c>
      <c r="O30">
        <f>IF($B$2="Todos",SUMIFS(Base!$O$3:$O$5001,Base!$A$3:$A$5001,$B30),SUMIFS(Base!$O$3:$O$5001,Base!$A$3:$A$5001,$B30,Base!$B$3:$B$5001,$B$2))</f>
        <v>0</v>
      </c>
      <c r="P30">
        <f>IF($B$2="Todos",SUMIFS(Base!$P$3:$P$5001,Base!$A$3:$A$5001,$B30),SUMIFS(Base!$P$3:$P$5001,Base!$A$3:$A$5001,$B30,Base!$B$3:$B$5001,$B$2))</f>
        <v>0</v>
      </c>
      <c r="Q30">
        <f>IF($B$2="Todos",SUMIFS(Base!$Q$3:$Q$5001,Base!$A$3:$A$5001,$B30),SUMIFS(Base!$Q$3:$Q$5001,Base!$A$3:$A$5001,$B30,Base!$B$3:$B$5001,$B$2))</f>
        <v>0</v>
      </c>
      <c r="R30">
        <f>IF($B$2="Todos",SUMIFS(Base!$R$3:$R$5001,Base!$A$3:$A$5001,$B30),SUMIFS(Base!$R$3:$R$5001,Base!$A$3:$A$5001,$B30,Base!$B$3:$B$5001,$B$2))</f>
        <v>0</v>
      </c>
      <c r="S30">
        <f>IF($B$2="Todos",SUMIFS(Base!$S$3:$S$5001,Base!$A$3:$A$5001,$B30),SUMIFS(Base!$S$3:$S$5001,Base!$A$3:$A$5001,$B30,Base!$B$3:$B$5001,$B$2))</f>
        <v>0</v>
      </c>
      <c r="T30">
        <f>IF($B$2="Todos",SUMIFS(Base!$T$3:$T$5001,Base!$A$3:$A$5001,$B30),SUMIFS(Base!$T$3:$T$5001,Base!$A$3:$A$5001,$B30,Base!$B$3:$B$5001,$B$2))</f>
        <v>0</v>
      </c>
      <c r="U30">
        <f>IF($B$2="Todos",SUMIFS(Base!$U$3:$U$5001,Base!$A$3:$A$5001,$B30),SUMIFS(Base!$U$3:$U$5001,Base!$A$3:$A$5001,$B30,Base!$B$3:$B$5001,$B$2))</f>
        <v>0</v>
      </c>
      <c r="V30">
        <f>IF($B$2="Todos",SUMIFS(Base!$V$3:$V$5001,Base!$A$3:$A$5001,$B30),SUMIFS(Base!$V$3:$V$5001,Base!$A$3:$A$5001,$B30,Base!$B$3:$B$5001,$B$2))</f>
        <v>0</v>
      </c>
      <c r="W30" t="str">
        <f>IF($B$2="Todos",IF(COUNT($C$146:$K$146)=0,"",SUM($C$146:$K$146)),IFERROR(INDEX($C$146:$K$146,MATCH($B$2,$C$127:$K$127,0)),""))</f>
        <v/>
      </c>
      <c r="X30" t="str">
        <f>IF(Y30="","",IF($B$2="Todos",IF(ISNUMBER($B$4),$B$4,IF(COUNT($C$181:$K$181)=0,"",SUM($C$181:$K$181))),IFERROR(INDEX($C$181:$K$181,MATCH($B$2,$C$162:$K$162,0)),"")))</f>
        <v/>
      </c>
      <c r="Y30" t="str">
        <f>IF($B$2="Todos",IF(COUNT($C$216:$K$216)=0,"",SUM($C$216:$K$216)),IFERROR(INDEX($C$216:$K$216,MATCH($B$2,$C$197:$K$197,0)),""))</f>
        <v/>
      </c>
      <c r="Z30" t="str">
        <f>IF(AND(ISNUMBER(Y30),ISNUMBER(X30)),IF(X30&gt;0,Y30/X30,""),"")</f>
        <v/>
      </c>
      <c r="AA30" t="str">
        <f>IF($B$2="Todos",IF(COUNT($C$251:$K$251)=0,"",SUM($C$251:$K$251)),IFERROR(INDEX($C$251:$K$251,MATCH($B$2,$C$232:$K$232,0)),""))</f>
        <v/>
      </c>
      <c r="AB30">
        <f>IF($B$2="Todos",SUMIFS(Base!$AA$3:$AA$5001,Base!$A$3:$A$5001,$B30),SUMIFS(Base!$AA$3:$AA$5001,Base!$A$3:$A$5001,$B30,Base!$B$3:$B$5001,$B$2))</f>
        <v>0</v>
      </c>
      <c r="AC30">
        <f>IF($B$2="Todos",SUMIFS(Base!$AB$3:$AB$5001,Base!$A$3:$A$5001,$B30),SUMIFS(Base!$AB$3:$AB$5001,Base!$A$3:$A$5001,$B30,Base!$B$3:$B$5001,$B$2))</f>
        <v>0</v>
      </c>
      <c r="AD30">
        <f>IF($B$2="Todos",SUMIFS(Base!$AC$3:$AC$5001,Base!$A$3:$A$5001,$B30),SUMIFS(Base!$AC$3:$AC$5001,Base!$A$3:$A$5001,$B30,Base!$B$3:$B$5001,$B$2))</f>
        <v>0</v>
      </c>
      <c r="AE30">
        <f>IF($B$2="Todos",SUMIFS(Base!$AD$3:$AD$5001,Base!$A$3:$A$5001,$B30),SUMIFS(Base!$AD$3:$AD$5001,Base!$A$3:$A$5001,$B30,Base!$B$3:$B$5001,$B$2))</f>
        <v>0</v>
      </c>
      <c r="AG30">
        <f>IFERROR(N(INDEX($C30:$AE30,MATCH($B$3,$C$11:$AE$11,0))),0)</f>
        <v>0</v>
      </c>
      <c r="AH30">
        <f>IFERROR(N(INDEX($C30:$AE30,MATCH($C$3,$C$11:$AE$11,0))),0)</f>
        <v>0</v>
      </c>
      <c r="AI30">
        <f>$B$5</f>
        <v>0.7</v>
      </c>
      <c r="AJ30">
        <f>$B$6</f>
        <v>0.9</v>
      </c>
      <c r="AN30" t="inlineStr">
        <is>
          <t xml:space="preserve">JULHO · 2027</t>
        </is>
      </c>
    </row>
    <row r="31">
      <c r="A31">
        <v>20</v>
      </c>
      <c r="B31" s="152">
        <f>IF(ISNUMBER($A31),$C$7+$A31-1,"")</f>
        <v>46285</v>
      </c>
      <c r="C31">
        <f>IF($B$2="Todos",SUMIFS(Base!$C$3:$C$5001,Base!$A$3:$A$5001,$B31),SUMIFS(Base!$C$3:$C$5001,Base!$A$3:$A$5001,$B31,Base!$B$3:$B$5001,$B$2))</f>
        <v>0</v>
      </c>
      <c r="D31">
        <f>IF($B$2="Todos",SUMIFS(Base!$D$3:$D$5001,Base!$A$3:$A$5001,$B31),SUMIFS(Base!$D$3:$D$5001,Base!$A$3:$A$5001,$B31,Base!$B$3:$B$5001,$B$2))</f>
        <v>0</v>
      </c>
      <c r="E31">
        <f>IF($B$2="Todos",SUMIFS(Base!$E$3:$E$5001,Base!$A$3:$A$5001,$B31),SUMIFS(Base!$E$3:$E$5001,Base!$A$3:$A$5001,$B31,Base!$B$3:$B$5001,$B$2))</f>
        <v>0</v>
      </c>
      <c r="F31">
        <f>IF($B$2="Todos",SUMIFS(Base!$F$3:$F$5001,Base!$A$3:$A$5001,$B31),SUMIFS(Base!$F$3:$F$5001,Base!$A$3:$A$5001,$B31,Base!$B$3:$B$5001,$B$2))</f>
        <v>0</v>
      </c>
      <c r="G31">
        <f>IF($B$2="Todos",SUMIFS(Base!$G$3:$G$5001,Base!$A$3:$A$5001,$B31),SUMIFS(Base!$G$3:$G$5001,Base!$A$3:$A$5001,$B31,Base!$B$3:$B$5001,$B$2))</f>
        <v>0</v>
      </c>
      <c r="H31">
        <f>IF($B$2="Todos",SUMIFS(Base!$H$3:$H$5001,Base!$A$3:$A$5001,$B31),SUMIFS(Base!$H$3:$H$5001,Base!$A$3:$A$5001,$B31,Base!$B$3:$B$5001,$B$2))</f>
        <v>0</v>
      </c>
      <c r="I31">
        <f>IF($B$2="Todos",SUMIFS(Base!$I$3:$I$5001,Base!$A$3:$A$5001,$B31),SUMIFS(Base!$I$3:$I$5001,Base!$A$3:$A$5001,$B31,Base!$B$3:$B$5001,$B$2))</f>
        <v>0</v>
      </c>
      <c r="J31">
        <f>IF($B$2="Todos",SUMIFS(Base!$J$3:$J$5001,Base!$A$3:$A$5001,$B31),SUMIFS(Base!$J$3:$J$5001,Base!$A$3:$A$5001,$B31,Base!$B$3:$B$5001,$B$2))</f>
        <v>0</v>
      </c>
      <c r="K31">
        <f>IF($B$2="Todos",SUMIFS(Base!$K$3:$K$5001,Base!$A$3:$A$5001,$B31),SUMIFS(Base!$K$3:$K$5001,Base!$A$3:$A$5001,$B31,Base!$B$3:$B$5001,$B$2))</f>
        <v>0</v>
      </c>
      <c r="L31">
        <f>IF($B$2="Todos",SUMIFS(Base!$L$3:$L$5001,Base!$A$3:$A$5001,$B31),SUMIFS(Base!$L$3:$L$5001,Base!$A$3:$A$5001,$B31,Base!$B$3:$B$5001,$B$2))</f>
        <v>0</v>
      </c>
      <c r="M31">
        <f>IF($B$2="Todos",SUMIFS(Base!$M$3:$M$5001,Base!$A$3:$A$5001,$B31),SUMIFS(Base!$M$3:$M$5001,Base!$A$3:$A$5001,$B31,Base!$B$3:$B$5001,$B$2))</f>
        <v>0</v>
      </c>
      <c r="N31">
        <f>IF($B$2="Todos",SUMIFS(Base!$N$3:$N$5001,Base!$A$3:$A$5001,$B31),SUMIFS(Base!$N$3:$N$5001,Base!$A$3:$A$5001,$B31,Base!$B$3:$B$5001,$B$2))</f>
        <v>0</v>
      </c>
      <c r="O31">
        <f>IF($B$2="Todos",SUMIFS(Base!$O$3:$O$5001,Base!$A$3:$A$5001,$B31),SUMIFS(Base!$O$3:$O$5001,Base!$A$3:$A$5001,$B31,Base!$B$3:$B$5001,$B$2))</f>
        <v>0</v>
      </c>
      <c r="P31">
        <f>IF($B$2="Todos",SUMIFS(Base!$P$3:$P$5001,Base!$A$3:$A$5001,$B31),SUMIFS(Base!$P$3:$P$5001,Base!$A$3:$A$5001,$B31,Base!$B$3:$B$5001,$B$2))</f>
        <v>0</v>
      </c>
      <c r="Q31">
        <f>IF($B$2="Todos",SUMIFS(Base!$Q$3:$Q$5001,Base!$A$3:$A$5001,$B31),SUMIFS(Base!$Q$3:$Q$5001,Base!$A$3:$A$5001,$B31,Base!$B$3:$B$5001,$B$2))</f>
        <v>0</v>
      </c>
      <c r="R31">
        <f>IF($B$2="Todos",SUMIFS(Base!$R$3:$R$5001,Base!$A$3:$A$5001,$B31),SUMIFS(Base!$R$3:$R$5001,Base!$A$3:$A$5001,$B31,Base!$B$3:$B$5001,$B$2))</f>
        <v>0</v>
      </c>
      <c r="S31">
        <f>IF($B$2="Todos",SUMIFS(Base!$S$3:$S$5001,Base!$A$3:$A$5001,$B31),SUMIFS(Base!$S$3:$S$5001,Base!$A$3:$A$5001,$B31,Base!$B$3:$B$5001,$B$2))</f>
        <v>0</v>
      </c>
      <c r="T31">
        <f>IF($B$2="Todos",SUMIFS(Base!$T$3:$T$5001,Base!$A$3:$A$5001,$B31),SUMIFS(Base!$T$3:$T$5001,Base!$A$3:$A$5001,$B31,Base!$B$3:$B$5001,$B$2))</f>
        <v>0</v>
      </c>
      <c r="U31">
        <f>IF($B$2="Todos",SUMIFS(Base!$U$3:$U$5001,Base!$A$3:$A$5001,$B31),SUMIFS(Base!$U$3:$U$5001,Base!$A$3:$A$5001,$B31,Base!$B$3:$B$5001,$B$2))</f>
        <v>0</v>
      </c>
      <c r="V31">
        <f>IF($B$2="Todos",SUMIFS(Base!$V$3:$V$5001,Base!$A$3:$A$5001,$B31),SUMIFS(Base!$V$3:$V$5001,Base!$A$3:$A$5001,$B31,Base!$B$3:$B$5001,$B$2))</f>
        <v>0</v>
      </c>
      <c r="W31" t="str">
        <f>IF($B$2="Todos",IF(COUNT($C$147:$K$147)=0,"",SUM($C$147:$K$147)),IFERROR(INDEX($C$147:$K$147,MATCH($B$2,$C$127:$K$127,0)),""))</f>
        <v/>
      </c>
      <c r="X31" t="str">
        <f>IF(Y31="","",IF($B$2="Todos",IF(ISNUMBER($B$4),$B$4,IF(COUNT($C$182:$K$182)=0,"",SUM($C$182:$K$182))),IFERROR(INDEX($C$182:$K$182,MATCH($B$2,$C$162:$K$162,0)),"")))</f>
        <v/>
      </c>
      <c r="Y31" t="str">
        <f>IF($B$2="Todos",IF(COUNT($C$217:$K$217)=0,"",SUM($C$217:$K$217)),IFERROR(INDEX($C$217:$K$217,MATCH($B$2,$C$197:$K$197,0)),""))</f>
        <v/>
      </c>
      <c r="Z31" t="str">
        <f>IF(AND(ISNUMBER(Y31),ISNUMBER(X31)),IF(X31&gt;0,Y31/X31,""),"")</f>
        <v/>
      </c>
      <c r="AA31" t="str">
        <f>IF($B$2="Todos",IF(COUNT($C$252:$K$252)=0,"",SUM($C$252:$K$252)),IFERROR(INDEX($C$252:$K$252,MATCH($B$2,$C$232:$K$232,0)),""))</f>
        <v/>
      </c>
      <c r="AB31">
        <f>IF($B$2="Todos",SUMIFS(Base!$AA$3:$AA$5001,Base!$A$3:$A$5001,$B31),SUMIFS(Base!$AA$3:$AA$5001,Base!$A$3:$A$5001,$B31,Base!$B$3:$B$5001,$B$2))</f>
        <v>0</v>
      </c>
      <c r="AC31">
        <f>IF($B$2="Todos",SUMIFS(Base!$AB$3:$AB$5001,Base!$A$3:$A$5001,$B31),SUMIFS(Base!$AB$3:$AB$5001,Base!$A$3:$A$5001,$B31,Base!$B$3:$B$5001,$B$2))</f>
        <v>0</v>
      </c>
      <c r="AD31">
        <f>IF($B$2="Todos",SUMIFS(Base!$AC$3:$AC$5001,Base!$A$3:$A$5001,$B31),SUMIFS(Base!$AC$3:$AC$5001,Base!$A$3:$A$5001,$B31,Base!$B$3:$B$5001,$B$2))</f>
        <v>0</v>
      </c>
      <c r="AE31">
        <f>IF($B$2="Todos",SUMIFS(Base!$AD$3:$AD$5001,Base!$A$3:$A$5001,$B31),SUMIFS(Base!$AD$3:$AD$5001,Base!$A$3:$A$5001,$B31,Base!$B$3:$B$5001,$B$2))</f>
        <v>0</v>
      </c>
      <c r="AG31">
        <f>IFERROR(N(INDEX($C31:$AE31,MATCH($B$3,$C$11:$AE$11,0))),0)</f>
        <v>0</v>
      </c>
      <c r="AH31">
        <f>IFERROR(N(INDEX($C31:$AE31,MATCH($C$3,$C$11:$AE$11,0))),0)</f>
        <v>0</v>
      </c>
      <c r="AI31">
        <f>$B$5</f>
        <v>0.7</v>
      </c>
      <c r="AJ31">
        <f>$B$6</f>
        <v>0.9</v>
      </c>
      <c r="AN31" t="inlineStr">
        <is>
          <t xml:space="preserve">AGOSTO · 2027</t>
        </is>
      </c>
    </row>
    <row r="32">
      <c r="A32">
        <v>21</v>
      </c>
      <c r="B32" s="152">
        <f>IF(ISNUMBER($A32),$C$7+$A32-1,"")</f>
        <v>46286</v>
      </c>
      <c r="C32">
        <f>IF($B$2="Todos",SUMIFS(Base!$C$3:$C$5001,Base!$A$3:$A$5001,$B32),SUMIFS(Base!$C$3:$C$5001,Base!$A$3:$A$5001,$B32,Base!$B$3:$B$5001,$B$2))</f>
        <v>0</v>
      </c>
      <c r="D32">
        <f>IF($B$2="Todos",SUMIFS(Base!$D$3:$D$5001,Base!$A$3:$A$5001,$B32),SUMIFS(Base!$D$3:$D$5001,Base!$A$3:$A$5001,$B32,Base!$B$3:$B$5001,$B$2))</f>
        <v>0</v>
      </c>
      <c r="E32">
        <f>IF($B$2="Todos",SUMIFS(Base!$E$3:$E$5001,Base!$A$3:$A$5001,$B32),SUMIFS(Base!$E$3:$E$5001,Base!$A$3:$A$5001,$B32,Base!$B$3:$B$5001,$B$2))</f>
        <v>0</v>
      </c>
      <c r="F32">
        <f>IF($B$2="Todos",SUMIFS(Base!$F$3:$F$5001,Base!$A$3:$A$5001,$B32),SUMIFS(Base!$F$3:$F$5001,Base!$A$3:$A$5001,$B32,Base!$B$3:$B$5001,$B$2))</f>
        <v>0</v>
      </c>
      <c r="G32">
        <f>IF($B$2="Todos",SUMIFS(Base!$G$3:$G$5001,Base!$A$3:$A$5001,$B32),SUMIFS(Base!$G$3:$G$5001,Base!$A$3:$A$5001,$B32,Base!$B$3:$B$5001,$B$2))</f>
        <v>0</v>
      </c>
      <c r="H32">
        <f>IF($B$2="Todos",SUMIFS(Base!$H$3:$H$5001,Base!$A$3:$A$5001,$B32),SUMIFS(Base!$H$3:$H$5001,Base!$A$3:$A$5001,$B32,Base!$B$3:$B$5001,$B$2))</f>
        <v>0</v>
      </c>
      <c r="I32">
        <f>IF($B$2="Todos",SUMIFS(Base!$I$3:$I$5001,Base!$A$3:$A$5001,$B32),SUMIFS(Base!$I$3:$I$5001,Base!$A$3:$A$5001,$B32,Base!$B$3:$B$5001,$B$2))</f>
        <v>0</v>
      </c>
      <c r="J32">
        <f>IF($B$2="Todos",SUMIFS(Base!$J$3:$J$5001,Base!$A$3:$A$5001,$B32),SUMIFS(Base!$J$3:$J$5001,Base!$A$3:$A$5001,$B32,Base!$B$3:$B$5001,$B$2))</f>
        <v>0</v>
      </c>
      <c r="K32">
        <f>IF($B$2="Todos",SUMIFS(Base!$K$3:$K$5001,Base!$A$3:$A$5001,$B32),SUMIFS(Base!$K$3:$K$5001,Base!$A$3:$A$5001,$B32,Base!$B$3:$B$5001,$B$2))</f>
        <v>0</v>
      </c>
      <c r="L32">
        <f>IF($B$2="Todos",SUMIFS(Base!$L$3:$L$5001,Base!$A$3:$A$5001,$B32),SUMIFS(Base!$L$3:$L$5001,Base!$A$3:$A$5001,$B32,Base!$B$3:$B$5001,$B$2))</f>
        <v>0</v>
      </c>
      <c r="M32">
        <f>IF($B$2="Todos",SUMIFS(Base!$M$3:$M$5001,Base!$A$3:$A$5001,$B32),SUMIFS(Base!$M$3:$M$5001,Base!$A$3:$A$5001,$B32,Base!$B$3:$B$5001,$B$2))</f>
        <v>0</v>
      </c>
      <c r="N32">
        <f>IF($B$2="Todos",SUMIFS(Base!$N$3:$N$5001,Base!$A$3:$A$5001,$B32),SUMIFS(Base!$N$3:$N$5001,Base!$A$3:$A$5001,$B32,Base!$B$3:$B$5001,$B$2))</f>
        <v>0</v>
      </c>
      <c r="O32">
        <f>IF($B$2="Todos",SUMIFS(Base!$O$3:$O$5001,Base!$A$3:$A$5001,$B32),SUMIFS(Base!$O$3:$O$5001,Base!$A$3:$A$5001,$B32,Base!$B$3:$B$5001,$B$2))</f>
        <v>0</v>
      </c>
      <c r="P32">
        <f>IF($B$2="Todos",SUMIFS(Base!$P$3:$P$5001,Base!$A$3:$A$5001,$B32),SUMIFS(Base!$P$3:$P$5001,Base!$A$3:$A$5001,$B32,Base!$B$3:$B$5001,$B$2))</f>
        <v>0</v>
      </c>
      <c r="Q32">
        <f>IF($B$2="Todos",SUMIFS(Base!$Q$3:$Q$5001,Base!$A$3:$A$5001,$B32),SUMIFS(Base!$Q$3:$Q$5001,Base!$A$3:$A$5001,$B32,Base!$B$3:$B$5001,$B$2))</f>
        <v>0</v>
      </c>
      <c r="R32">
        <f>IF($B$2="Todos",SUMIFS(Base!$R$3:$R$5001,Base!$A$3:$A$5001,$B32),SUMIFS(Base!$R$3:$R$5001,Base!$A$3:$A$5001,$B32,Base!$B$3:$B$5001,$B$2))</f>
        <v>0</v>
      </c>
      <c r="S32">
        <f>IF($B$2="Todos",SUMIFS(Base!$S$3:$S$5001,Base!$A$3:$A$5001,$B32),SUMIFS(Base!$S$3:$S$5001,Base!$A$3:$A$5001,$B32,Base!$B$3:$B$5001,$B$2))</f>
        <v>0</v>
      </c>
      <c r="T32">
        <f>IF($B$2="Todos",SUMIFS(Base!$T$3:$T$5001,Base!$A$3:$A$5001,$B32),SUMIFS(Base!$T$3:$T$5001,Base!$A$3:$A$5001,$B32,Base!$B$3:$B$5001,$B$2))</f>
        <v>0</v>
      </c>
      <c r="U32">
        <f>IF($B$2="Todos",SUMIFS(Base!$U$3:$U$5001,Base!$A$3:$A$5001,$B32),SUMIFS(Base!$U$3:$U$5001,Base!$A$3:$A$5001,$B32,Base!$B$3:$B$5001,$B$2))</f>
        <v>0</v>
      </c>
      <c r="V32">
        <f>IF($B$2="Todos",SUMIFS(Base!$V$3:$V$5001,Base!$A$3:$A$5001,$B32),SUMIFS(Base!$V$3:$V$5001,Base!$A$3:$A$5001,$B32,Base!$B$3:$B$5001,$B$2))</f>
        <v>0</v>
      </c>
      <c r="W32" t="str">
        <f>IF($B$2="Todos",IF(COUNT($C$148:$K$148)=0,"",SUM($C$148:$K$148)),IFERROR(INDEX($C$148:$K$148,MATCH($B$2,$C$127:$K$127,0)),""))</f>
        <v/>
      </c>
      <c r="X32" t="str">
        <f>IF(Y32="","",IF($B$2="Todos",IF(ISNUMBER($B$4),$B$4,IF(COUNT($C$183:$K$183)=0,"",SUM($C$183:$K$183))),IFERROR(INDEX($C$183:$K$183,MATCH($B$2,$C$162:$K$162,0)),"")))</f>
        <v/>
      </c>
      <c r="Y32" t="str">
        <f>IF($B$2="Todos",IF(COUNT($C$218:$K$218)=0,"",SUM($C$218:$K$218)),IFERROR(INDEX($C$218:$K$218,MATCH($B$2,$C$197:$K$197,0)),""))</f>
        <v/>
      </c>
      <c r="Z32" t="str">
        <f>IF(AND(ISNUMBER(Y32),ISNUMBER(X32)),IF(X32&gt;0,Y32/X32,""),"")</f>
        <v/>
      </c>
      <c r="AA32" t="str">
        <f>IF($B$2="Todos",IF(COUNT($C$253:$K$253)=0,"",SUM($C$253:$K$253)),IFERROR(INDEX($C$253:$K$253,MATCH($B$2,$C$232:$K$232,0)),""))</f>
        <v/>
      </c>
      <c r="AB32">
        <f>IF($B$2="Todos",SUMIFS(Base!$AA$3:$AA$5001,Base!$A$3:$A$5001,$B32),SUMIFS(Base!$AA$3:$AA$5001,Base!$A$3:$A$5001,$B32,Base!$B$3:$B$5001,$B$2))</f>
        <v>0</v>
      </c>
      <c r="AC32">
        <f>IF($B$2="Todos",SUMIFS(Base!$AB$3:$AB$5001,Base!$A$3:$A$5001,$B32),SUMIFS(Base!$AB$3:$AB$5001,Base!$A$3:$A$5001,$B32,Base!$B$3:$B$5001,$B$2))</f>
        <v>0</v>
      </c>
      <c r="AD32">
        <f>IF($B$2="Todos",SUMIFS(Base!$AC$3:$AC$5001,Base!$A$3:$A$5001,$B32),SUMIFS(Base!$AC$3:$AC$5001,Base!$A$3:$A$5001,$B32,Base!$B$3:$B$5001,$B$2))</f>
        <v>0</v>
      </c>
      <c r="AE32">
        <f>IF($B$2="Todos",SUMIFS(Base!$AD$3:$AD$5001,Base!$A$3:$A$5001,$B32),SUMIFS(Base!$AD$3:$AD$5001,Base!$A$3:$A$5001,$B32,Base!$B$3:$B$5001,$B$2))</f>
        <v>0</v>
      </c>
      <c r="AG32">
        <f>IFERROR(N(INDEX($C32:$AE32,MATCH($B$3,$C$11:$AE$11,0))),0)</f>
        <v>0</v>
      </c>
      <c r="AH32">
        <f>IFERROR(N(INDEX($C32:$AE32,MATCH($C$3,$C$11:$AE$11,0))),0)</f>
        <v>0</v>
      </c>
      <c r="AI32">
        <f>$B$5</f>
        <v>0.7</v>
      </c>
      <c r="AJ32">
        <f>$B$6</f>
        <v>0.9</v>
      </c>
      <c r="AN32" t="inlineStr">
        <is>
          <t xml:space="preserve">SETEMBRO · 2027</t>
        </is>
      </c>
    </row>
    <row r="33">
      <c r="A33">
        <v>22</v>
      </c>
      <c r="B33" s="152">
        <f>IF(ISNUMBER($A33),$C$7+$A33-1,"")</f>
        <v>46287</v>
      </c>
      <c r="C33">
        <f>IF($B$2="Todos",SUMIFS(Base!$C$3:$C$5001,Base!$A$3:$A$5001,$B33),SUMIFS(Base!$C$3:$C$5001,Base!$A$3:$A$5001,$B33,Base!$B$3:$B$5001,$B$2))</f>
        <v>0</v>
      </c>
      <c r="D33">
        <f>IF($B$2="Todos",SUMIFS(Base!$D$3:$D$5001,Base!$A$3:$A$5001,$B33),SUMIFS(Base!$D$3:$D$5001,Base!$A$3:$A$5001,$B33,Base!$B$3:$B$5001,$B$2))</f>
        <v>0</v>
      </c>
      <c r="E33">
        <f>IF($B$2="Todos",SUMIFS(Base!$E$3:$E$5001,Base!$A$3:$A$5001,$B33),SUMIFS(Base!$E$3:$E$5001,Base!$A$3:$A$5001,$B33,Base!$B$3:$B$5001,$B$2))</f>
        <v>0</v>
      </c>
      <c r="F33">
        <f>IF($B$2="Todos",SUMIFS(Base!$F$3:$F$5001,Base!$A$3:$A$5001,$B33),SUMIFS(Base!$F$3:$F$5001,Base!$A$3:$A$5001,$B33,Base!$B$3:$B$5001,$B$2))</f>
        <v>0</v>
      </c>
      <c r="G33">
        <f>IF($B$2="Todos",SUMIFS(Base!$G$3:$G$5001,Base!$A$3:$A$5001,$B33),SUMIFS(Base!$G$3:$G$5001,Base!$A$3:$A$5001,$B33,Base!$B$3:$B$5001,$B$2))</f>
        <v>0</v>
      </c>
      <c r="H33">
        <f>IF($B$2="Todos",SUMIFS(Base!$H$3:$H$5001,Base!$A$3:$A$5001,$B33),SUMIFS(Base!$H$3:$H$5001,Base!$A$3:$A$5001,$B33,Base!$B$3:$B$5001,$B$2))</f>
        <v>0</v>
      </c>
      <c r="I33">
        <f>IF($B$2="Todos",SUMIFS(Base!$I$3:$I$5001,Base!$A$3:$A$5001,$B33),SUMIFS(Base!$I$3:$I$5001,Base!$A$3:$A$5001,$B33,Base!$B$3:$B$5001,$B$2))</f>
        <v>0</v>
      </c>
      <c r="J33">
        <f>IF($B$2="Todos",SUMIFS(Base!$J$3:$J$5001,Base!$A$3:$A$5001,$B33),SUMIFS(Base!$J$3:$J$5001,Base!$A$3:$A$5001,$B33,Base!$B$3:$B$5001,$B$2))</f>
        <v>0</v>
      </c>
      <c r="K33">
        <f>IF($B$2="Todos",SUMIFS(Base!$K$3:$K$5001,Base!$A$3:$A$5001,$B33),SUMIFS(Base!$K$3:$K$5001,Base!$A$3:$A$5001,$B33,Base!$B$3:$B$5001,$B$2))</f>
        <v>0</v>
      </c>
      <c r="L33">
        <f>IF($B$2="Todos",SUMIFS(Base!$L$3:$L$5001,Base!$A$3:$A$5001,$B33),SUMIFS(Base!$L$3:$L$5001,Base!$A$3:$A$5001,$B33,Base!$B$3:$B$5001,$B$2))</f>
        <v>0</v>
      </c>
      <c r="M33">
        <f>IF($B$2="Todos",SUMIFS(Base!$M$3:$M$5001,Base!$A$3:$A$5001,$B33),SUMIFS(Base!$M$3:$M$5001,Base!$A$3:$A$5001,$B33,Base!$B$3:$B$5001,$B$2))</f>
        <v>0</v>
      </c>
      <c r="N33">
        <f>IF($B$2="Todos",SUMIFS(Base!$N$3:$N$5001,Base!$A$3:$A$5001,$B33),SUMIFS(Base!$N$3:$N$5001,Base!$A$3:$A$5001,$B33,Base!$B$3:$B$5001,$B$2))</f>
        <v>0</v>
      </c>
      <c r="O33">
        <f>IF($B$2="Todos",SUMIFS(Base!$O$3:$O$5001,Base!$A$3:$A$5001,$B33),SUMIFS(Base!$O$3:$O$5001,Base!$A$3:$A$5001,$B33,Base!$B$3:$B$5001,$B$2))</f>
        <v>0</v>
      </c>
      <c r="P33">
        <f>IF($B$2="Todos",SUMIFS(Base!$P$3:$P$5001,Base!$A$3:$A$5001,$B33),SUMIFS(Base!$P$3:$P$5001,Base!$A$3:$A$5001,$B33,Base!$B$3:$B$5001,$B$2))</f>
        <v>0</v>
      </c>
      <c r="Q33">
        <f>IF($B$2="Todos",SUMIFS(Base!$Q$3:$Q$5001,Base!$A$3:$A$5001,$B33),SUMIFS(Base!$Q$3:$Q$5001,Base!$A$3:$A$5001,$B33,Base!$B$3:$B$5001,$B$2))</f>
        <v>0</v>
      </c>
      <c r="R33">
        <f>IF($B$2="Todos",SUMIFS(Base!$R$3:$R$5001,Base!$A$3:$A$5001,$B33),SUMIFS(Base!$R$3:$R$5001,Base!$A$3:$A$5001,$B33,Base!$B$3:$B$5001,$B$2))</f>
        <v>0</v>
      </c>
      <c r="S33">
        <f>IF($B$2="Todos",SUMIFS(Base!$S$3:$S$5001,Base!$A$3:$A$5001,$B33),SUMIFS(Base!$S$3:$S$5001,Base!$A$3:$A$5001,$B33,Base!$B$3:$B$5001,$B$2))</f>
        <v>0</v>
      </c>
      <c r="T33">
        <f>IF($B$2="Todos",SUMIFS(Base!$T$3:$T$5001,Base!$A$3:$A$5001,$B33),SUMIFS(Base!$T$3:$T$5001,Base!$A$3:$A$5001,$B33,Base!$B$3:$B$5001,$B$2))</f>
        <v>0</v>
      </c>
      <c r="U33">
        <f>IF($B$2="Todos",SUMIFS(Base!$U$3:$U$5001,Base!$A$3:$A$5001,$B33),SUMIFS(Base!$U$3:$U$5001,Base!$A$3:$A$5001,$B33,Base!$B$3:$B$5001,$B$2))</f>
        <v>0</v>
      </c>
      <c r="V33">
        <f>IF($B$2="Todos",SUMIFS(Base!$V$3:$V$5001,Base!$A$3:$A$5001,$B33),SUMIFS(Base!$V$3:$V$5001,Base!$A$3:$A$5001,$B33,Base!$B$3:$B$5001,$B$2))</f>
        <v>0</v>
      </c>
      <c r="W33" t="str">
        <f>IF($B$2="Todos",IF(COUNT($C$149:$K$149)=0,"",SUM($C$149:$K$149)),IFERROR(INDEX($C$149:$K$149,MATCH($B$2,$C$127:$K$127,0)),""))</f>
        <v/>
      </c>
      <c r="X33" t="str">
        <f>IF(Y33="","",IF($B$2="Todos",IF(ISNUMBER($B$4),$B$4,IF(COUNT($C$184:$K$184)=0,"",SUM($C$184:$K$184))),IFERROR(INDEX($C$184:$K$184,MATCH($B$2,$C$162:$K$162,0)),"")))</f>
        <v/>
      </c>
      <c r="Y33" t="str">
        <f>IF($B$2="Todos",IF(COUNT($C$219:$K$219)=0,"",SUM($C$219:$K$219)),IFERROR(INDEX($C$219:$K$219,MATCH($B$2,$C$197:$K$197,0)),""))</f>
        <v/>
      </c>
      <c r="Z33" t="str">
        <f>IF(AND(ISNUMBER(Y33),ISNUMBER(X33)),IF(X33&gt;0,Y33/X33,""),"")</f>
        <v/>
      </c>
      <c r="AA33" t="str">
        <f>IF($B$2="Todos",IF(COUNT($C$254:$K$254)=0,"",SUM($C$254:$K$254)),IFERROR(INDEX($C$254:$K$254,MATCH($B$2,$C$232:$K$232,0)),""))</f>
        <v/>
      </c>
      <c r="AB33">
        <f>IF($B$2="Todos",SUMIFS(Base!$AA$3:$AA$5001,Base!$A$3:$A$5001,$B33),SUMIFS(Base!$AA$3:$AA$5001,Base!$A$3:$A$5001,$B33,Base!$B$3:$B$5001,$B$2))</f>
        <v>0</v>
      </c>
      <c r="AC33">
        <f>IF($B$2="Todos",SUMIFS(Base!$AB$3:$AB$5001,Base!$A$3:$A$5001,$B33),SUMIFS(Base!$AB$3:$AB$5001,Base!$A$3:$A$5001,$B33,Base!$B$3:$B$5001,$B$2))</f>
        <v>0</v>
      </c>
      <c r="AD33">
        <f>IF($B$2="Todos",SUMIFS(Base!$AC$3:$AC$5001,Base!$A$3:$A$5001,$B33),SUMIFS(Base!$AC$3:$AC$5001,Base!$A$3:$A$5001,$B33,Base!$B$3:$B$5001,$B$2))</f>
        <v>0</v>
      </c>
      <c r="AE33">
        <f>IF($B$2="Todos",SUMIFS(Base!$AD$3:$AD$5001,Base!$A$3:$A$5001,$B33),SUMIFS(Base!$AD$3:$AD$5001,Base!$A$3:$A$5001,$B33,Base!$B$3:$B$5001,$B$2))</f>
        <v>0</v>
      </c>
      <c r="AG33">
        <f>IFERROR(N(INDEX($C33:$AE33,MATCH($B$3,$C$11:$AE$11,0))),0)</f>
        <v>0</v>
      </c>
      <c r="AH33">
        <f>IFERROR(N(INDEX($C33:$AE33,MATCH($C$3,$C$11:$AE$11,0))),0)</f>
        <v>0</v>
      </c>
      <c r="AI33">
        <f>$B$5</f>
        <v>0.7</v>
      </c>
      <c r="AJ33">
        <f>$B$6</f>
        <v>0.9</v>
      </c>
      <c r="AN33" t="inlineStr">
        <is>
          <t xml:space="preserve">OUTUBRO · 2027</t>
        </is>
      </c>
    </row>
    <row r="34">
      <c r="A34">
        <v>23</v>
      </c>
      <c r="B34" s="152">
        <f>IF(ISNUMBER($A34),$C$7+$A34-1,"")</f>
        <v>46288</v>
      </c>
      <c r="C34">
        <f>IF($B$2="Todos",SUMIFS(Base!$C$3:$C$5001,Base!$A$3:$A$5001,$B34),SUMIFS(Base!$C$3:$C$5001,Base!$A$3:$A$5001,$B34,Base!$B$3:$B$5001,$B$2))</f>
        <v>0</v>
      </c>
      <c r="D34">
        <f>IF($B$2="Todos",SUMIFS(Base!$D$3:$D$5001,Base!$A$3:$A$5001,$B34),SUMIFS(Base!$D$3:$D$5001,Base!$A$3:$A$5001,$B34,Base!$B$3:$B$5001,$B$2))</f>
        <v>0</v>
      </c>
      <c r="E34">
        <f>IF($B$2="Todos",SUMIFS(Base!$E$3:$E$5001,Base!$A$3:$A$5001,$B34),SUMIFS(Base!$E$3:$E$5001,Base!$A$3:$A$5001,$B34,Base!$B$3:$B$5001,$B$2))</f>
        <v>0</v>
      </c>
      <c r="F34">
        <f>IF($B$2="Todos",SUMIFS(Base!$F$3:$F$5001,Base!$A$3:$A$5001,$B34),SUMIFS(Base!$F$3:$F$5001,Base!$A$3:$A$5001,$B34,Base!$B$3:$B$5001,$B$2))</f>
        <v>0</v>
      </c>
      <c r="G34">
        <f>IF($B$2="Todos",SUMIFS(Base!$G$3:$G$5001,Base!$A$3:$A$5001,$B34),SUMIFS(Base!$G$3:$G$5001,Base!$A$3:$A$5001,$B34,Base!$B$3:$B$5001,$B$2))</f>
        <v>0</v>
      </c>
      <c r="H34">
        <f>IF($B$2="Todos",SUMIFS(Base!$H$3:$H$5001,Base!$A$3:$A$5001,$B34),SUMIFS(Base!$H$3:$H$5001,Base!$A$3:$A$5001,$B34,Base!$B$3:$B$5001,$B$2))</f>
        <v>0</v>
      </c>
      <c r="I34">
        <f>IF($B$2="Todos",SUMIFS(Base!$I$3:$I$5001,Base!$A$3:$A$5001,$B34),SUMIFS(Base!$I$3:$I$5001,Base!$A$3:$A$5001,$B34,Base!$B$3:$B$5001,$B$2))</f>
        <v>0</v>
      </c>
      <c r="J34">
        <f>IF($B$2="Todos",SUMIFS(Base!$J$3:$J$5001,Base!$A$3:$A$5001,$B34),SUMIFS(Base!$J$3:$J$5001,Base!$A$3:$A$5001,$B34,Base!$B$3:$B$5001,$B$2))</f>
        <v>0</v>
      </c>
      <c r="K34">
        <f>IF($B$2="Todos",SUMIFS(Base!$K$3:$K$5001,Base!$A$3:$A$5001,$B34),SUMIFS(Base!$K$3:$K$5001,Base!$A$3:$A$5001,$B34,Base!$B$3:$B$5001,$B$2))</f>
        <v>0</v>
      </c>
      <c r="L34">
        <f>IF($B$2="Todos",SUMIFS(Base!$L$3:$L$5001,Base!$A$3:$A$5001,$B34),SUMIFS(Base!$L$3:$L$5001,Base!$A$3:$A$5001,$B34,Base!$B$3:$B$5001,$B$2))</f>
        <v>0</v>
      </c>
      <c r="M34">
        <f>IF($B$2="Todos",SUMIFS(Base!$M$3:$M$5001,Base!$A$3:$A$5001,$B34),SUMIFS(Base!$M$3:$M$5001,Base!$A$3:$A$5001,$B34,Base!$B$3:$B$5001,$B$2))</f>
        <v>0</v>
      </c>
      <c r="N34">
        <f>IF($B$2="Todos",SUMIFS(Base!$N$3:$N$5001,Base!$A$3:$A$5001,$B34),SUMIFS(Base!$N$3:$N$5001,Base!$A$3:$A$5001,$B34,Base!$B$3:$B$5001,$B$2))</f>
        <v>0</v>
      </c>
      <c r="O34">
        <f>IF($B$2="Todos",SUMIFS(Base!$O$3:$O$5001,Base!$A$3:$A$5001,$B34),SUMIFS(Base!$O$3:$O$5001,Base!$A$3:$A$5001,$B34,Base!$B$3:$B$5001,$B$2))</f>
        <v>0</v>
      </c>
      <c r="P34">
        <f>IF($B$2="Todos",SUMIFS(Base!$P$3:$P$5001,Base!$A$3:$A$5001,$B34),SUMIFS(Base!$P$3:$P$5001,Base!$A$3:$A$5001,$B34,Base!$B$3:$B$5001,$B$2))</f>
        <v>0</v>
      </c>
      <c r="Q34">
        <f>IF($B$2="Todos",SUMIFS(Base!$Q$3:$Q$5001,Base!$A$3:$A$5001,$B34),SUMIFS(Base!$Q$3:$Q$5001,Base!$A$3:$A$5001,$B34,Base!$B$3:$B$5001,$B$2))</f>
        <v>0</v>
      </c>
      <c r="R34">
        <f>IF($B$2="Todos",SUMIFS(Base!$R$3:$R$5001,Base!$A$3:$A$5001,$B34),SUMIFS(Base!$R$3:$R$5001,Base!$A$3:$A$5001,$B34,Base!$B$3:$B$5001,$B$2))</f>
        <v>0</v>
      </c>
      <c r="S34">
        <f>IF($B$2="Todos",SUMIFS(Base!$S$3:$S$5001,Base!$A$3:$A$5001,$B34),SUMIFS(Base!$S$3:$S$5001,Base!$A$3:$A$5001,$B34,Base!$B$3:$B$5001,$B$2))</f>
        <v>0</v>
      </c>
      <c r="T34">
        <f>IF($B$2="Todos",SUMIFS(Base!$T$3:$T$5001,Base!$A$3:$A$5001,$B34),SUMIFS(Base!$T$3:$T$5001,Base!$A$3:$A$5001,$B34,Base!$B$3:$B$5001,$B$2))</f>
        <v>0</v>
      </c>
      <c r="U34">
        <f>IF($B$2="Todos",SUMIFS(Base!$U$3:$U$5001,Base!$A$3:$A$5001,$B34),SUMIFS(Base!$U$3:$U$5001,Base!$A$3:$A$5001,$B34,Base!$B$3:$B$5001,$B$2))</f>
        <v>0</v>
      </c>
      <c r="V34">
        <f>IF($B$2="Todos",SUMIFS(Base!$V$3:$V$5001,Base!$A$3:$A$5001,$B34),SUMIFS(Base!$V$3:$V$5001,Base!$A$3:$A$5001,$B34,Base!$B$3:$B$5001,$B$2))</f>
        <v>0</v>
      </c>
      <c r="W34" t="str">
        <f>IF($B$2="Todos",IF(COUNT($C$150:$K$150)=0,"",SUM($C$150:$K$150)),IFERROR(INDEX($C$150:$K$150,MATCH($B$2,$C$127:$K$127,0)),""))</f>
        <v/>
      </c>
      <c r="X34" t="str">
        <f>IF(Y34="","",IF($B$2="Todos",IF(ISNUMBER($B$4),$B$4,IF(COUNT($C$185:$K$185)=0,"",SUM($C$185:$K$185))),IFERROR(INDEX($C$185:$K$185,MATCH($B$2,$C$162:$K$162,0)),"")))</f>
        <v/>
      </c>
      <c r="Y34" t="str">
        <f>IF($B$2="Todos",IF(COUNT($C$220:$K$220)=0,"",SUM($C$220:$K$220)),IFERROR(INDEX($C$220:$K$220,MATCH($B$2,$C$197:$K$197,0)),""))</f>
        <v/>
      </c>
      <c r="Z34" t="str">
        <f>IF(AND(ISNUMBER(Y34),ISNUMBER(X34)),IF(X34&gt;0,Y34/X34,""),"")</f>
        <v/>
      </c>
      <c r="AA34" t="str">
        <f>IF($B$2="Todos",IF(COUNT($C$255:$K$255)=0,"",SUM($C$255:$K$255)),IFERROR(INDEX($C$255:$K$255,MATCH($B$2,$C$232:$K$232,0)),""))</f>
        <v/>
      </c>
      <c r="AB34">
        <f>IF($B$2="Todos",SUMIFS(Base!$AA$3:$AA$5001,Base!$A$3:$A$5001,$B34),SUMIFS(Base!$AA$3:$AA$5001,Base!$A$3:$A$5001,$B34,Base!$B$3:$B$5001,$B$2))</f>
        <v>0</v>
      </c>
      <c r="AC34">
        <f>IF($B$2="Todos",SUMIFS(Base!$AB$3:$AB$5001,Base!$A$3:$A$5001,$B34),SUMIFS(Base!$AB$3:$AB$5001,Base!$A$3:$A$5001,$B34,Base!$B$3:$B$5001,$B$2))</f>
        <v>0</v>
      </c>
      <c r="AD34">
        <f>IF($B$2="Todos",SUMIFS(Base!$AC$3:$AC$5001,Base!$A$3:$A$5001,$B34),SUMIFS(Base!$AC$3:$AC$5001,Base!$A$3:$A$5001,$B34,Base!$B$3:$B$5001,$B$2))</f>
        <v>0</v>
      </c>
      <c r="AE34">
        <f>IF($B$2="Todos",SUMIFS(Base!$AD$3:$AD$5001,Base!$A$3:$A$5001,$B34),SUMIFS(Base!$AD$3:$AD$5001,Base!$A$3:$A$5001,$B34,Base!$B$3:$B$5001,$B$2))</f>
        <v>0</v>
      </c>
      <c r="AG34">
        <f>IFERROR(N(INDEX($C34:$AE34,MATCH($B$3,$C$11:$AE$11,0))),0)</f>
        <v>0</v>
      </c>
      <c r="AH34">
        <f>IFERROR(N(INDEX($C34:$AE34,MATCH($C$3,$C$11:$AE$11,0))),0)</f>
        <v>0</v>
      </c>
      <c r="AI34">
        <f>$B$5</f>
        <v>0.7</v>
      </c>
      <c r="AJ34">
        <f>$B$6</f>
        <v>0.9</v>
      </c>
      <c r="AN34" t="inlineStr">
        <is>
          <t xml:space="preserve">NOVEMBRO · 2027</t>
        </is>
      </c>
    </row>
    <row r="35">
      <c r="A35">
        <v>24</v>
      </c>
      <c r="B35" s="152">
        <f>IF(ISNUMBER($A35),$C$7+$A35-1,"")</f>
        <v>46289</v>
      </c>
      <c r="C35">
        <f>IF($B$2="Todos",SUMIFS(Base!$C$3:$C$5001,Base!$A$3:$A$5001,$B35),SUMIFS(Base!$C$3:$C$5001,Base!$A$3:$A$5001,$B35,Base!$B$3:$B$5001,$B$2))</f>
        <v>0</v>
      </c>
      <c r="D35">
        <f>IF($B$2="Todos",SUMIFS(Base!$D$3:$D$5001,Base!$A$3:$A$5001,$B35),SUMIFS(Base!$D$3:$D$5001,Base!$A$3:$A$5001,$B35,Base!$B$3:$B$5001,$B$2))</f>
        <v>0</v>
      </c>
      <c r="E35">
        <f>IF($B$2="Todos",SUMIFS(Base!$E$3:$E$5001,Base!$A$3:$A$5001,$B35),SUMIFS(Base!$E$3:$E$5001,Base!$A$3:$A$5001,$B35,Base!$B$3:$B$5001,$B$2))</f>
        <v>0</v>
      </c>
      <c r="F35">
        <f>IF($B$2="Todos",SUMIFS(Base!$F$3:$F$5001,Base!$A$3:$A$5001,$B35),SUMIFS(Base!$F$3:$F$5001,Base!$A$3:$A$5001,$B35,Base!$B$3:$B$5001,$B$2))</f>
        <v>0</v>
      </c>
      <c r="G35">
        <f>IF($B$2="Todos",SUMIFS(Base!$G$3:$G$5001,Base!$A$3:$A$5001,$B35),SUMIFS(Base!$G$3:$G$5001,Base!$A$3:$A$5001,$B35,Base!$B$3:$B$5001,$B$2))</f>
        <v>0</v>
      </c>
      <c r="H35">
        <f>IF($B$2="Todos",SUMIFS(Base!$H$3:$H$5001,Base!$A$3:$A$5001,$B35),SUMIFS(Base!$H$3:$H$5001,Base!$A$3:$A$5001,$B35,Base!$B$3:$B$5001,$B$2))</f>
        <v>0</v>
      </c>
      <c r="I35">
        <f>IF($B$2="Todos",SUMIFS(Base!$I$3:$I$5001,Base!$A$3:$A$5001,$B35),SUMIFS(Base!$I$3:$I$5001,Base!$A$3:$A$5001,$B35,Base!$B$3:$B$5001,$B$2))</f>
        <v>0</v>
      </c>
      <c r="J35">
        <f>IF($B$2="Todos",SUMIFS(Base!$J$3:$J$5001,Base!$A$3:$A$5001,$B35),SUMIFS(Base!$J$3:$J$5001,Base!$A$3:$A$5001,$B35,Base!$B$3:$B$5001,$B$2))</f>
        <v>0</v>
      </c>
      <c r="K35">
        <f>IF($B$2="Todos",SUMIFS(Base!$K$3:$K$5001,Base!$A$3:$A$5001,$B35),SUMIFS(Base!$K$3:$K$5001,Base!$A$3:$A$5001,$B35,Base!$B$3:$B$5001,$B$2))</f>
        <v>0</v>
      </c>
      <c r="L35">
        <f>IF($B$2="Todos",SUMIFS(Base!$L$3:$L$5001,Base!$A$3:$A$5001,$B35),SUMIFS(Base!$L$3:$L$5001,Base!$A$3:$A$5001,$B35,Base!$B$3:$B$5001,$B$2))</f>
        <v>0</v>
      </c>
      <c r="M35">
        <f>IF($B$2="Todos",SUMIFS(Base!$M$3:$M$5001,Base!$A$3:$A$5001,$B35),SUMIFS(Base!$M$3:$M$5001,Base!$A$3:$A$5001,$B35,Base!$B$3:$B$5001,$B$2))</f>
        <v>0</v>
      </c>
      <c r="N35">
        <f>IF($B$2="Todos",SUMIFS(Base!$N$3:$N$5001,Base!$A$3:$A$5001,$B35),SUMIFS(Base!$N$3:$N$5001,Base!$A$3:$A$5001,$B35,Base!$B$3:$B$5001,$B$2))</f>
        <v>0</v>
      </c>
      <c r="O35">
        <f>IF($B$2="Todos",SUMIFS(Base!$O$3:$O$5001,Base!$A$3:$A$5001,$B35),SUMIFS(Base!$O$3:$O$5001,Base!$A$3:$A$5001,$B35,Base!$B$3:$B$5001,$B$2))</f>
        <v>0</v>
      </c>
      <c r="P35">
        <f>IF($B$2="Todos",SUMIFS(Base!$P$3:$P$5001,Base!$A$3:$A$5001,$B35),SUMIFS(Base!$P$3:$P$5001,Base!$A$3:$A$5001,$B35,Base!$B$3:$B$5001,$B$2))</f>
        <v>0</v>
      </c>
      <c r="Q35">
        <f>IF($B$2="Todos",SUMIFS(Base!$Q$3:$Q$5001,Base!$A$3:$A$5001,$B35),SUMIFS(Base!$Q$3:$Q$5001,Base!$A$3:$A$5001,$B35,Base!$B$3:$B$5001,$B$2))</f>
        <v>0</v>
      </c>
      <c r="R35">
        <f>IF($B$2="Todos",SUMIFS(Base!$R$3:$R$5001,Base!$A$3:$A$5001,$B35),SUMIFS(Base!$R$3:$R$5001,Base!$A$3:$A$5001,$B35,Base!$B$3:$B$5001,$B$2))</f>
        <v>0</v>
      </c>
      <c r="S35">
        <f>IF($B$2="Todos",SUMIFS(Base!$S$3:$S$5001,Base!$A$3:$A$5001,$B35),SUMIFS(Base!$S$3:$S$5001,Base!$A$3:$A$5001,$B35,Base!$B$3:$B$5001,$B$2))</f>
        <v>0</v>
      </c>
      <c r="T35">
        <f>IF($B$2="Todos",SUMIFS(Base!$T$3:$T$5001,Base!$A$3:$A$5001,$B35),SUMIFS(Base!$T$3:$T$5001,Base!$A$3:$A$5001,$B35,Base!$B$3:$B$5001,$B$2))</f>
        <v>0</v>
      </c>
      <c r="U35">
        <f>IF($B$2="Todos",SUMIFS(Base!$U$3:$U$5001,Base!$A$3:$A$5001,$B35),SUMIFS(Base!$U$3:$U$5001,Base!$A$3:$A$5001,$B35,Base!$B$3:$B$5001,$B$2))</f>
        <v>0</v>
      </c>
      <c r="V35">
        <f>IF($B$2="Todos",SUMIFS(Base!$V$3:$V$5001,Base!$A$3:$A$5001,$B35),SUMIFS(Base!$V$3:$V$5001,Base!$A$3:$A$5001,$B35,Base!$B$3:$B$5001,$B$2))</f>
        <v>0</v>
      </c>
      <c r="W35" t="str">
        <f>IF($B$2="Todos",IF(COUNT($C$151:$K$151)=0,"",SUM($C$151:$K$151)),IFERROR(INDEX($C$151:$K$151,MATCH($B$2,$C$127:$K$127,0)),""))</f>
        <v/>
      </c>
      <c r="X35" t="str">
        <f>IF(Y35="","",IF($B$2="Todos",IF(ISNUMBER($B$4),$B$4,IF(COUNT($C$186:$K$186)=0,"",SUM($C$186:$K$186))),IFERROR(INDEX($C$186:$K$186,MATCH($B$2,$C$162:$K$162,0)),"")))</f>
        <v/>
      </c>
      <c r="Y35" t="str">
        <f>IF($B$2="Todos",IF(COUNT($C$221:$K$221)=0,"",SUM($C$221:$K$221)),IFERROR(INDEX($C$221:$K$221,MATCH($B$2,$C$197:$K$197,0)),""))</f>
        <v/>
      </c>
      <c r="Z35" t="str">
        <f>IF(AND(ISNUMBER(Y35),ISNUMBER(X35)),IF(X35&gt;0,Y35/X35,""),"")</f>
        <v/>
      </c>
      <c r="AA35" t="str">
        <f>IF($B$2="Todos",IF(COUNT($C$256:$K$256)=0,"",SUM($C$256:$K$256)),IFERROR(INDEX($C$256:$K$256,MATCH($B$2,$C$232:$K$232,0)),""))</f>
        <v/>
      </c>
      <c r="AB35">
        <f>IF($B$2="Todos",SUMIFS(Base!$AA$3:$AA$5001,Base!$A$3:$A$5001,$B35),SUMIFS(Base!$AA$3:$AA$5001,Base!$A$3:$A$5001,$B35,Base!$B$3:$B$5001,$B$2))</f>
        <v>0</v>
      </c>
      <c r="AC35">
        <f>IF($B$2="Todos",SUMIFS(Base!$AB$3:$AB$5001,Base!$A$3:$A$5001,$B35),SUMIFS(Base!$AB$3:$AB$5001,Base!$A$3:$A$5001,$B35,Base!$B$3:$B$5001,$B$2))</f>
        <v>0</v>
      </c>
      <c r="AD35">
        <f>IF($B$2="Todos",SUMIFS(Base!$AC$3:$AC$5001,Base!$A$3:$A$5001,$B35),SUMIFS(Base!$AC$3:$AC$5001,Base!$A$3:$A$5001,$B35,Base!$B$3:$B$5001,$B$2))</f>
        <v>0</v>
      </c>
      <c r="AE35">
        <f>IF($B$2="Todos",SUMIFS(Base!$AD$3:$AD$5001,Base!$A$3:$A$5001,$B35),SUMIFS(Base!$AD$3:$AD$5001,Base!$A$3:$A$5001,$B35,Base!$B$3:$B$5001,$B$2))</f>
        <v>0</v>
      </c>
      <c r="AG35">
        <f>IFERROR(N(INDEX($C35:$AE35,MATCH($B$3,$C$11:$AE$11,0))),0)</f>
        <v>0</v>
      </c>
      <c r="AH35">
        <f>IFERROR(N(INDEX($C35:$AE35,MATCH($C$3,$C$11:$AE$11,0))),0)</f>
        <v>0</v>
      </c>
      <c r="AI35">
        <f>$B$5</f>
        <v>0.7</v>
      </c>
      <c r="AJ35">
        <f>$B$6</f>
        <v>0.9</v>
      </c>
      <c r="AN35" t="inlineStr">
        <is>
          <t xml:space="preserve">DEZEMBRO · 2027</t>
        </is>
      </c>
    </row>
    <row r="36">
      <c r="A36">
        <v>25</v>
      </c>
      <c r="B36" s="152">
        <f>IF(ISNUMBER($A36),$C$7+$A36-1,"")</f>
        <v>46290</v>
      </c>
      <c r="C36">
        <f>IF($B$2="Todos",SUMIFS(Base!$C$3:$C$5001,Base!$A$3:$A$5001,$B36),SUMIFS(Base!$C$3:$C$5001,Base!$A$3:$A$5001,$B36,Base!$B$3:$B$5001,$B$2))</f>
        <v>0</v>
      </c>
      <c r="D36">
        <f>IF($B$2="Todos",SUMIFS(Base!$D$3:$D$5001,Base!$A$3:$A$5001,$B36),SUMIFS(Base!$D$3:$D$5001,Base!$A$3:$A$5001,$B36,Base!$B$3:$B$5001,$B$2))</f>
        <v>0</v>
      </c>
      <c r="E36">
        <f>IF($B$2="Todos",SUMIFS(Base!$E$3:$E$5001,Base!$A$3:$A$5001,$B36),SUMIFS(Base!$E$3:$E$5001,Base!$A$3:$A$5001,$B36,Base!$B$3:$B$5001,$B$2))</f>
        <v>0</v>
      </c>
      <c r="F36">
        <f>IF($B$2="Todos",SUMIFS(Base!$F$3:$F$5001,Base!$A$3:$A$5001,$B36),SUMIFS(Base!$F$3:$F$5001,Base!$A$3:$A$5001,$B36,Base!$B$3:$B$5001,$B$2))</f>
        <v>0</v>
      </c>
      <c r="G36">
        <f>IF($B$2="Todos",SUMIFS(Base!$G$3:$G$5001,Base!$A$3:$A$5001,$B36),SUMIFS(Base!$G$3:$G$5001,Base!$A$3:$A$5001,$B36,Base!$B$3:$B$5001,$B$2))</f>
        <v>0</v>
      </c>
      <c r="H36">
        <f>IF($B$2="Todos",SUMIFS(Base!$H$3:$H$5001,Base!$A$3:$A$5001,$B36),SUMIFS(Base!$H$3:$H$5001,Base!$A$3:$A$5001,$B36,Base!$B$3:$B$5001,$B$2))</f>
        <v>0</v>
      </c>
      <c r="I36">
        <f>IF($B$2="Todos",SUMIFS(Base!$I$3:$I$5001,Base!$A$3:$A$5001,$B36),SUMIFS(Base!$I$3:$I$5001,Base!$A$3:$A$5001,$B36,Base!$B$3:$B$5001,$B$2))</f>
        <v>0</v>
      </c>
      <c r="J36">
        <f>IF($B$2="Todos",SUMIFS(Base!$J$3:$J$5001,Base!$A$3:$A$5001,$B36),SUMIFS(Base!$J$3:$J$5001,Base!$A$3:$A$5001,$B36,Base!$B$3:$B$5001,$B$2))</f>
        <v>0</v>
      </c>
      <c r="K36">
        <f>IF($B$2="Todos",SUMIFS(Base!$K$3:$K$5001,Base!$A$3:$A$5001,$B36),SUMIFS(Base!$K$3:$K$5001,Base!$A$3:$A$5001,$B36,Base!$B$3:$B$5001,$B$2))</f>
        <v>0</v>
      </c>
      <c r="L36">
        <f>IF($B$2="Todos",SUMIFS(Base!$L$3:$L$5001,Base!$A$3:$A$5001,$B36),SUMIFS(Base!$L$3:$L$5001,Base!$A$3:$A$5001,$B36,Base!$B$3:$B$5001,$B$2))</f>
        <v>0</v>
      </c>
      <c r="M36">
        <f>IF($B$2="Todos",SUMIFS(Base!$M$3:$M$5001,Base!$A$3:$A$5001,$B36),SUMIFS(Base!$M$3:$M$5001,Base!$A$3:$A$5001,$B36,Base!$B$3:$B$5001,$B$2))</f>
        <v>0</v>
      </c>
      <c r="N36">
        <f>IF($B$2="Todos",SUMIFS(Base!$N$3:$N$5001,Base!$A$3:$A$5001,$B36),SUMIFS(Base!$N$3:$N$5001,Base!$A$3:$A$5001,$B36,Base!$B$3:$B$5001,$B$2))</f>
        <v>0</v>
      </c>
      <c r="O36">
        <f>IF($B$2="Todos",SUMIFS(Base!$O$3:$O$5001,Base!$A$3:$A$5001,$B36),SUMIFS(Base!$O$3:$O$5001,Base!$A$3:$A$5001,$B36,Base!$B$3:$B$5001,$B$2))</f>
        <v>0</v>
      </c>
      <c r="P36">
        <f>IF($B$2="Todos",SUMIFS(Base!$P$3:$P$5001,Base!$A$3:$A$5001,$B36),SUMIFS(Base!$P$3:$P$5001,Base!$A$3:$A$5001,$B36,Base!$B$3:$B$5001,$B$2))</f>
        <v>0</v>
      </c>
      <c r="Q36">
        <f>IF($B$2="Todos",SUMIFS(Base!$Q$3:$Q$5001,Base!$A$3:$A$5001,$B36),SUMIFS(Base!$Q$3:$Q$5001,Base!$A$3:$A$5001,$B36,Base!$B$3:$B$5001,$B$2))</f>
        <v>0</v>
      </c>
      <c r="R36">
        <f>IF($B$2="Todos",SUMIFS(Base!$R$3:$R$5001,Base!$A$3:$A$5001,$B36),SUMIFS(Base!$R$3:$R$5001,Base!$A$3:$A$5001,$B36,Base!$B$3:$B$5001,$B$2))</f>
        <v>0</v>
      </c>
      <c r="S36">
        <f>IF($B$2="Todos",SUMIFS(Base!$S$3:$S$5001,Base!$A$3:$A$5001,$B36),SUMIFS(Base!$S$3:$S$5001,Base!$A$3:$A$5001,$B36,Base!$B$3:$B$5001,$B$2))</f>
        <v>0</v>
      </c>
      <c r="T36">
        <f>IF($B$2="Todos",SUMIFS(Base!$T$3:$T$5001,Base!$A$3:$A$5001,$B36),SUMIFS(Base!$T$3:$T$5001,Base!$A$3:$A$5001,$B36,Base!$B$3:$B$5001,$B$2))</f>
        <v>0</v>
      </c>
      <c r="U36">
        <f>IF($B$2="Todos",SUMIFS(Base!$U$3:$U$5001,Base!$A$3:$A$5001,$B36),SUMIFS(Base!$U$3:$U$5001,Base!$A$3:$A$5001,$B36,Base!$B$3:$B$5001,$B$2))</f>
        <v>0</v>
      </c>
      <c r="V36">
        <f>IF($B$2="Todos",SUMIFS(Base!$V$3:$V$5001,Base!$A$3:$A$5001,$B36),SUMIFS(Base!$V$3:$V$5001,Base!$A$3:$A$5001,$B36,Base!$B$3:$B$5001,$B$2))</f>
        <v>0</v>
      </c>
      <c r="W36" t="str">
        <f>IF($B$2="Todos",IF(COUNT($C$152:$K$152)=0,"",SUM($C$152:$K$152)),IFERROR(INDEX($C$152:$K$152,MATCH($B$2,$C$127:$K$127,0)),""))</f>
        <v/>
      </c>
      <c r="X36" t="str">
        <f>IF(Y36="","",IF($B$2="Todos",IF(ISNUMBER($B$4),$B$4,IF(COUNT($C$187:$K$187)=0,"",SUM($C$187:$K$187))),IFERROR(INDEX($C$187:$K$187,MATCH($B$2,$C$162:$K$162,0)),"")))</f>
        <v/>
      </c>
      <c r="Y36" t="str">
        <f>IF($B$2="Todos",IF(COUNT($C$222:$K$222)=0,"",SUM($C$222:$K$222)),IFERROR(INDEX($C$222:$K$222,MATCH($B$2,$C$197:$K$197,0)),""))</f>
        <v/>
      </c>
      <c r="Z36" t="str">
        <f>IF(AND(ISNUMBER(Y36),ISNUMBER(X36)),IF(X36&gt;0,Y36/X36,""),"")</f>
        <v/>
      </c>
      <c r="AA36" t="str">
        <f>IF($B$2="Todos",IF(COUNT($C$257:$K$257)=0,"",SUM($C$257:$K$257)),IFERROR(INDEX($C$257:$K$257,MATCH($B$2,$C$232:$K$232,0)),""))</f>
        <v/>
      </c>
      <c r="AB36">
        <f>IF($B$2="Todos",SUMIFS(Base!$AA$3:$AA$5001,Base!$A$3:$A$5001,$B36),SUMIFS(Base!$AA$3:$AA$5001,Base!$A$3:$A$5001,$B36,Base!$B$3:$B$5001,$B$2))</f>
        <v>0</v>
      </c>
      <c r="AC36">
        <f>IF($B$2="Todos",SUMIFS(Base!$AB$3:$AB$5001,Base!$A$3:$A$5001,$B36),SUMIFS(Base!$AB$3:$AB$5001,Base!$A$3:$A$5001,$B36,Base!$B$3:$B$5001,$B$2))</f>
        <v>0</v>
      </c>
      <c r="AD36">
        <f>IF($B$2="Todos",SUMIFS(Base!$AC$3:$AC$5001,Base!$A$3:$A$5001,$B36),SUMIFS(Base!$AC$3:$AC$5001,Base!$A$3:$A$5001,$B36,Base!$B$3:$B$5001,$B$2))</f>
        <v>0</v>
      </c>
      <c r="AE36">
        <f>IF($B$2="Todos",SUMIFS(Base!$AD$3:$AD$5001,Base!$A$3:$A$5001,$B36),SUMIFS(Base!$AD$3:$AD$5001,Base!$A$3:$A$5001,$B36,Base!$B$3:$B$5001,$B$2))</f>
        <v>0</v>
      </c>
      <c r="AG36">
        <f>IFERROR(N(INDEX($C36:$AE36,MATCH($B$3,$C$11:$AE$11,0))),0)</f>
        <v>0</v>
      </c>
      <c r="AH36">
        <f>IFERROR(N(INDEX($C36:$AE36,MATCH($C$3,$C$11:$AE$11,0))),0)</f>
        <v>0</v>
      </c>
      <c r="AI36">
        <f>$B$5</f>
        <v>0.7</v>
      </c>
      <c r="AJ36">
        <f>$B$6</f>
        <v>0.9</v>
      </c>
    </row>
    <row r="37">
      <c r="A37">
        <v>26</v>
      </c>
      <c r="B37" s="152">
        <f>IF(ISNUMBER($A37),$C$7+$A37-1,"")</f>
        <v>46291</v>
      </c>
      <c r="C37">
        <f>IF($B$2="Todos",SUMIFS(Base!$C$3:$C$5001,Base!$A$3:$A$5001,$B37),SUMIFS(Base!$C$3:$C$5001,Base!$A$3:$A$5001,$B37,Base!$B$3:$B$5001,$B$2))</f>
        <v>0</v>
      </c>
      <c r="D37">
        <f>IF($B$2="Todos",SUMIFS(Base!$D$3:$D$5001,Base!$A$3:$A$5001,$B37),SUMIFS(Base!$D$3:$D$5001,Base!$A$3:$A$5001,$B37,Base!$B$3:$B$5001,$B$2))</f>
        <v>0</v>
      </c>
      <c r="E37">
        <f>IF($B$2="Todos",SUMIFS(Base!$E$3:$E$5001,Base!$A$3:$A$5001,$B37),SUMIFS(Base!$E$3:$E$5001,Base!$A$3:$A$5001,$B37,Base!$B$3:$B$5001,$B$2))</f>
        <v>0</v>
      </c>
      <c r="F37">
        <f>IF($B$2="Todos",SUMIFS(Base!$F$3:$F$5001,Base!$A$3:$A$5001,$B37),SUMIFS(Base!$F$3:$F$5001,Base!$A$3:$A$5001,$B37,Base!$B$3:$B$5001,$B$2))</f>
        <v>0</v>
      </c>
      <c r="G37">
        <f>IF($B$2="Todos",SUMIFS(Base!$G$3:$G$5001,Base!$A$3:$A$5001,$B37),SUMIFS(Base!$G$3:$G$5001,Base!$A$3:$A$5001,$B37,Base!$B$3:$B$5001,$B$2))</f>
        <v>0</v>
      </c>
      <c r="H37">
        <f>IF($B$2="Todos",SUMIFS(Base!$H$3:$H$5001,Base!$A$3:$A$5001,$B37),SUMIFS(Base!$H$3:$H$5001,Base!$A$3:$A$5001,$B37,Base!$B$3:$B$5001,$B$2))</f>
        <v>0</v>
      </c>
      <c r="I37">
        <f>IF($B$2="Todos",SUMIFS(Base!$I$3:$I$5001,Base!$A$3:$A$5001,$B37),SUMIFS(Base!$I$3:$I$5001,Base!$A$3:$A$5001,$B37,Base!$B$3:$B$5001,$B$2))</f>
        <v>0</v>
      </c>
      <c r="J37">
        <f>IF($B$2="Todos",SUMIFS(Base!$J$3:$J$5001,Base!$A$3:$A$5001,$B37),SUMIFS(Base!$J$3:$J$5001,Base!$A$3:$A$5001,$B37,Base!$B$3:$B$5001,$B$2))</f>
        <v>0</v>
      </c>
      <c r="K37">
        <f>IF($B$2="Todos",SUMIFS(Base!$K$3:$K$5001,Base!$A$3:$A$5001,$B37),SUMIFS(Base!$K$3:$K$5001,Base!$A$3:$A$5001,$B37,Base!$B$3:$B$5001,$B$2))</f>
        <v>0</v>
      </c>
      <c r="L37">
        <f>IF($B$2="Todos",SUMIFS(Base!$L$3:$L$5001,Base!$A$3:$A$5001,$B37),SUMIFS(Base!$L$3:$L$5001,Base!$A$3:$A$5001,$B37,Base!$B$3:$B$5001,$B$2))</f>
        <v>0</v>
      </c>
      <c r="M37">
        <f>IF($B$2="Todos",SUMIFS(Base!$M$3:$M$5001,Base!$A$3:$A$5001,$B37),SUMIFS(Base!$M$3:$M$5001,Base!$A$3:$A$5001,$B37,Base!$B$3:$B$5001,$B$2))</f>
        <v>0</v>
      </c>
      <c r="N37">
        <f>IF($B$2="Todos",SUMIFS(Base!$N$3:$N$5001,Base!$A$3:$A$5001,$B37),SUMIFS(Base!$N$3:$N$5001,Base!$A$3:$A$5001,$B37,Base!$B$3:$B$5001,$B$2))</f>
        <v>0</v>
      </c>
      <c r="O37">
        <f>IF($B$2="Todos",SUMIFS(Base!$O$3:$O$5001,Base!$A$3:$A$5001,$B37),SUMIFS(Base!$O$3:$O$5001,Base!$A$3:$A$5001,$B37,Base!$B$3:$B$5001,$B$2))</f>
        <v>0</v>
      </c>
      <c r="P37">
        <f>IF($B$2="Todos",SUMIFS(Base!$P$3:$P$5001,Base!$A$3:$A$5001,$B37),SUMIFS(Base!$P$3:$P$5001,Base!$A$3:$A$5001,$B37,Base!$B$3:$B$5001,$B$2))</f>
        <v>0</v>
      </c>
      <c r="Q37">
        <f>IF($B$2="Todos",SUMIFS(Base!$Q$3:$Q$5001,Base!$A$3:$A$5001,$B37),SUMIFS(Base!$Q$3:$Q$5001,Base!$A$3:$A$5001,$B37,Base!$B$3:$B$5001,$B$2))</f>
        <v>0</v>
      </c>
      <c r="R37">
        <f>IF($B$2="Todos",SUMIFS(Base!$R$3:$R$5001,Base!$A$3:$A$5001,$B37),SUMIFS(Base!$R$3:$R$5001,Base!$A$3:$A$5001,$B37,Base!$B$3:$B$5001,$B$2))</f>
        <v>0</v>
      </c>
      <c r="S37">
        <f>IF($B$2="Todos",SUMIFS(Base!$S$3:$S$5001,Base!$A$3:$A$5001,$B37),SUMIFS(Base!$S$3:$S$5001,Base!$A$3:$A$5001,$B37,Base!$B$3:$B$5001,$B$2))</f>
        <v>0</v>
      </c>
      <c r="T37">
        <f>IF($B$2="Todos",SUMIFS(Base!$T$3:$T$5001,Base!$A$3:$A$5001,$B37),SUMIFS(Base!$T$3:$T$5001,Base!$A$3:$A$5001,$B37,Base!$B$3:$B$5001,$B$2))</f>
        <v>0</v>
      </c>
      <c r="U37">
        <f>IF($B$2="Todos",SUMIFS(Base!$U$3:$U$5001,Base!$A$3:$A$5001,$B37),SUMIFS(Base!$U$3:$U$5001,Base!$A$3:$A$5001,$B37,Base!$B$3:$B$5001,$B$2))</f>
        <v>0</v>
      </c>
      <c r="V37">
        <f>IF($B$2="Todos",SUMIFS(Base!$V$3:$V$5001,Base!$A$3:$A$5001,$B37),SUMIFS(Base!$V$3:$V$5001,Base!$A$3:$A$5001,$B37,Base!$B$3:$B$5001,$B$2))</f>
        <v>0</v>
      </c>
      <c r="W37" t="str">
        <f>IF($B$2="Todos",IF(COUNT($C$153:$K$153)=0,"",SUM($C$153:$K$153)),IFERROR(INDEX($C$153:$K$153,MATCH($B$2,$C$127:$K$127,0)),""))</f>
        <v/>
      </c>
      <c r="X37" t="str">
        <f>IF(Y37="","",IF($B$2="Todos",IF(ISNUMBER($B$4),$B$4,IF(COUNT($C$188:$K$188)=0,"",SUM($C$188:$K$188))),IFERROR(INDEX($C$188:$K$188,MATCH($B$2,$C$162:$K$162,0)),"")))</f>
        <v/>
      </c>
      <c r="Y37" t="str">
        <f>IF($B$2="Todos",IF(COUNT($C$223:$K$223)=0,"",SUM($C$223:$K$223)),IFERROR(INDEX($C$223:$K$223,MATCH($B$2,$C$197:$K$197,0)),""))</f>
        <v/>
      </c>
      <c r="Z37" t="str">
        <f>IF(AND(ISNUMBER(Y37),ISNUMBER(X37)),IF(X37&gt;0,Y37/X37,""),"")</f>
        <v/>
      </c>
      <c r="AA37" t="str">
        <f>IF($B$2="Todos",IF(COUNT($C$258:$K$258)=0,"",SUM($C$258:$K$258)),IFERROR(INDEX($C$258:$K$258,MATCH($B$2,$C$232:$K$232,0)),""))</f>
        <v/>
      </c>
      <c r="AB37">
        <f>IF($B$2="Todos",SUMIFS(Base!$AA$3:$AA$5001,Base!$A$3:$A$5001,$B37),SUMIFS(Base!$AA$3:$AA$5001,Base!$A$3:$A$5001,$B37,Base!$B$3:$B$5001,$B$2))</f>
        <v>0</v>
      </c>
      <c r="AC37">
        <f>IF($B$2="Todos",SUMIFS(Base!$AB$3:$AB$5001,Base!$A$3:$A$5001,$B37),SUMIFS(Base!$AB$3:$AB$5001,Base!$A$3:$A$5001,$B37,Base!$B$3:$B$5001,$B$2))</f>
        <v>0</v>
      </c>
      <c r="AD37">
        <f>IF($B$2="Todos",SUMIFS(Base!$AC$3:$AC$5001,Base!$A$3:$A$5001,$B37),SUMIFS(Base!$AC$3:$AC$5001,Base!$A$3:$A$5001,$B37,Base!$B$3:$B$5001,$B$2))</f>
        <v>0</v>
      </c>
      <c r="AE37">
        <f>IF($B$2="Todos",SUMIFS(Base!$AD$3:$AD$5001,Base!$A$3:$A$5001,$B37),SUMIFS(Base!$AD$3:$AD$5001,Base!$A$3:$A$5001,$B37,Base!$B$3:$B$5001,$B$2))</f>
        <v>0</v>
      </c>
      <c r="AG37">
        <f>IFERROR(N(INDEX($C37:$AE37,MATCH($B$3,$C$11:$AE$11,0))),0)</f>
        <v>0</v>
      </c>
      <c r="AH37">
        <f>IFERROR(N(INDEX($C37:$AE37,MATCH($C$3,$C$11:$AE$11,0))),0)</f>
        <v>0</v>
      </c>
      <c r="AI37">
        <f>$B$5</f>
        <v>0.7</v>
      </c>
      <c r="AJ37">
        <f>$B$6</f>
        <v>0.9</v>
      </c>
    </row>
    <row r="38">
      <c r="A38">
        <v>27</v>
      </c>
      <c r="B38" s="152">
        <f>IF(ISNUMBER($A38),$C$7+$A38-1,"")</f>
        <v>46292</v>
      </c>
      <c r="C38">
        <f>IF($B$2="Todos",SUMIFS(Base!$C$3:$C$5001,Base!$A$3:$A$5001,$B38),SUMIFS(Base!$C$3:$C$5001,Base!$A$3:$A$5001,$B38,Base!$B$3:$B$5001,$B$2))</f>
        <v>0</v>
      </c>
      <c r="D38">
        <f>IF($B$2="Todos",SUMIFS(Base!$D$3:$D$5001,Base!$A$3:$A$5001,$B38),SUMIFS(Base!$D$3:$D$5001,Base!$A$3:$A$5001,$B38,Base!$B$3:$B$5001,$B$2))</f>
        <v>0</v>
      </c>
      <c r="E38">
        <f>IF($B$2="Todos",SUMIFS(Base!$E$3:$E$5001,Base!$A$3:$A$5001,$B38),SUMIFS(Base!$E$3:$E$5001,Base!$A$3:$A$5001,$B38,Base!$B$3:$B$5001,$B$2))</f>
        <v>0</v>
      </c>
      <c r="F38">
        <f>IF($B$2="Todos",SUMIFS(Base!$F$3:$F$5001,Base!$A$3:$A$5001,$B38),SUMIFS(Base!$F$3:$F$5001,Base!$A$3:$A$5001,$B38,Base!$B$3:$B$5001,$B$2))</f>
        <v>0</v>
      </c>
      <c r="G38">
        <f>IF($B$2="Todos",SUMIFS(Base!$G$3:$G$5001,Base!$A$3:$A$5001,$B38),SUMIFS(Base!$G$3:$G$5001,Base!$A$3:$A$5001,$B38,Base!$B$3:$B$5001,$B$2))</f>
        <v>0</v>
      </c>
      <c r="H38">
        <f>IF($B$2="Todos",SUMIFS(Base!$H$3:$H$5001,Base!$A$3:$A$5001,$B38),SUMIFS(Base!$H$3:$H$5001,Base!$A$3:$A$5001,$B38,Base!$B$3:$B$5001,$B$2))</f>
        <v>0</v>
      </c>
      <c r="I38">
        <f>IF($B$2="Todos",SUMIFS(Base!$I$3:$I$5001,Base!$A$3:$A$5001,$B38),SUMIFS(Base!$I$3:$I$5001,Base!$A$3:$A$5001,$B38,Base!$B$3:$B$5001,$B$2))</f>
        <v>0</v>
      </c>
      <c r="J38">
        <f>IF($B$2="Todos",SUMIFS(Base!$J$3:$J$5001,Base!$A$3:$A$5001,$B38),SUMIFS(Base!$J$3:$J$5001,Base!$A$3:$A$5001,$B38,Base!$B$3:$B$5001,$B$2))</f>
        <v>0</v>
      </c>
      <c r="K38">
        <f>IF($B$2="Todos",SUMIFS(Base!$K$3:$K$5001,Base!$A$3:$A$5001,$B38),SUMIFS(Base!$K$3:$K$5001,Base!$A$3:$A$5001,$B38,Base!$B$3:$B$5001,$B$2))</f>
        <v>0</v>
      </c>
      <c r="L38">
        <f>IF($B$2="Todos",SUMIFS(Base!$L$3:$L$5001,Base!$A$3:$A$5001,$B38),SUMIFS(Base!$L$3:$L$5001,Base!$A$3:$A$5001,$B38,Base!$B$3:$B$5001,$B$2))</f>
        <v>0</v>
      </c>
      <c r="M38">
        <f>IF($B$2="Todos",SUMIFS(Base!$M$3:$M$5001,Base!$A$3:$A$5001,$B38),SUMIFS(Base!$M$3:$M$5001,Base!$A$3:$A$5001,$B38,Base!$B$3:$B$5001,$B$2))</f>
        <v>0</v>
      </c>
      <c r="N38">
        <f>IF($B$2="Todos",SUMIFS(Base!$N$3:$N$5001,Base!$A$3:$A$5001,$B38),SUMIFS(Base!$N$3:$N$5001,Base!$A$3:$A$5001,$B38,Base!$B$3:$B$5001,$B$2))</f>
        <v>0</v>
      </c>
      <c r="O38">
        <f>IF($B$2="Todos",SUMIFS(Base!$O$3:$O$5001,Base!$A$3:$A$5001,$B38),SUMIFS(Base!$O$3:$O$5001,Base!$A$3:$A$5001,$B38,Base!$B$3:$B$5001,$B$2))</f>
        <v>0</v>
      </c>
      <c r="P38">
        <f>IF($B$2="Todos",SUMIFS(Base!$P$3:$P$5001,Base!$A$3:$A$5001,$B38),SUMIFS(Base!$P$3:$P$5001,Base!$A$3:$A$5001,$B38,Base!$B$3:$B$5001,$B$2))</f>
        <v>0</v>
      </c>
      <c r="Q38">
        <f>IF($B$2="Todos",SUMIFS(Base!$Q$3:$Q$5001,Base!$A$3:$A$5001,$B38),SUMIFS(Base!$Q$3:$Q$5001,Base!$A$3:$A$5001,$B38,Base!$B$3:$B$5001,$B$2))</f>
        <v>0</v>
      </c>
      <c r="R38">
        <f>IF($B$2="Todos",SUMIFS(Base!$R$3:$R$5001,Base!$A$3:$A$5001,$B38),SUMIFS(Base!$R$3:$R$5001,Base!$A$3:$A$5001,$B38,Base!$B$3:$B$5001,$B$2))</f>
        <v>0</v>
      </c>
      <c r="S38">
        <f>IF($B$2="Todos",SUMIFS(Base!$S$3:$S$5001,Base!$A$3:$A$5001,$B38),SUMIFS(Base!$S$3:$S$5001,Base!$A$3:$A$5001,$B38,Base!$B$3:$B$5001,$B$2))</f>
        <v>0</v>
      </c>
      <c r="T38">
        <f>IF($B$2="Todos",SUMIFS(Base!$T$3:$T$5001,Base!$A$3:$A$5001,$B38),SUMIFS(Base!$T$3:$T$5001,Base!$A$3:$A$5001,$B38,Base!$B$3:$B$5001,$B$2))</f>
        <v>0</v>
      </c>
      <c r="U38">
        <f>IF($B$2="Todos",SUMIFS(Base!$U$3:$U$5001,Base!$A$3:$A$5001,$B38),SUMIFS(Base!$U$3:$U$5001,Base!$A$3:$A$5001,$B38,Base!$B$3:$B$5001,$B$2))</f>
        <v>0</v>
      </c>
      <c r="V38">
        <f>IF($B$2="Todos",SUMIFS(Base!$V$3:$V$5001,Base!$A$3:$A$5001,$B38),SUMIFS(Base!$V$3:$V$5001,Base!$A$3:$A$5001,$B38,Base!$B$3:$B$5001,$B$2))</f>
        <v>0</v>
      </c>
      <c r="W38" t="str">
        <f>IF($B$2="Todos",IF(COUNT($C$154:$K$154)=0,"",SUM($C$154:$K$154)),IFERROR(INDEX($C$154:$K$154,MATCH($B$2,$C$127:$K$127,0)),""))</f>
        <v/>
      </c>
      <c r="X38" t="str">
        <f>IF(Y38="","",IF($B$2="Todos",IF(ISNUMBER($B$4),$B$4,IF(COUNT($C$189:$K$189)=0,"",SUM($C$189:$K$189))),IFERROR(INDEX($C$189:$K$189,MATCH($B$2,$C$162:$K$162,0)),"")))</f>
        <v/>
      </c>
      <c r="Y38" t="str">
        <f>IF($B$2="Todos",IF(COUNT($C$224:$K$224)=0,"",SUM($C$224:$K$224)),IFERROR(INDEX($C$224:$K$224,MATCH($B$2,$C$197:$K$197,0)),""))</f>
        <v/>
      </c>
      <c r="Z38" t="str">
        <f>IF(AND(ISNUMBER(Y38),ISNUMBER(X38)),IF(X38&gt;0,Y38/X38,""),"")</f>
        <v/>
      </c>
      <c r="AA38" t="str">
        <f>IF($B$2="Todos",IF(COUNT($C$259:$K$259)=0,"",SUM($C$259:$K$259)),IFERROR(INDEX($C$259:$K$259,MATCH($B$2,$C$232:$K$232,0)),""))</f>
        <v/>
      </c>
      <c r="AB38">
        <f>IF($B$2="Todos",SUMIFS(Base!$AA$3:$AA$5001,Base!$A$3:$A$5001,$B38),SUMIFS(Base!$AA$3:$AA$5001,Base!$A$3:$A$5001,$B38,Base!$B$3:$B$5001,$B$2))</f>
        <v>0</v>
      </c>
      <c r="AC38">
        <f>IF($B$2="Todos",SUMIFS(Base!$AB$3:$AB$5001,Base!$A$3:$A$5001,$B38),SUMIFS(Base!$AB$3:$AB$5001,Base!$A$3:$A$5001,$B38,Base!$B$3:$B$5001,$B$2))</f>
        <v>0</v>
      </c>
      <c r="AD38">
        <f>IF($B$2="Todos",SUMIFS(Base!$AC$3:$AC$5001,Base!$A$3:$A$5001,$B38),SUMIFS(Base!$AC$3:$AC$5001,Base!$A$3:$A$5001,$B38,Base!$B$3:$B$5001,$B$2))</f>
        <v>0</v>
      </c>
      <c r="AE38">
        <f>IF($B$2="Todos",SUMIFS(Base!$AD$3:$AD$5001,Base!$A$3:$A$5001,$B38),SUMIFS(Base!$AD$3:$AD$5001,Base!$A$3:$A$5001,$B38,Base!$B$3:$B$5001,$B$2))</f>
        <v>0</v>
      </c>
      <c r="AG38">
        <f>IFERROR(N(INDEX($C38:$AE38,MATCH($B$3,$C$11:$AE$11,0))),0)</f>
        <v>0</v>
      </c>
      <c r="AH38">
        <f>IFERROR(N(INDEX($C38:$AE38,MATCH($C$3,$C$11:$AE$11,0))),0)</f>
        <v>0</v>
      </c>
      <c r="AI38">
        <f>$B$5</f>
        <v>0.7</v>
      </c>
      <c r="AJ38">
        <f>$B$6</f>
        <v>0.9</v>
      </c>
    </row>
    <row r="39">
      <c r="A39">
        <v>28</v>
      </c>
      <c r="B39" s="152">
        <f>IF(ISNUMBER($A39),$C$7+$A39-1,"")</f>
        <v>46293</v>
      </c>
      <c r="C39">
        <f>IF($B$2="Todos",SUMIFS(Base!$C$3:$C$5001,Base!$A$3:$A$5001,$B39),SUMIFS(Base!$C$3:$C$5001,Base!$A$3:$A$5001,$B39,Base!$B$3:$B$5001,$B$2))</f>
        <v>0</v>
      </c>
      <c r="D39">
        <f>IF($B$2="Todos",SUMIFS(Base!$D$3:$D$5001,Base!$A$3:$A$5001,$B39),SUMIFS(Base!$D$3:$D$5001,Base!$A$3:$A$5001,$B39,Base!$B$3:$B$5001,$B$2))</f>
        <v>0</v>
      </c>
      <c r="E39">
        <f>IF($B$2="Todos",SUMIFS(Base!$E$3:$E$5001,Base!$A$3:$A$5001,$B39),SUMIFS(Base!$E$3:$E$5001,Base!$A$3:$A$5001,$B39,Base!$B$3:$B$5001,$B$2))</f>
        <v>0</v>
      </c>
      <c r="F39">
        <f>IF($B$2="Todos",SUMIFS(Base!$F$3:$F$5001,Base!$A$3:$A$5001,$B39),SUMIFS(Base!$F$3:$F$5001,Base!$A$3:$A$5001,$B39,Base!$B$3:$B$5001,$B$2))</f>
        <v>0</v>
      </c>
      <c r="G39">
        <f>IF($B$2="Todos",SUMIFS(Base!$G$3:$G$5001,Base!$A$3:$A$5001,$B39),SUMIFS(Base!$G$3:$G$5001,Base!$A$3:$A$5001,$B39,Base!$B$3:$B$5001,$B$2))</f>
        <v>0</v>
      </c>
      <c r="H39">
        <f>IF($B$2="Todos",SUMIFS(Base!$H$3:$H$5001,Base!$A$3:$A$5001,$B39),SUMIFS(Base!$H$3:$H$5001,Base!$A$3:$A$5001,$B39,Base!$B$3:$B$5001,$B$2))</f>
        <v>0</v>
      </c>
      <c r="I39">
        <f>IF($B$2="Todos",SUMIFS(Base!$I$3:$I$5001,Base!$A$3:$A$5001,$B39),SUMIFS(Base!$I$3:$I$5001,Base!$A$3:$A$5001,$B39,Base!$B$3:$B$5001,$B$2))</f>
        <v>0</v>
      </c>
      <c r="J39">
        <f>IF($B$2="Todos",SUMIFS(Base!$J$3:$J$5001,Base!$A$3:$A$5001,$B39),SUMIFS(Base!$J$3:$J$5001,Base!$A$3:$A$5001,$B39,Base!$B$3:$B$5001,$B$2))</f>
        <v>0</v>
      </c>
      <c r="K39">
        <f>IF($B$2="Todos",SUMIFS(Base!$K$3:$K$5001,Base!$A$3:$A$5001,$B39),SUMIFS(Base!$K$3:$K$5001,Base!$A$3:$A$5001,$B39,Base!$B$3:$B$5001,$B$2))</f>
        <v>0</v>
      </c>
      <c r="L39">
        <f>IF($B$2="Todos",SUMIFS(Base!$L$3:$L$5001,Base!$A$3:$A$5001,$B39),SUMIFS(Base!$L$3:$L$5001,Base!$A$3:$A$5001,$B39,Base!$B$3:$B$5001,$B$2))</f>
        <v>0</v>
      </c>
      <c r="M39">
        <f>IF($B$2="Todos",SUMIFS(Base!$M$3:$M$5001,Base!$A$3:$A$5001,$B39),SUMIFS(Base!$M$3:$M$5001,Base!$A$3:$A$5001,$B39,Base!$B$3:$B$5001,$B$2))</f>
        <v>0</v>
      </c>
      <c r="N39">
        <f>IF($B$2="Todos",SUMIFS(Base!$N$3:$N$5001,Base!$A$3:$A$5001,$B39),SUMIFS(Base!$N$3:$N$5001,Base!$A$3:$A$5001,$B39,Base!$B$3:$B$5001,$B$2))</f>
        <v>0</v>
      </c>
      <c r="O39">
        <f>IF($B$2="Todos",SUMIFS(Base!$O$3:$O$5001,Base!$A$3:$A$5001,$B39),SUMIFS(Base!$O$3:$O$5001,Base!$A$3:$A$5001,$B39,Base!$B$3:$B$5001,$B$2))</f>
        <v>0</v>
      </c>
      <c r="P39">
        <f>IF($B$2="Todos",SUMIFS(Base!$P$3:$P$5001,Base!$A$3:$A$5001,$B39),SUMIFS(Base!$P$3:$P$5001,Base!$A$3:$A$5001,$B39,Base!$B$3:$B$5001,$B$2))</f>
        <v>0</v>
      </c>
      <c r="Q39">
        <f>IF($B$2="Todos",SUMIFS(Base!$Q$3:$Q$5001,Base!$A$3:$A$5001,$B39),SUMIFS(Base!$Q$3:$Q$5001,Base!$A$3:$A$5001,$B39,Base!$B$3:$B$5001,$B$2))</f>
        <v>0</v>
      </c>
      <c r="R39">
        <f>IF($B$2="Todos",SUMIFS(Base!$R$3:$R$5001,Base!$A$3:$A$5001,$B39),SUMIFS(Base!$R$3:$R$5001,Base!$A$3:$A$5001,$B39,Base!$B$3:$B$5001,$B$2))</f>
        <v>0</v>
      </c>
      <c r="S39">
        <f>IF($B$2="Todos",SUMIFS(Base!$S$3:$S$5001,Base!$A$3:$A$5001,$B39),SUMIFS(Base!$S$3:$S$5001,Base!$A$3:$A$5001,$B39,Base!$B$3:$B$5001,$B$2))</f>
        <v>0</v>
      </c>
      <c r="T39">
        <f>IF($B$2="Todos",SUMIFS(Base!$T$3:$T$5001,Base!$A$3:$A$5001,$B39),SUMIFS(Base!$T$3:$T$5001,Base!$A$3:$A$5001,$B39,Base!$B$3:$B$5001,$B$2))</f>
        <v>0</v>
      </c>
      <c r="U39">
        <f>IF($B$2="Todos",SUMIFS(Base!$U$3:$U$5001,Base!$A$3:$A$5001,$B39),SUMIFS(Base!$U$3:$U$5001,Base!$A$3:$A$5001,$B39,Base!$B$3:$B$5001,$B$2))</f>
        <v>0</v>
      </c>
      <c r="V39">
        <f>IF($B$2="Todos",SUMIFS(Base!$V$3:$V$5001,Base!$A$3:$A$5001,$B39),SUMIFS(Base!$V$3:$V$5001,Base!$A$3:$A$5001,$B39,Base!$B$3:$B$5001,$B$2))</f>
        <v>0</v>
      </c>
      <c r="W39" t="str">
        <f>IF($B$2="Todos",IF(COUNT($C$155:$K$155)=0,"",SUM($C$155:$K$155)),IFERROR(INDEX($C$155:$K$155,MATCH($B$2,$C$127:$K$127,0)),""))</f>
        <v/>
      </c>
      <c r="X39" t="str">
        <f>IF(Y39="","",IF($B$2="Todos",IF(ISNUMBER($B$4),$B$4,IF(COUNT($C$190:$K$190)=0,"",SUM($C$190:$K$190))),IFERROR(INDEX($C$190:$K$190,MATCH($B$2,$C$162:$K$162,0)),"")))</f>
        <v/>
      </c>
      <c r="Y39" t="str">
        <f>IF($B$2="Todos",IF(COUNT($C$225:$K$225)=0,"",SUM($C$225:$K$225)),IFERROR(INDEX($C$225:$K$225,MATCH($B$2,$C$197:$K$197,0)),""))</f>
        <v/>
      </c>
      <c r="Z39" t="str">
        <f>IF(AND(ISNUMBER(Y39),ISNUMBER(X39)),IF(X39&gt;0,Y39/X39,""),"")</f>
        <v/>
      </c>
      <c r="AA39" t="str">
        <f>IF($B$2="Todos",IF(COUNT($C$260:$K$260)=0,"",SUM($C$260:$K$260)),IFERROR(INDEX($C$260:$K$260,MATCH($B$2,$C$232:$K$232,0)),""))</f>
        <v/>
      </c>
      <c r="AB39">
        <f>IF($B$2="Todos",SUMIFS(Base!$AA$3:$AA$5001,Base!$A$3:$A$5001,$B39),SUMIFS(Base!$AA$3:$AA$5001,Base!$A$3:$A$5001,$B39,Base!$B$3:$B$5001,$B$2))</f>
        <v>0</v>
      </c>
      <c r="AC39">
        <f>IF($B$2="Todos",SUMIFS(Base!$AB$3:$AB$5001,Base!$A$3:$A$5001,$B39),SUMIFS(Base!$AB$3:$AB$5001,Base!$A$3:$A$5001,$B39,Base!$B$3:$B$5001,$B$2))</f>
        <v>0</v>
      </c>
      <c r="AD39">
        <f>IF($B$2="Todos",SUMIFS(Base!$AC$3:$AC$5001,Base!$A$3:$A$5001,$B39),SUMIFS(Base!$AC$3:$AC$5001,Base!$A$3:$A$5001,$B39,Base!$B$3:$B$5001,$B$2))</f>
        <v>0</v>
      </c>
      <c r="AE39">
        <f>IF($B$2="Todos",SUMIFS(Base!$AD$3:$AD$5001,Base!$A$3:$A$5001,$B39),SUMIFS(Base!$AD$3:$AD$5001,Base!$A$3:$A$5001,$B39,Base!$B$3:$B$5001,$B$2))</f>
        <v>0</v>
      </c>
      <c r="AG39">
        <f>IFERROR(N(INDEX($C39:$AE39,MATCH($B$3,$C$11:$AE$11,0))),0)</f>
        <v>0</v>
      </c>
      <c r="AH39">
        <f>IFERROR(N(INDEX($C39:$AE39,MATCH($C$3,$C$11:$AE$11,0))),0)</f>
        <v>0</v>
      </c>
      <c r="AI39">
        <f>$B$5</f>
        <v>0.7</v>
      </c>
      <c r="AJ39">
        <f>$B$6</f>
        <v>0.9</v>
      </c>
    </row>
    <row r="40">
      <c r="A40">
        <f>IF(DAY($D$7)&gt;=29,29,"")</f>
        <v>29</v>
      </c>
      <c r="B40" s="152">
        <f>IF(ISNUMBER($A40),$C$7+$A40-1,"")</f>
        <v>46294</v>
      </c>
      <c r="C40">
        <f>IF($B$2="Todos",SUMIFS(Base!$C$3:$C$5001,Base!$A$3:$A$5001,$B40),SUMIFS(Base!$C$3:$C$5001,Base!$A$3:$A$5001,$B40,Base!$B$3:$B$5001,$B$2))</f>
        <v>0</v>
      </c>
      <c r="D40">
        <f>IF($B$2="Todos",SUMIFS(Base!$D$3:$D$5001,Base!$A$3:$A$5001,$B40),SUMIFS(Base!$D$3:$D$5001,Base!$A$3:$A$5001,$B40,Base!$B$3:$B$5001,$B$2))</f>
        <v>0</v>
      </c>
      <c r="E40">
        <f>IF($B$2="Todos",SUMIFS(Base!$E$3:$E$5001,Base!$A$3:$A$5001,$B40),SUMIFS(Base!$E$3:$E$5001,Base!$A$3:$A$5001,$B40,Base!$B$3:$B$5001,$B$2))</f>
        <v>0</v>
      </c>
      <c r="F40">
        <f>IF($B$2="Todos",SUMIFS(Base!$F$3:$F$5001,Base!$A$3:$A$5001,$B40),SUMIFS(Base!$F$3:$F$5001,Base!$A$3:$A$5001,$B40,Base!$B$3:$B$5001,$B$2))</f>
        <v>0</v>
      </c>
      <c r="G40">
        <f>IF($B$2="Todos",SUMIFS(Base!$G$3:$G$5001,Base!$A$3:$A$5001,$B40),SUMIFS(Base!$G$3:$G$5001,Base!$A$3:$A$5001,$B40,Base!$B$3:$B$5001,$B$2))</f>
        <v>0</v>
      </c>
      <c r="H40">
        <f>IF($B$2="Todos",SUMIFS(Base!$H$3:$H$5001,Base!$A$3:$A$5001,$B40),SUMIFS(Base!$H$3:$H$5001,Base!$A$3:$A$5001,$B40,Base!$B$3:$B$5001,$B$2))</f>
        <v>0</v>
      </c>
      <c r="I40">
        <f>IF($B$2="Todos",SUMIFS(Base!$I$3:$I$5001,Base!$A$3:$A$5001,$B40),SUMIFS(Base!$I$3:$I$5001,Base!$A$3:$A$5001,$B40,Base!$B$3:$B$5001,$B$2))</f>
        <v>0</v>
      </c>
      <c r="J40">
        <f>IF($B$2="Todos",SUMIFS(Base!$J$3:$J$5001,Base!$A$3:$A$5001,$B40),SUMIFS(Base!$J$3:$J$5001,Base!$A$3:$A$5001,$B40,Base!$B$3:$B$5001,$B$2))</f>
        <v>0</v>
      </c>
      <c r="K40">
        <f>IF($B$2="Todos",SUMIFS(Base!$K$3:$K$5001,Base!$A$3:$A$5001,$B40),SUMIFS(Base!$K$3:$K$5001,Base!$A$3:$A$5001,$B40,Base!$B$3:$B$5001,$B$2))</f>
        <v>0</v>
      </c>
      <c r="L40">
        <f>IF($B$2="Todos",SUMIFS(Base!$L$3:$L$5001,Base!$A$3:$A$5001,$B40),SUMIFS(Base!$L$3:$L$5001,Base!$A$3:$A$5001,$B40,Base!$B$3:$B$5001,$B$2))</f>
        <v>0</v>
      </c>
      <c r="M40">
        <f>IF($B$2="Todos",SUMIFS(Base!$M$3:$M$5001,Base!$A$3:$A$5001,$B40),SUMIFS(Base!$M$3:$M$5001,Base!$A$3:$A$5001,$B40,Base!$B$3:$B$5001,$B$2))</f>
        <v>0</v>
      </c>
      <c r="N40">
        <f>IF($B$2="Todos",SUMIFS(Base!$N$3:$N$5001,Base!$A$3:$A$5001,$B40),SUMIFS(Base!$N$3:$N$5001,Base!$A$3:$A$5001,$B40,Base!$B$3:$B$5001,$B$2))</f>
        <v>0</v>
      </c>
      <c r="O40">
        <f>IF($B$2="Todos",SUMIFS(Base!$O$3:$O$5001,Base!$A$3:$A$5001,$B40),SUMIFS(Base!$O$3:$O$5001,Base!$A$3:$A$5001,$B40,Base!$B$3:$B$5001,$B$2))</f>
        <v>0</v>
      </c>
      <c r="P40">
        <f>IF($B$2="Todos",SUMIFS(Base!$P$3:$P$5001,Base!$A$3:$A$5001,$B40),SUMIFS(Base!$P$3:$P$5001,Base!$A$3:$A$5001,$B40,Base!$B$3:$B$5001,$B$2))</f>
        <v>0</v>
      </c>
      <c r="Q40">
        <f>IF($B$2="Todos",SUMIFS(Base!$Q$3:$Q$5001,Base!$A$3:$A$5001,$B40),SUMIFS(Base!$Q$3:$Q$5001,Base!$A$3:$A$5001,$B40,Base!$B$3:$B$5001,$B$2))</f>
        <v>0</v>
      </c>
      <c r="R40">
        <f>IF($B$2="Todos",SUMIFS(Base!$R$3:$R$5001,Base!$A$3:$A$5001,$B40),SUMIFS(Base!$R$3:$R$5001,Base!$A$3:$A$5001,$B40,Base!$B$3:$B$5001,$B$2))</f>
        <v>0</v>
      </c>
      <c r="S40">
        <f>IF($B$2="Todos",SUMIFS(Base!$S$3:$S$5001,Base!$A$3:$A$5001,$B40),SUMIFS(Base!$S$3:$S$5001,Base!$A$3:$A$5001,$B40,Base!$B$3:$B$5001,$B$2))</f>
        <v>0</v>
      </c>
      <c r="T40">
        <f>IF($B$2="Todos",SUMIFS(Base!$T$3:$T$5001,Base!$A$3:$A$5001,$B40),SUMIFS(Base!$T$3:$T$5001,Base!$A$3:$A$5001,$B40,Base!$B$3:$B$5001,$B$2))</f>
        <v>0</v>
      </c>
      <c r="U40">
        <f>IF($B$2="Todos",SUMIFS(Base!$U$3:$U$5001,Base!$A$3:$A$5001,$B40),SUMIFS(Base!$U$3:$U$5001,Base!$A$3:$A$5001,$B40,Base!$B$3:$B$5001,$B$2))</f>
        <v>0</v>
      </c>
      <c r="V40">
        <f>IF($B$2="Todos",SUMIFS(Base!$V$3:$V$5001,Base!$A$3:$A$5001,$B40),SUMIFS(Base!$V$3:$V$5001,Base!$A$3:$A$5001,$B40,Base!$B$3:$B$5001,$B$2))</f>
        <v>0</v>
      </c>
      <c r="W40" t="str">
        <f>IF($B$2="Todos",IF(COUNT($C$156:$K$156)=0,"",SUM($C$156:$K$156)),IFERROR(INDEX($C$156:$K$156,MATCH($B$2,$C$127:$K$127,0)),""))</f>
        <v/>
      </c>
      <c r="X40" t="str">
        <f>IF(Y40="","",IF($B$2="Todos",IF(ISNUMBER($B$4),$B$4,IF(COUNT($C$191:$K$191)=0,"",SUM($C$191:$K$191))),IFERROR(INDEX($C$191:$K$191,MATCH($B$2,$C$162:$K$162,0)),"")))</f>
        <v/>
      </c>
      <c r="Y40" t="str">
        <f>IF($B$2="Todos",IF(COUNT($C$226:$K$226)=0,"",SUM($C$226:$K$226)),IFERROR(INDEX($C$226:$K$226,MATCH($B$2,$C$197:$K$197,0)),""))</f>
        <v/>
      </c>
      <c r="Z40" t="str">
        <f>IF(AND(ISNUMBER(Y40),ISNUMBER(X40)),IF(X40&gt;0,Y40/X40,""),"")</f>
        <v/>
      </c>
      <c r="AA40" t="str">
        <f>IF($B$2="Todos",IF(COUNT($C$261:$K$261)=0,"",SUM($C$261:$K$261)),IFERROR(INDEX($C$261:$K$261,MATCH($B$2,$C$232:$K$232,0)),""))</f>
        <v/>
      </c>
      <c r="AB40">
        <f>IF($B$2="Todos",SUMIFS(Base!$AA$3:$AA$5001,Base!$A$3:$A$5001,$B40),SUMIFS(Base!$AA$3:$AA$5001,Base!$A$3:$A$5001,$B40,Base!$B$3:$B$5001,$B$2))</f>
        <v>0</v>
      </c>
      <c r="AC40">
        <f>IF($B$2="Todos",SUMIFS(Base!$AB$3:$AB$5001,Base!$A$3:$A$5001,$B40),SUMIFS(Base!$AB$3:$AB$5001,Base!$A$3:$A$5001,$B40,Base!$B$3:$B$5001,$B$2))</f>
        <v>0</v>
      </c>
      <c r="AD40">
        <f>IF($B$2="Todos",SUMIFS(Base!$AC$3:$AC$5001,Base!$A$3:$A$5001,$B40),SUMIFS(Base!$AC$3:$AC$5001,Base!$A$3:$A$5001,$B40,Base!$B$3:$B$5001,$B$2))</f>
        <v>0</v>
      </c>
      <c r="AE40">
        <f>IF($B$2="Todos",SUMIFS(Base!$AD$3:$AD$5001,Base!$A$3:$A$5001,$B40),SUMIFS(Base!$AD$3:$AD$5001,Base!$A$3:$A$5001,$B40,Base!$B$3:$B$5001,$B$2))</f>
        <v>0</v>
      </c>
      <c r="AG40">
        <f>IFERROR(N(INDEX($C40:$AE40,MATCH($B$3,$C$11:$AE$11,0))),0)</f>
        <v>0</v>
      </c>
      <c r="AH40">
        <f>IFERROR(N(INDEX($C40:$AE40,MATCH($C$3,$C$11:$AE$11,0))),0)</f>
        <v>0</v>
      </c>
      <c r="AI40">
        <f>$B$5</f>
        <v>0.7</v>
      </c>
      <c r="AJ40">
        <f>$B$6</f>
        <v>0.9</v>
      </c>
    </row>
    <row r="41">
      <c r="A41">
        <f>IF(DAY($D$7)&gt;=30,30,"")</f>
        <v>30</v>
      </c>
      <c r="B41" s="152">
        <f>IF(ISNUMBER($A41),$C$7+$A41-1,"")</f>
        <v>46295</v>
      </c>
      <c r="C41">
        <f>IF($B$2="Todos",SUMIFS(Base!$C$3:$C$5001,Base!$A$3:$A$5001,$B41),SUMIFS(Base!$C$3:$C$5001,Base!$A$3:$A$5001,$B41,Base!$B$3:$B$5001,$B$2))</f>
        <v>0</v>
      </c>
      <c r="D41">
        <f>IF($B$2="Todos",SUMIFS(Base!$D$3:$D$5001,Base!$A$3:$A$5001,$B41),SUMIFS(Base!$D$3:$D$5001,Base!$A$3:$A$5001,$B41,Base!$B$3:$B$5001,$B$2))</f>
        <v>0</v>
      </c>
      <c r="E41">
        <f>IF($B$2="Todos",SUMIFS(Base!$E$3:$E$5001,Base!$A$3:$A$5001,$B41),SUMIFS(Base!$E$3:$E$5001,Base!$A$3:$A$5001,$B41,Base!$B$3:$B$5001,$B$2))</f>
        <v>0</v>
      </c>
      <c r="F41">
        <f>IF($B$2="Todos",SUMIFS(Base!$F$3:$F$5001,Base!$A$3:$A$5001,$B41),SUMIFS(Base!$F$3:$F$5001,Base!$A$3:$A$5001,$B41,Base!$B$3:$B$5001,$B$2))</f>
        <v>0</v>
      </c>
      <c r="G41">
        <f>IF($B$2="Todos",SUMIFS(Base!$G$3:$G$5001,Base!$A$3:$A$5001,$B41),SUMIFS(Base!$G$3:$G$5001,Base!$A$3:$A$5001,$B41,Base!$B$3:$B$5001,$B$2))</f>
        <v>0</v>
      </c>
      <c r="H41">
        <f>IF($B$2="Todos",SUMIFS(Base!$H$3:$H$5001,Base!$A$3:$A$5001,$B41),SUMIFS(Base!$H$3:$H$5001,Base!$A$3:$A$5001,$B41,Base!$B$3:$B$5001,$B$2))</f>
        <v>0</v>
      </c>
      <c r="I41">
        <f>IF($B$2="Todos",SUMIFS(Base!$I$3:$I$5001,Base!$A$3:$A$5001,$B41),SUMIFS(Base!$I$3:$I$5001,Base!$A$3:$A$5001,$B41,Base!$B$3:$B$5001,$B$2))</f>
        <v>0</v>
      </c>
      <c r="J41">
        <f>IF($B$2="Todos",SUMIFS(Base!$J$3:$J$5001,Base!$A$3:$A$5001,$B41),SUMIFS(Base!$J$3:$J$5001,Base!$A$3:$A$5001,$B41,Base!$B$3:$B$5001,$B$2))</f>
        <v>0</v>
      </c>
      <c r="K41">
        <f>IF($B$2="Todos",SUMIFS(Base!$K$3:$K$5001,Base!$A$3:$A$5001,$B41),SUMIFS(Base!$K$3:$K$5001,Base!$A$3:$A$5001,$B41,Base!$B$3:$B$5001,$B$2))</f>
        <v>0</v>
      </c>
      <c r="L41">
        <f>IF($B$2="Todos",SUMIFS(Base!$L$3:$L$5001,Base!$A$3:$A$5001,$B41),SUMIFS(Base!$L$3:$L$5001,Base!$A$3:$A$5001,$B41,Base!$B$3:$B$5001,$B$2))</f>
        <v>0</v>
      </c>
      <c r="M41">
        <f>IF($B$2="Todos",SUMIFS(Base!$M$3:$M$5001,Base!$A$3:$A$5001,$B41),SUMIFS(Base!$M$3:$M$5001,Base!$A$3:$A$5001,$B41,Base!$B$3:$B$5001,$B$2))</f>
        <v>0</v>
      </c>
      <c r="N41">
        <f>IF($B$2="Todos",SUMIFS(Base!$N$3:$N$5001,Base!$A$3:$A$5001,$B41),SUMIFS(Base!$N$3:$N$5001,Base!$A$3:$A$5001,$B41,Base!$B$3:$B$5001,$B$2))</f>
        <v>0</v>
      </c>
      <c r="O41">
        <f>IF($B$2="Todos",SUMIFS(Base!$O$3:$O$5001,Base!$A$3:$A$5001,$B41),SUMIFS(Base!$O$3:$O$5001,Base!$A$3:$A$5001,$B41,Base!$B$3:$B$5001,$B$2))</f>
        <v>0</v>
      </c>
      <c r="P41">
        <f>IF($B$2="Todos",SUMIFS(Base!$P$3:$P$5001,Base!$A$3:$A$5001,$B41),SUMIFS(Base!$P$3:$P$5001,Base!$A$3:$A$5001,$B41,Base!$B$3:$B$5001,$B$2))</f>
        <v>0</v>
      </c>
      <c r="Q41">
        <f>IF($B$2="Todos",SUMIFS(Base!$Q$3:$Q$5001,Base!$A$3:$A$5001,$B41),SUMIFS(Base!$Q$3:$Q$5001,Base!$A$3:$A$5001,$B41,Base!$B$3:$B$5001,$B$2))</f>
        <v>0</v>
      </c>
      <c r="R41">
        <f>IF($B$2="Todos",SUMIFS(Base!$R$3:$R$5001,Base!$A$3:$A$5001,$B41),SUMIFS(Base!$R$3:$R$5001,Base!$A$3:$A$5001,$B41,Base!$B$3:$B$5001,$B$2))</f>
        <v>0</v>
      </c>
      <c r="S41">
        <f>IF($B$2="Todos",SUMIFS(Base!$S$3:$S$5001,Base!$A$3:$A$5001,$B41),SUMIFS(Base!$S$3:$S$5001,Base!$A$3:$A$5001,$B41,Base!$B$3:$B$5001,$B$2))</f>
        <v>0</v>
      </c>
      <c r="T41">
        <f>IF($B$2="Todos",SUMIFS(Base!$T$3:$T$5001,Base!$A$3:$A$5001,$B41),SUMIFS(Base!$T$3:$T$5001,Base!$A$3:$A$5001,$B41,Base!$B$3:$B$5001,$B$2))</f>
        <v>0</v>
      </c>
      <c r="U41">
        <f>IF($B$2="Todos",SUMIFS(Base!$U$3:$U$5001,Base!$A$3:$A$5001,$B41),SUMIFS(Base!$U$3:$U$5001,Base!$A$3:$A$5001,$B41,Base!$B$3:$B$5001,$B$2))</f>
        <v>0</v>
      </c>
      <c r="V41">
        <f>IF($B$2="Todos",SUMIFS(Base!$V$3:$V$5001,Base!$A$3:$A$5001,$B41),SUMIFS(Base!$V$3:$V$5001,Base!$A$3:$A$5001,$B41,Base!$B$3:$B$5001,$B$2))</f>
        <v>0</v>
      </c>
      <c r="W41" t="str">
        <f>IF($B$2="Todos",IF(COUNT($C$157:$K$157)=0,"",SUM($C$157:$K$157)),IFERROR(INDEX($C$157:$K$157,MATCH($B$2,$C$127:$K$127,0)),""))</f>
        <v/>
      </c>
      <c r="X41" t="str">
        <f>IF(Y41="","",IF($B$2="Todos",IF(ISNUMBER($B$4),$B$4,IF(COUNT($C$192:$K$192)=0,"",SUM($C$192:$K$192))),IFERROR(INDEX($C$192:$K$192,MATCH($B$2,$C$162:$K$162,0)),"")))</f>
        <v/>
      </c>
      <c r="Y41" t="str">
        <f>IF($B$2="Todos",IF(COUNT($C$227:$K$227)=0,"",SUM($C$227:$K$227)),IFERROR(INDEX($C$227:$K$227,MATCH($B$2,$C$197:$K$197,0)),""))</f>
        <v/>
      </c>
      <c r="Z41" t="str">
        <f>IF(AND(ISNUMBER(Y41),ISNUMBER(X41)),IF(X41&gt;0,Y41/X41,""),"")</f>
        <v/>
      </c>
      <c r="AA41" t="str">
        <f>IF($B$2="Todos",IF(COUNT($C$262:$K$262)=0,"",SUM($C$262:$K$262)),IFERROR(INDEX($C$262:$K$262,MATCH($B$2,$C$232:$K$232,0)),""))</f>
        <v/>
      </c>
      <c r="AB41">
        <f>IF($B$2="Todos",SUMIFS(Base!$AA$3:$AA$5001,Base!$A$3:$A$5001,$B41),SUMIFS(Base!$AA$3:$AA$5001,Base!$A$3:$A$5001,$B41,Base!$B$3:$B$5001,$B$2))</f>
        <v>0</v>
      </c>
      <c r="AC41">
        <f>IF($B$2="Todos",SUMIFS(Base!$AB$3:$AB$5001,Base!$A$3:$A$5001,$B41),SUMIFS(Base!$AB$3:$AB$5001,Base!$A$3:$A$5001,$B41,Base!$B$3:$B$5001,$B$2))</f>
        <v>0</v>
      </c>
      <c r="AD41">
        <f>IF($B$2="Todos",SUMIFS(Base!$AC$3:$AC$5001,Base!$A$3:$A$5001,$B41),SUMIFS(Base!$AC$3:$AC$5001,Base!$A$3:$A$5001,$B41,Base!$B$3:$B$5001,$B$2))</f>
        <v>0</v>
      </c>
      <c r="AE41">
        <f>IF($B$2="Todos",SUMIFS(Base!$AD$3:$AD$5001,Base!$A$3:$A$5001,$B41),SUMIFS(Base!$AD$3:$AD$5001,Base!$A$3:$A$5001,$B41,Base!$B$3:$B$5001,$B$2))</f>
        <v>0</v>
      </c>
      <c r="AG41">
        <f>IFERROR(N(INDEX($C41:$AE41,MATCH($B$3,$C$11:$AE$11,0))),0)</f>
        <v>0</v>
      </c>
      <c r="AH41">
        <f>IFERROR(N(INDEX($C41:$AE41,MATCH($C$3,$C$11:$AE$11,0))),0)</f>
        <v>0</v>
      </c>
      <c r="AI41">
        <f>$B$5</f>
        <v>0.7</v>
      </c>
      <c r="AJ41">
        <f>$B$6</f>
        <v>0.9</v>
      </c>
    </row>
    <row r="42">
      <c r="A42" t="str">
        <f>IF(DAY($D$7)&gt;=31,31,"")</f>
        <v/>
      </c>
      <c r="B42" s="152" t="str">
        <f>IF(ISNUMBER($A42),$C$7+$A42-1,"")</f>
        <v/>
      </c>
      <c r="C42">
        <f>IF($B$2="Todos",SUMIFS(Base!$C$3:$C$5001,Base!$A$3:$A$5001,$B42),SUMIFS(Base!$C$3:$C$5001,Base!$A$3:$A$5001,$B42,Base!$B$3:$B$5001,$B$2))</f>
        <v>0</v>
      </c>
      <c r="D42">
        <f>IF($B$2="Todos",SUMIFS(Base!$D$3:$D$5001,Base!$A$3:$A$5001,$B42),SUMIFS(Base!$D$3:$D$5001,Base!$A$3:$A$5001,$B42,Base!$B$3:$B$5001,$B$2))</f>
        <v>0</v>
      </c>
      <c r="E42">
        <f>IF($B$2="Todos",SUMIFS(Base!$E$3:$E$5001,Base!$A$3:$A$5001,$B42),SUMIFS(Base!$E$3:$E$5001,Base!$A$3:$A$5001,$B42,Base!$B$3:$B$5001,$B$2))</f>
        <v>0</v>
      </c>
      <c r="F42">
        <f>IF($B$2="Todos",SUMIFS(Base!$F$3:$F$5001,Base!$A$3:$A$5001,$B42),SUMIFS(Base!$F$3:$F$5001,Base!$A$3:$A$5001,$B42,Base!$B$3:$B$5001,$B$2))</f>
        <v>0</v>
      </c>
      <c r="G42">
        <f>IF($B$2="Todos",SUMIFS(Base!$G$3:$G$5001,Base!$A$3:$A$5001,$B42),SUMIFS(Base!$G$3:$G$5001,Base!$A$3:$A$5001,$B42,Base!$B$3:$B$5001,$B$2))</f>
        <v>0</v>
      </c>
      <c r="H42">
        <f>IF($B$2="Todos",SUMIFS(Base!$H$3:$H$5001,Base!$A$3:$A$5001,$B42),SUMIFS(Base!$H$3:$H$5001,Base!$A$3:$A$5001,$B42,Base!$B$3:$B$5001,$B$2))</f>
        <v>0</v>
      </c>
      <c r="I42">
        <f>IF($B$2="Todos",SUMIFS(Base!$I$3:$I$5001,Base!$A$3:$A$5001,$B42),SUMIFS(Base!$I$3:$I$5001,Base!$A$3:$A$5001,$B42,Base!$B$3:$B$5001,$B$2))</f>
        <v>0</v>
      </c>
      <c r="J42">
        <f>IF($B$2="Todos",SUMIFS(Base!$J$3:$J$5001,Base!$A$3:$A$5001,$B42),SUMIFS(Base!$J$3:$J$5001,Base!$A$3:$A$5001,$B42,Base!$B$3:$B$5001,$B$2))</f>
        <v>0</v>
      </c>
      <c r="K42">
        <f>IF($B$2="Todos",SUMIFS(Base!$K$3:$K$5001,Base!$A$3:$A$5001,$B42),SUMIFS(Base!$K$3:$K$5001,Base!$A$3:$A$5001,$B42,Base!$B$3:$B$5001,$B$2))</f>
        <v>0</v>
      </c>
      <c r="L42">
        <f>IF($B$2="Todos",SUMIFS(Base!$L$3:$L$5001,Base!$A$3:$A$5001,$B42),SUMIFS(Base!$L$3:$L$5001,Base!$A$3:$A$5001,$B42,Base!$B$3:$B$5001,$B$2))</f>
        <v>0</v>
      </c>
      <c r="M42">
        <f>IF($B$2="Todos",SUMIFS(Base!$M$3:$M$5001,Base!$A$3:$A$5001,$B42),SUMIFS(Base!$M$3:$M$5001,Base!$A$3:$A$5001,$B42,Base!$B$3:$B$5001,$B$2))</f>
        <v>0</v>
      </c>
      <c r="N42">
        <f>IF($B$2="Todos",SUMIFS(Base!$N$3:$N$5001,Base!$A$3:$A$5001,$B42),SUMIFS(Base!$N$3:$N$5001,Base!$A$3:$A$5001,$B42,Base!$B$3:$B$5001,$B$2))</f>
        <v>0</v>
      </c>
      <c r="O42">
        <f>IF($B$2="Todos",SUMIFS(Base!$O$3:$O$5001,Base!$A$3:$A$5001,$B42),SUMIFS(Base!$O$3:$O$5001,Base!$A$3:$A$5001,$B42,Base!$B$3:$B$5001,$B$2))</f>
        <v>0</v>
      </c>
      <c r="P42">
        <f>IF($B$2="Todos",SUMIFS(Base!$P$3:$P$5001,Base!$A$3:$A$5001,$B42),SUMIFS(Base!$P$3:$P$5001,Base!$A$3:$A$5001,$B42,Base!$B$3:$B$5001,$B$2))</f>
        <v>0</v>
      </c>
      <c r="Q42">
        <f>IF($B$2="Todos",SUMIFS(Base!$Q$3:$Q$5001,Base!$A$3:$A$5001,$B42),SUMIFS(Base!$Q$3:$Q$5001,Base!$A$3:$A$5001,$B42,Base!$B$3:$B$5001,$B$2))</f>
        <v>0</v>
      </c>
      <c r="R42">
        <f>IF($B$2="Todos",SUMIFS(Base!$R$3:$R$5001,Base!$A$3:$A$5001,$B42),SUMIFS(Base!$R$3:$R$5001,Base!$A$3:$A$5001,$B42,Base!$B$3:$B$5001,$B$2))</f>
        <v>0</v>
      </c>
      <c r="S42">
        <f>IF($B$2="Todos",SUMIFS(Base!$S$3:$S$5001,Base!$A$3:$A$5001,$B42),SUMIFS(Base!$S$3:$S$5001,Base!$A$3:$A$5001,$B42,Base!$B$3:$B$5001,$B$2))</f>
        <v>0</v>
      </c>
      <c r="T42">
        <f>IF($B$2="Todos",SUMIFS(Base!$T$3:$T$5001,Base!$A$3:$A$5001,$B42),SUMIFS(Base!$T$3:$T$5001,Base!$A$3:$A$5001,$B42,Base!$B$3:$B$5001,$B$2))</f>
        <v>0</v>
      </c>
      <c r="U42">
        <f>IF($B$2="Todos",SUMIFS(Base!$U$3:$U$5001,Base!$A$3:$A$5001,$B42),SUMIFS(Base!$U$3:$U$5001,Base!$A$3:$A$5001,$B42,Base!$B$3:$B$5001,$B$2))</f>
        <v>0</v>
      </c>
      <c r="V42">
        <f>IF($B$2="Todos",SUMIFS(Base!$V$3:$V$5001,Base!$A$3:$A$5001,$B42),SUMIFS(Base!$V$3:$V$5001,Base!$A$3:$A$5001,$B42,Base!$B$3:$B$5001,$B$2))</f>
        <v>0</v>
      </c>
      <c r="W42" t="str">
        <f>IF($B$2="Todos",IF(COUNT($C$158:$K$158)=0,"",SUM($C$158:$K$158)),IFERROR(INDEX($C$158:$K$158,MATCH($B$2,$C$127:$K$127,0)),""))</f>
        <v/>
      </c>
      <c r="X42" t="str">
        <f>IF(Y42="","",IF($B$2="Todos",IF(ISNUMBER($B$4),$B$4,IF(COUNT($C$193:$K$193)=0,"",SUM($C$193:$K$193))),IFERROR(INDEX($C$193:$K$193,MATCH($B$2,$C$162:$K$162,0)),"")))</f>
        <v/>
      </c>
      <c r="Y42" t="str">
        <f>IF($B$2="Todos",IF(COUNT($C$228:$K$228)=0,"",SUM($C$228:$K$228)),IFERROR(INDEX($C$228:$K$228,MATCH($B$2,$C$197:$K$197,0)),""))</f>
        <v/>
      </c>
      <c r="Z42" t="str">
        <f>IF(AND(ISNUMBER(Y42),ISNUMBER(X42)),IF(X42&gt;0,Y42/X42,""),"")</f>
        <v/>
      </c>
      <c r="AA42" t="str">
        <f>IF($B$2="Todos",IF(COUNT($C$263:$K$263)=0,"",SUM($C$263:$K$263)),IFERROR(INDEX($C$263:$K$263,MATCH($B$2,$C$232:$K$232,0)),""))</f>
        <v/>
      </c>
      <c r="AB42">
        <f>IF($B$2="Todos",SUMIFS(Base!$AA$3:$AA$5001,Base!$A$3:$A$5001,$B42),SUMIFS(Base!$AA$3:$AA$5001,Base!$A$3:$A$5001,$B42,Base!$B$3:$B$5001,$B$2))</f>
        <v>0</v>
      </c>
      <c r="AC42">
        <f>IF($B$2="Todos",SUMIFS(Base!$AB$3:$AB$5001,Base!$A$3:$A$5001,$B42),SUMIFS(Base!$AB$3:$AB$5001,Base!$A$3:$A$5001,$B42,Base!$B$3:$B$5001,$B$2))</f>
        <v>0</v>
      </c>
      <c r="AD42">
        <f>IF($B$2="Todos",SUMIFS(Base!$AC$3:$AC$5001,Base!$A$3:$A$5001,$B42),SUMIFS(Base!$AC$3:$AC$5001,Base!$A$3:$A$5001,$B42,Base!$B$3:$B$5001,$B$2))</f>
        <v>0</v>
      </c>
      <c r="AE42">
        <f>IF($B$2="Todos",SUMIFS(Base!$AD$3:$AD$5001,Base!$A$3:$A$5001,$B42),SUMIFS(Base!$AD$3:$AD$5001,Base!$A$3:$A$5001,$B42,Base!$B$3:$B$5001,$B$2))</f>
        <v>0</v>
      </c>
      <c r="AG42">
        <f>IFERROR(N(INDEX($C42:$AE42,MATCH($B$3,$C$11:$AE$11,0))),0)</f>
        <v>0</v>
      </c>
      <c r="AH42">
        <f>IFERROR(N(INDEX($C42:$AE42,MATCH($C$3,$C$11:$AE$11,0))),0)</f>
        <v>0</v>
      </c>
      <c r="AI42">
        <f>$B$5</f>
        <v>0.7</v>
      </c>
      <c r="AJ42">
        <f>$B$6</f>
        <v>0.9</v>
      </c>
    </row>
    <row r="43">
      <c r="A43" t="inlineStr">
        <is>
          <t xml:space="preserve">Realizado no mês (soma · último dado em estoque)</t>
        </is>
      </c>
      <c r="C43">
        <f>SUM(C12:C42)</f>
        <v>0</v>
      </c>
      <c r="D43">
        <f>SUM(D12:D42)</f>
        <v>0</v>
      </c>
      <c r="E43">
        <f>SUM(E12:E42)</f>
        <v>0</v>
      </c>
      <c r="F43">
        <f>SUM(F12:F42)</f>
        <v>0</v>
      </c>
      <c r="G43">
        <f>SUM(G12:G42)</f>
        <v>0</v>
      </c>
      <c r="H43">
        <f>SUM(H12:H42)</f>
        <v>0</v>
      </c>
      <c r="I43">
        <f>SUM(I12:I42)</f>
        <v>0</v>
      </c>
      <c r="J43">
        <f>SUM(J12:J42)</f>
        <v>0</v>
      </c>
      <c r="K43">
        <f>SUM(K12:K42)</f>
        <v>0</v>
      </c>
      <c r="L43">
        <f>SUM(L12:L42)</f>
        <v>0</v>
      </c>
      <c r="M43">
        <f>SUM(M12:M42)</f>
        <v>0</v>
      </c>
      <c r="N43">
        <f>SUM(N12:N42)</f>
        <v>0</v>
      </c>
      <c r="O43">
        <f>SUM(O12:O42)</f>
        <v>0</v>
      </c>
      <c r="P43">
        <f>SUM(P12:P42)</f>
        <v>0</v>
      </c>
      <c r="Q43">
        <f>SUM(Q12:Q42)</f>
        <v>0</v>
      </c>
      <c r="R43">
        <f>SUM(R12:R42)</f>
        <v>0</v>
      </c>
      <c r="S43">
        <f>SUM(S12:S42)</f>
        <v>0</v>
      </c>
      <c r="T43">
        <f>SUM(T12:T42)</f>
        <v>0</v>
      </c>
      <c r="U43">
        <f>SUM(U12:U42)</f>
        <v>0</v>
      </c>
      <c r="V43">
        <f>SUM(V12:V42)</f>
        <v>0</v>
      </c>
      <c r="W43" t="str">
        <f>IFERROR(LOOKUP(9.99E+307,W12:W42),"")</f>
        <v/>
      </c>
      <c r="X43" t="str">
        <f>IFERROR(LOOKUP(9.99E+307,X12:X42),"")</f>
        <v/>
      </c>
      <c r="Y43" t="str">
        <f>IFERROR(LOOKUP(9.99E+307,Y12:Y42),"")</f>
        <v/>
      </c>
      <c r="Z43" t="str">
        <f>IF(AND(ISNUMBER(Y43),ISNUMBER(X43)),IF(X43&gt;0,Y43/X43,""),"")</f>
        <v/>
      </c>
      <c r="AA43" t="str">
        <f>IFERROR(LOOKUP(9.99E+307,AA12:AA42),"")</f>
        <v/>
      </c>
      <c r="AB43">
        <f>SUM(AB12:AB42)</f>
        <v>0</v>
      </c>
      <c r="AC43">
        <f>SUM(AC12:AC42)</f>
        <v>0</v>
      </c>
      <c r="AD43">
        <f>SUM(AD12:AD42)</f>
        <v>0</v>
      </c>
      <c r="AE43">
        <f>SUM(AE12:AE42)</f>
        <v>0</v>
      </c>
    </row>
    <row r="44">
      <c r="A44" t="inlineStr">
        <is>
          <t xml:space="preserve">Média por dia</t>
        </is>
      </c>
      <c r="C44" t="str">
        <f>IFERROR(AVERAGEIF(C12:C42,"&gt;0"),"")</f>
        <v/>
      </c>
      <c r="D44" t="str">
        <f>IFERROR(AVERAGEIF(D12:D42,"&gt;0"),"")</f>
        <v/>
      </c>
      <c r="E44" t="str">
        <f>IFERROR(AVERAGEIF(E12:E42,"&gt;0"),"")</f>
        <v/>
      </c>
      <c r="F44" t="str">
        <f>IFERROR(AVERAGEIF(F12:F42,"&gt;0"),"")</f>
        <v/>
      </c>
      <c r="G44" t="str">
        <f>IFERROR(AVERAGEIF(G12:G42,"&gt;0"),"")</f>
        <v/>
      </c>
      <c r="H44" t="str">
        <f>IFERROR(AVERAGEIF(H12:H42,"&gt;0"),"")</f>
        <v/>
      </c>
      <c r="I44" t="str">
        <f>IFERROR(AVERAGEIF(I12:I42,"&gt;0"),"")</f>
        <v/>
      </c>
      <c r="J44" t="str">
        <f>IFERROR(AVERAGEIF(J12:J42,"&gt;0"),"")</f>
        <v/>
      </c>
      <c r="K44" t="str">
        <f>IFERROR(AVERAGEIF(K12:K42,"&gt;0"),"")</f>
        <v/>
      </c>
      <c r="L44" t="str">
        <f>IFERROR(AVERAGEIF(L12:L42,"&gt;0"),"")</f>
        <v/>
      </c>
      <c r="M44" t="str">
        <f>IFERROR(AVERAGEIF(M12:M42,"&gt;0"),"")</f>
        <v/>
      </c>
      <c r="N44" t="str">
        <f>IFERROR(AVERAGEIF(N12:N42,"&gt;0"),"")</f>
        <v/>
      </c>
      <c r="O44" t="str">
        <f>IFERROR(AVERAGEIF(O12:O42,"&gt;0"),"")</f>
        <v/>
      </c>
      <c r="P44" t="str">
        <f>IFERROR(AVERAGEIF(P12:P42,"&gt;0"),"")</f>
        <v/>
      </c>
      <c r="Q44" t="str">
        <f>IFERROR(AVERAGEIF(Q12:Q42,"&gt;0"),"")</f>
        <v/>
      </c>
      <c r="R44" t="str">
        <f>IFERROR(AVERAGEIF(R12:R42,"&gt;0"),"")</f>
        <v/>
      </c>
      <c r="S44" t="str">
        <f>IFERROR(AVERAGEIF(S12:S42,"&gt;0"),"")</f>
        <v/>
      </c>
      <c r="T44" t="str">
        <f>IFERROR(AVERAGEIF(T12:T42,"&gt;0"),"")</f>
        <v/>
      </c>
      <c r="U44" t="str">
        <f>IFERROR(AVERAGEIF(U12:U42,"&gt;0"),"")</f>
        <v/>
      </c>
      <c r="V44" t="str">
        <f>IFERROR(AVERAGEIF(V12:V42,"&gt;0"),"")</f>
        <v/>
      </c>
      <c r="W44" t="str">
        <f>IFERROR(AVERAGE(W12:W42),"")</f>
        <v/>
      </c>
      <c r="X44" t="str">
        <f>IFERROR(AVERAGE(X12:X42),"")</f>
        <v/>
      </c>
      <c r="Y44" t="str">
        <f>IFERROR(AVERAGE(Y12:Y42),"")</f>
        <v/>
      </c>
      <c r="Z44" t="str">
        <f>IFERROR(AVERAGE(Z12:Z42),"")</f>
        <v/>
      </c>
      <c r="AA44" t="str">
        <f>IFERROR(AVERAGE(AA12:AA42),"")</f>
        <v/>
      </c>
      <c r="AB44" t="str">
        <f>IFERROR(AVERAGEIF(AB12:AB42,"&gt;0"),"")</f>
        <v/>
      </c>
      <c r="AC44" t="str">
        <f>IFERROR(AVERAGEIF(AC12:AC42,"&gt;0"),"")</f>
        <v/>
      </c>
      <c r="AD44" t="str">
        <f>IFERROR(AVERAGEIF(AD12:AD42,"&gt;0"),"")</f>
        <v/>
      </c>
      <c r="AE44" t="str">
        <f>IFERROR(AVERAGEIF(AE12:AE42,"&gt;0"),"")</f>
        <v/>
      </c>
    </row>
    <row r="45">
      <c r="A45" t="inlineStr">
        <is>
          <t xml:space="preserve">Máximo em um dia</t>
        </is>
      </c>
      <c r="C45">
        <f>IF(COUNT(C12:C42)=0,"",MAX(C12:C42))</f>
        <v>0</v>
      </c>
      <c r="D45">
        <f>IF(COUNT(D12:D42)=0,"",MAX(D12:D42))</f>
        <v>0</v>
      </c>
      <c r="E45">
        <f>IF(COUNT(E12:E42)=0,"",MAX(E12:E42))</f>
        <v>0</v>
      </c>
      <c r="F45">
        <f>IF(COUNT(F12:F42)=0,"",MAX(F12:F42))</f>
        <v>0</v>
      </c>
      <c r="G45">
        <f>IF(COUNT(G12:G42)=0,"",MAX(G12:G42))</f>
        <v>0</v>
      </c>
      <c r="H45">
        <f>IF(COUNT(H12:H42)=0,"",MAX(H12:H42))</f>
        <v>0</v>
      </c>
      <c r="I45">
        <f>IF(COUNT(I12:I42)=0,"",MAX(I12:I42))</f>
        <v>0</v>
      </c>
      <c r="J45">
        <f>IF(COUNT(J12:J42)=0,"",MAX(J12:J42))</f>
        <v>0</v>
      </c>
      <c r="K45">
        <f>IF(COUNT(K12:K42)=0,"",MAX(K12:K42))</f>
        <v>0</v>
      </c>
      <c r="L45">
        <f>IF(COUNT(L12:L42)=0,"",MAX(L12:L42))</f>
        <v>0</v>
      </c>
      <c r="M45">
        <f>IF(COUNT(M12:M42)=0,"",MAX(M12:M42))</f>
        <v>0</v>
      </c>
      <c r="N45">
        <f>IF(COUNT(N12:N42)=0,"",MAX(N12:N42))</f>
        <v>0</v>
      </c>
      <c r="O45">
        <f>IF(COUNT(O12:O42)=0,"",MAX(O12:O42))</f>
        <v>0</v>
      </c>
      <c r="P45">
        <f>IF(COUNT(P12:P42)=0,"",MAX(P12:P42))</f>
        <v>0</v>
      </c>
      <c r="Q45">
        <f>IF(COUNT(Q12:Q42)=0,"",MAX(Q12:Q42))</f>
        <v>0</v>
      </c>
      <c r="R45">
        <f>IF(COUNT(R12:R42)=0,"",MAX(R12:R42))</f>
        <v>0</v>
      </c>
      <c r="S45">
        <f>IF(COUNT(S12:S42)=0,"",MAX(S12:S42))</f>
        <v>0</v>
      </c>
      <c r="T45">
        <f>IF(COUNT(T12:T42)=0,"",MAX(T12:T42))</f>
        <v>0</v>
      </c>
      <c r="U45">
        <f>IF(COUNT(U12:U42)=0,"",MAX(U12:U42))</f>
        <v>0</v>
      </c>
      <c r="V45">
        <f>IF(COUNT(V12:V42)=0,"",MAX(V12:V42))</f>
        <v>0</v>
      </c>
      <c r="W45" t="str">
        <f>IF(COUNT(W12:W42)=0,"",MAX(W12:W42))</f>
        <v/>
      </c>
      <c r="X45" t="str">
        <f>IF(COUNT(X12:X42)=0,"",MAX(X12:X42))</f>
        <v/>
      </c>
      <c r="Y45" t="str">
        <f>IF(COUNT(Y12:Y42)=0,"",MAX(Y12:Y42))</f>
        <v/>
      </c>
      <c r="Z45" t="str">
        <f>IF(COUNT(Z12:Z42)=0,"",MAX(Z12:Z42))</f>
        <v/>
      </c>
      <c r="AA45" t="str">
        <f>IF(COUNT(AA12:AA42)=0,"",MAX(AA12:AA42))</f>
        <v/>
      </c>
      <c r="AB45">
        <f>IF(COUNT(AB12:AB42)=0,"",MAX(AB12:AB42))</f>
        <v>0</v>
      </c>
      <c r="AC45">
        <f>IF(COUNT(AC12:AC42)=0,"",MAX(AC12:AC42))</f>
        <v>0</v>
      </c>
      <c r="AD45">
        <f>IF(COUNT(AD12:AD42)=0,"",MAX(AD12:AD42))</f>
        <v>0</v>
      </c>
      <c r="AE45">
        <f>IF(COUNT(AE12:AE42)=0,"",MAX(AE12:AE42))</f>
        <v>0</v>
      </c>
    </row>
    <row r="46">
      <c r="A46" t="inlineStr">
        <is>
          <t xml:space="preserve">Mês anterior (mesmo intervalo)</t>
        </is>
      </c>
      <c r="C46">
        <f>IF($B$2="Todos",SUMIFS(Base!$C$3:$C$5001,Base!$A$3:$A$5001,"&gt;="&amp;$C$8,Base!$A$3:$A$5001,"&lt;="&amp;$D$8),SUMIFS(Base!$C$3:$C$5001,Base!$A$3:$A$5001,"&gt;="&amp;$C$8,Base!$A$3:$A$5001,"&lt;="&amp;$D$8,Base!$B$3:$B$5001,$B$2))</f>
        <v>0</v>
      </c>
      <c r="D46">
        <f>IF($B$2="Todos",SUMIFS(Base!$D$3:$D$5001,Base!$A$3:$A$5001,"&gt;="&amp;$C$8,Base!$A$3:$A$5001,"&lt;="&amp;$D$8),SUMIFS(Base!$D$3:$D$5001,Base!$A$3:$A$5001,"&gt;="&amp;$C$8,Base!$A$3:$A$5001,"&lt;="&amp;$D$8,Base!$B$3:$B$5001,$B$2))</f>
        <v>0</v>
      </c>
      <c r="E46">
        <f>IF($B$2="Todos",SUMIFS(Base!$E$3:$E$5001,Base!$A$3:$A$5001,"&gt;="&amp;$C$8,Base!$A$3:$A$5001,"&lt;="&amp;$D$8),SUMIFS(Base!$E$3:$E$5001,Base!$A$3:$A$5001,"&gt;="&amp;$C$8,Base!$A$3:$A$5001,"&lt;="&amp;$D$8,Base!$B$3:$B$5001,$B$2))</f>
        <v>0</v>
      </c>
      <c r="F46">
        <f>IF($B$2="Todos",SUMIFS(Base!$F$3:$F$5001,Base!$A$3:$A$5001,"&gt;="&amp;$C$8,Base!$A$3:$A$5001,"&lt;="&amp;$D$8),SUMIFS(Base!$F$3:$F$5001,Base!$A$3:$A$5001,"&gt;="&amp;$C$8,Base!$A$3:$A$5001,"&lt;="&amp;$D$8,Base!$B$3:$B$5001,$B$2))</f>
        <v>0</v>
      </c>
      <c r="G46">
        <f>IF($B$2="Todos",SUMIFS(Base!$G$3:$G$5001,Base!$A$3:$A$5001,"&gt;="&amp;$C$8,Base!$A$3:$A$5001,"&lt;="&amp;$D$8),SUMIFS(Base!$G$3:$G$5001,Base!$A$3:$A$5001,"&gt;="&amp;$C$8,Base!$A$3:$A$5001,"&lt;="&amp;$D$8,Base!$B$3:$B$5001,$B$2))</f>
        <v>0</v>
      </c>
      <c r="H46">
        <f>IF($B$2="Todos",SUMIFS(Base!$H$3:$H$5001,Base!$A$3:$A$5001,"&gt;="&amp;$C$8,Base!$A$3:$A$5001,"&lt;="&amp;$D$8),SUMIFS(Base!$H$3:$H$5001,Base!$A$3:$A$5001,"&gt;="&amp;$C$8,Base!$A$3:$A$5001,"&lt;="&amp;$D$8,Base!$B$3:$B$5001,$B$2))</f>
        <v>0</v>
      </c>
      <c r="I46">
        <f>IF($B$2="Todos",SUMIFS(Base!$I$3:$I$5001,Base!$A$3:$A$5001,"&gt;="&amp;$C$8,Base!$A$3:$A$5001,"&lt;="&amp;$D$8),SUMIFS(Base!$I$3:$I$5001,Base!$A$3:$A$5001,"&gt;="&amp;$C$8,Base!$A$3:$A$5001,"&lt;="&amp;$D$8,Base!$B$3:$B$5001,$B$2))</f>
        <v>0</v>
      </c>
      <c r="J46">
        <f>IF($B$2="Todos",SUMIFS(Base!$J$3:$J$5001,Base!$A$3:$A$5001,"&gt;="&amp;$C$8,Base!$A$3:$A$5001,"&lt;="&amp;$D$8),SUMIFS(Base!$J$3:$J$5001,Base!$A$3:$A$5001,"&gt;="&amp;$C$8,Base!$A$3:$A$5001,"&lt;="&amp;$D$8,Base!$B$3:$B$5001,$B$2))</f>
        <v>0</v>
      </c>
      <c r="K46">
        <f>IF($B$2="Todos",SUMIFS(Base!$K$3:$K$5001,Base!$A$3:$A$5001,"&gt;="&amp;$C$8,Base!$A$3:$A$5001,"&lt;="&amp;$D$8),SUMIFS(Base!$K$3:$K$5001,Base!$A$3:$A$5001,"&gt;="&amp;$C$8,Base!$A$3:$A$5001,"&lt;="&amp;$D$8,Base!$B$3:$B$5001,$B$2))</f>
        <v>0</v>
      </c>
      <c r="L46">
        <f>IF($B$2="Todos",SUMIFS(Base!$L$3:$L$5001,Base!$A$3:$A$5001,"&gt;="&amp;$C$8,Base!$A$3:$A$5001,"&lt;="&amp;$D$8),SUMIFS(Base!$L$3:$L$5001,Base!$A$3:$A$5001,"&gt;="&amp;$C$8,Base!$A$3:$A$5001,"&lt;="&amp;$D$8,Base!$B$3:$B$5001,$B$2))</f>
        <v>0</v>
      </c>
      <c r="M46">
        <f>IF($B$2="Todos",SUMIFS(Base!$M$3:$M$5001,Base!$A$3:$A$5001,"&gt;="&amp;$C$8,Base!$A$3:$A$5001,"&lt;="&amp;$D$8),SUMIFS(Base!$M$3:$M$5001,Base!$A$3:$A$5001,"&gt;="&amp;$C$8,Base!$A$3:$A$5001,"&lt;="&amp;$D$8,Base!$B$3:$B$5001,$B$2))</f>
        <v>0</v>
      </c>
      <c r="N46">
        <f>IF($B$2="Todos",SUMIFS(Base!$N$3:$N$5001,Base!$A$3:$A$5001,"&gt;="&amp;$C$8,Base!$A$3:$A$5001,"&lt;="&amp;$D$8),SUMIFS(Base!$N$3:$N$5001,Base!$A$3:$A$5001,"&gt;="&amp;$C$8,Base!$A$3:$A$5001,"&lt;="&amp;$D$8,Base!$B$3:$B$5001,$B$2))</f>
        <v>0</v>
      </c>
      <c r="O46">
        <f>IF($B$2="Todos",SUMIFS(Base!$O$3:$O$5001,Base!$A$3:$A$5001,"&gt;="&amp;$C$8,Base!$A$3:$A$5001,"&lt;="&amp;$D$8),SUMIFS(Base!$O$3:$O$5001,Base!$A$3:$A$5001,"&gt;="&amp;$C$8,Base!$A$3:$A$5001,"&lt;="&amp;$D$8,Base!$B$3:$B$5001,$B$2))</f>
        <v>0</v>
      </c>
      <c r="P46">
        <f>IF($B$2="Todos",SUMIFS(Base!$P$3:$P$5001,Base!$A$3:$A$5001,"&gt;="&amp;$C$8,Base!$A$3:$A$5001,"&lt;="&amp;$D$8),SUMIFS(Base!$P$3:$P$5001,Base!$A$3:$A$5001,"&gt;="&amp;$C$8,Base!$A$3:$A$5001,"&lt;="&amp;$D$8,Base!$B$3:$B$5001,$B$2))</f>
        <v>0</v>
      </c>
      <c r="Q46">
        <f>IF($B$2="Todos",SUMIFS(Base!$Q$3:$Q$5001,Base!$A$3:$A$5001,"&gt;="&amp;$C$8,Base!$A$3:$A$5001,"&lt;="&amp;$D$8),SUMIFS(Base!$Q$3:$Q$5001,Base!$A$3:$A$5001,"&gt;="&amp;$C$8,Base!$A$3:$A$5001,"&lt;="&amp;$D$8,Base!$B$3:$B$5001,$B$2))</f>
        <v>0</v>
      </c>
      <c r="R46">
        <f>IF($B$2="Todos",SUMIFS(Base!$R$3:$R$5001,Base!$A$3:$A$5001,"&gt;="&amp;$C$8,Base!$A$3:$A$5001,"&lt;="&amp;$D$8),SUMIFS(Base!$R$3:$R$5001,Base!$A$3:$A$5001,"&gt;="&amp;$C$8,Base!$A$3:$A$5001,"&lt;="&amp;$D$8,Base!$B$3:$B$5001,$B$2))</f>
        <v>0</v>
      </c>
      <c r="S46">
        <f>IF($B$2="Todos",SUMIFS(Base!$S$3:$S$5001,Base!$A$3:$A$5001,"&gt;="&amp;$C$8,Base!$A$3:$A$5001,"&lt;="&amp;$D$8),SUMIFS(Base!$S$3:$S$5001,Base!$A$3:$A$5001,"&gt;="&amp;$C$8,Base!$A$3:$A$5001,"&lt;="&amp;$D$8,Base!$B$3:$B$5001,$B$2))</f>
        <v>0</v>
      </c>
      <c r="T46">
        <f>IF($B$2="Todos",SUMIFS(Base!$T$3:$T$5001,Base!$A$3:$A$5001,"&gt;="&amp;$C$8,Base!$A$3:$A$5001,"&lt;="&amp;$D$8),SUMIFS(Base!$T$3:$T$5001,Base!$A$3:$A$5001,"&gt;="&amp;$C$8,Base!$A$3:$A$5001,"&lt;="&amp;$D$8,Base!$B$3:$B$5001,$B$2))</f>
        <v>0</v>
      </c>
      <c r="U46">
        <f>IF($B$2="Todos",SUMIFS(Base!$U$3:$U$5001,Base!$A$3:$A$5001,"&gt;="&amp;$C$8,Base!$A$3:$A$5001,"&lt;="&amp;$D$8),SUMIFS(Base!$U$3:$U$5001,Base!$A$3:$A$5001,"&gt;="&amp;$C$8,Base!$A$3:$A$5001,"&lt;="&amp;$D$8,Base!$B$3:$B$5001,$B$2))</f>
        <v>0</v>
      </c>
      <c r="V46">
        <f>IF($B$2="Todos",SUMIFS(Base!$V$3:$V$5001,Base!$A$3:$A$5001,"&gt;="&amp;$C$8,Base!$A$3:$A$5001,"&lt;="&amp;$D$8),SUMIFS(Base!$V$3:$V$5001,Base!$A$3:$A$5001,"&gt;="&amp;$C$8,Base!$A$3:$A$5001,"&lt;="&amp;$D$8,Base!$B$3:$B$5001,$B$2))</f>
        <v>0</v>
      </c>
      <c r="W46" t="str">
        <f>IF($B$2="Todos",IF(COUNT($C$159:$K$159)=0,"",SUM($C$159:$K$159)),IFERROR(INDEX($C$159:$K$159,MATCH($B$2,$C$127:$K$127,0)),""))</f>
        <v/>
      </c>
      <c r="X46" t="str">
        <f>IF(Y46="","",IF($B$2="Todos",IF(ISNUMBER($B$4),$B$4,IF(COUNT($C$194:$K$194)=0,"",SUM($C$194:$K$194))),IFERROR(INDEX($C$194:$K$194,MATCH($B$2,$C$162:$K$162,0)),"")))</f>
        <v/>
      </c>
      <c r="Y46" t="str">
        <f>IF($B$2="Todos",IF(COUNT($C$229:$K$229)=0,"",SUM($C$229:$K$229)),IFERROR(INDEX($C$229:$K$229,MATCH($B$2,$C$197:$K$197,0)),""))</f>
        <v/>
      </c>
      <c r="Z46" t="str">
        <f>IF(AND(ISNUMBER(Y46),ISNUMBER(X46)),IF(X46&gt;0,Y46/X46,""),"")</f>
        <v/>
      </c>
      <c r="AA46" t="str">
        <f>IF($B$2="Todos",IF(COUNT($C$264:$K$264)=0,"",SUM($C$264:$K$264)),IFERROR(INDEX($C$264:$K$264,MATCH($B$2,$C$232:$K$232,0)),""))</f>
        <v/>
      </c>
      <c r="AB46">
        <f>IF($B$2="Todos",SUMIFS(Base!$AA$3:$AA$5001,Base!$A$3:$A$5001,"&gt;="&amp;$C$8,Base!$A$3:$A$5001,"&lt;="&amp;$D$8),SUMIFS(Base!$AA$3:$AA$5001,Base!$A$3:$A$5001,"&gt;="&amp;$C$8,Base!$A$3:$A$5001,"&lt;="&amp;$D$8,Base!$B$3:$B$5001,$B$2))</f>
        <v>0</v>
      </c>
      <c r="AC46">
        <f>IF($B$2="Todos",SUMIFS(Base!$AB$3:$AB$5001,Base!$A$3:$A$5001,"&gt;="&amp;$C$8,Base!$A$3:$A$5001,"&lt;="&amp;$D$8),SUMIFS(Base!$AB$3:$AB$5001,Base!$A$3:$A$5001,"&gt;="&amp;$C$8,Base!$A$3:$A$5001,"&lt;="&amp;$D$8,Base!$B$3:$B$5001,$B$2))</f>
        <v>0</v>
      </c>
      <c r="AD46">
        <f>IF($B$2="Todos",SUMIFS(Base!$AC$3:$AC$5001,Base!$A$3:$A$5001,"&gt;="&amp;$C$8,Base!$A$3:$A$5001,"&lt;="&amp;$D$8),SUMIFS(Base!$AC$3:$AC$5001,Base!$A$3:$A$5001,"&gt;="&amp;$C$8,Base!$A$3:$A$5001,"&lt;="&amp;$D$8,Base!$B$3:$B$5001,$B$2))</f>
        <v>0</v>
      </c>
      <c r="AE46">
        <f>IF($B$2="Todos",SUMIFS(Base!$AD$3:$AD$5001,Base!$A$3:$A$5001,"&gt;="&amp;$C$8,Base!$A$3:$A$5001,"&lt;="&amp;$D$8),SUMIFS(Base!$AD$3:$AD$5001,Base!$A$3:$A$5001,"&gt;="&amp;$C$8,Base!$A$3:$A$5001,"&lt;="&amp;$D$8,Base!$B$3:$B$5001,$B$2))</f>
        <v>0</v>
      </c>
    </row>
    <row r="47">
      <c r="A47" t="inlineStr">
        <is>
          <t xml:space="preserve">Variação vs mês anterior</t>
        </is>
      </c>
      <c r="C47" t="str">
        <f>IF(AND(ISNUMBER(C43),ISNUMBER(C46)),IF(C46&lt;&gt;0,C43/C46-1,""),"")</f>
        <v/>
      </c>
      <c r="D47" t="str">
        <f>IF(AND(ISNUMBER(D43),ISNUMBER(D46)),IF(D46&lt;&gt;0,D43/D46-1,""),"")</f>
        <v/>
      </c>
      <c r="E47" t="str">
        <f>IF(AND(ISNUMBER(E43),ISNUMBER(E46)),IF(E46&lt;&gt;0,E43/E46-1,""),"")</f>
        <v/>
      </c>
      <c r="F47" t="str">
        <f>IF(AND(ISNUMBER(F43),ISNUMBER(F46)),IF(F46&lt;&gt;0,F43/F46-1,""),"")</f>
        <v/>
      </c>
      <c r="G47" t="str">
        <f>IF(AND(ISNUMBER(G43),ISNUMBER(G46)),IF(G46&lt;&gt;0,G43/G46-1,""),"")</f>
        <v/>
      </c>
      <c r="H47" t="str">
        <f>IF(AND(ISNUMBER(H43),ISNUMBER(H46)),IF(H46&lt;&gt;0,H43/H46-1,""),"")</f>
        <v/>
      </c>
      <c r="I47" t="str">
        <f>IF(AND(ISNUMBER(I43),ISNUMBER(I46)),IF(I46&lt;&gt;0,I43/I46-1,""),"")</f>
        <v/>
      </c>
      <c r="J47" t="str">
        <f>IF(AND(ISNUMBER(J43),ISNUMBER(J46)),IF(J46&lt;&gt;0,J43/J46-1,""),"")</f>
        <v/>
      </c>
      <c r="K47" t="str">
        <f>IF(AND(ISNUMBER(K43),ISNUMBER(K46)),IF(K46&lt;&gt;0,K43/K46-1,""),"")</f>
        <v/>
      </c>
      <c r="L47" t="str">
        <f>IF(AND(ISNUMBER(L43),ISNUMBER(L46)),IF(L46&lt;&gt;0,L43/L46-1,""),"")</f>
        <v/>
      </c>
      <c r="M47" t="str">
        <f>IF(AND(ISNUMBER(M43),ISNUMBER(M46)),IF(M46&lt;&gt;0,M43/M46-1,""),"")</f>
        <v/>
      </c>
      <c r="N47" t="str">
        <f>IF(AND(ISNUMBER(N43),ISNUMBER(N46)),IF(N46&lt;&gt;0,N43/N46-1,""),"")</f>
        <v/>
      </c>
      <c r="O47" t="str">
        <f>IF(AND(ISNUMBER(O43),ISNUMBER(O46)),IF(O46&lt;&gt;0,O43/O46-1,""),"")</f>
        <v/>
      </c>
      <c r="P47" t="str">
        <f>IF(AND(ISNUMBER(P43),ISNUMBER(P46)),IF(P46&lt;&gt;0,P43/P46-1,""),"")</f>
        <v/>
      </c>
      <c r="Q47" t="str">
        <f>IF(AND(ISNUMBER(Q43),ISNUMBER(Q46)),IF(Q46&lt;&gt;0,Q43/Q46-1,""),"")</f>
        <v/>
      </c>
      <c r="R47" t="str">
        <f>IF(AND(ISNUMBER(R43),ISNUMBER(R46)),IF(R46&lt;&gt;0,R43/R46-1,""),"")</f>
        <v/>
      </c>
      <c r="S47" t="str">
        <f>IF(AND(ISNUMBER(S43),ISNUMBER(S46)),IF(S46&lt;&gt;0,S43/S46-1,""),"")</f>
        <v/>
      </c>
      <c r="T47" t="str">
        <f>IF(AND(ISNUMBER(T43),ISNUMBER(T46)),IF(T46&lt;&gt;0,T43/T46-1,""),"")</f>
        <v/>
      </c>
      <c r="U47" t="str">
        <f>IF(AND(ISNUMBER(U43),ISNUMBER(U46)),IF(U46&lt;&gt;0,U43/U46-1,""),"")</f>
        <v/>
      </c>
      <c r="V47" t="str">
        <f>IF(AND(ISNUMBER(V43),ISNUMBER(V46)),IF(V46&lt;&gt;0,V43/V46-1,""),"")</f>
        <v/>
      </c>
      <c r="W47" t="str">
        <f>IF(AND(ISNUMBER(W43),ISNUMBER(W46)),IF(W46&lt;&gt;0,W43/W46-1,""),"")</f>
        <v/>
      </c>
      <c r="X47" t="str">
        <f>IF(AND(ISNUMBER(X43),ISNUMBER(X46)),IF(X46&lt;&gt;0,X43/X46-1,""),"")</f>
        <v/>
      </c>
      <c r="Y47" t="str">
        <f>IF(AND(ISNUMBER(Y43),ISNUMBER(Y46)),IF(Y46&lt;&gt;0,Y43/Y46-1,""),"")</f>
        <v/>
      </c>
      <c r="Z47" t="str">
        <f>IF(AND(ISNUMBER(Z43),ISNUMBER(Z46)),IF(Z46&lt;&gt;0,Z43/Z46-1,""),"")</f>
        <v/>
      </c>
      <c r="AA47" t="str">
        <f>IF(AND(ISNUMBER(AA43),ISNUMBER(AA46)),IF(AA46&lt;&gt;0,AA43/AA46-1,""),"")</f>
        <v/>
      </c>
      <c r="AB47" t="str">
        <f>IF(AND(ISNUMBER(AB43),ISNUMBER(AB46)),IF(AB46&lt;&gt;0,AB43/AB46-1,""),"")</f>
        <v/>
      </c>
      <c r="AC47" t="str">
        <f>IF(AND(ISNUMBER(AC43),ISNUMBER(AC46)),IF(AC46&lt;&gt;0,AC43/AC46-1,""),"")</f>
        <v/>
      </c>
      <c r="AD47" t="str">
        <f>IF(AND(ISNUMBER(AD43),ISNUMBER(AD46)),IF(AD46&lt;&gt;0,AD43/AD46-1,""),"")</f>
        <v/>
      </c>
      <c r="AE47" t="str">
        <f>IF(AND(ISNUMBER(AE43),ISNUMBER(AE46)),IF(AE46&lt;&gt;0,AE43/AE46-1,""),"")</f>
        <v/>
      </c>
    </row>
    <row r="48">
      <c r="A48" t="inlineStr">
        <is>
          <t xml:space="preserve">Meta (cliente selecionado)</t>
        </is>
      </c>
      <c r="C48" t="str">
        <f>IFERROR(1/(1/INDEX($B$55:$K$55,MATCH($B$2,$B$54:$K$54,0))),"")</f>
        <v/>
      </c>
      <c r="D48" t="str">
        <f>IFERROR(1/(1/INDEX($B$56:$K$56,MATCH($B$2,$B$54:$K$54,0))),"")</f>
        <v/>
      </c>
      <c r="E48" t="str">
        <f>IFERROR(1/(1/INDEX($B$57:$K$57,MATCH($B$2,$B$54:$K$54,0))),"")</f>
        <v/>
      </c>
      <c r="F48" t="str">
        <f>IFERROR(1/(1/INDEX($B$58:$K$58,MATCH($B$2,$B$54:$K$54,0))),"")</f>
        <v/>
      </c>
      <c r="G48" t="str">
        <f>IFERROR(1/(1/INDEX($B$59:$K$59,MATCH($B$2,$B$54:$K$54,0))),"")</f>
        <v/>
      </c>
      <c r="H48" t="str">
        <f>IFERROR(1/(1/INDEX($B$60:$K$60,MATCH($B$2,$B$54:$K$54,0))),"")</f>
        <v/>
      </c>
      <c r="I48" t="str">
        <f>IFERROR(1/(1/INDEX($B$61:$K$61,MATCH($B$2,$B$54:$K$54,0))),"")</f>
        <v/>
      </c>
      <c r="J48" t="str">
        <f>IFERROR(1/(1/INDEX($B$62:$K$62,MATCH($B$2,$B$54:$K$54,0))),"")</f>
        <v/>
      </c>
      <c r="K48" t="str">
        <f>IFERROR(1/(1/INDEX($B$63:$K$63,MATCH($B$2,$B$54:$K$54,0))),"")</f>
        <v/>
      </c>
      <c r="L48" t="str">
        <f>IFERROR(1/(1/INDEX($B$64:$K$64,MATCH($B$2,$B$54:$K$54,0))),"")</f>
        <v/>
      </c>
      <c r="M48" t="str">
        <f>IFERROR(1/(1/INDEX($B$65:$K$65,MATCH($B$2,$B$54:$K$54,0))),"")</f>
        <v/>
      </c>
      <c r="N48" t="str">
        <f>IFERROR(1/(1/INDEX($B$66:$K$66,MATCH($B$2,$B$54:$K$54,0))),"")</f>
        <v/>
      </c>
      <c r="O48" t="str">
        <f>IFERROR(1/(1/INDEX($B$67:$K$67,MATCH($B$2,$B$54:$K$54,0))),"")</f>
        <v/>
      </c>
      <c r="P48" t="str">
        <f>IFERROR(1/(1/INDEX($B$68:$K$68,MATCH($B$2,$B$54:$K$54,0))),"")</f>
        <v/>
      </c>
      <c r="Q48" t="str">
        <f>IFERROR(1/(1/INDEX($B$69:$K$69,MATCH($B$2,$B$54:$K$54,0))),"")</f>
        <v/>
      </c>
      <c r="R48" t="str">
        <f>IFERROR(1/(1/INDEX($B$70:$K$70,MATCH($B$2,$B$54:$K$54,0))),"")</f>
        <v/>
      </c>
      <c r="S48" t="str">
        <f>IFERROR(1/(1/INDEX($B$71:$K$71,MATCH($B$2,$B$54:$K$54,0))),"")</f>
        <v/>
      </c>
      <c r="T48" t="str">
        <f>IFERROR(1/(1/INDEX($B$72:$K$72,MATCH($B$2,$B$54:$K$54,0))),"")</f>
        <v/>
      </c>
      <c r="U48" t="str">
        <f>IFERROR(1/(1/INDEX($B$73:$K$73,MATCH($B$2,$B$54:$K$54,0))),"")</f>
        <v/>
      </c>
      <c r="V48" t="str">
        <f>IFERROR(1/(1/INDEX($B$74:$K$74,MATCH($B$2,$B$54:$K$54,0))),"")</f>
        <v/>
      </c>
      <c r="W48" t="str">
        <f>IFERROR(1/(1/INDEX($B$75:$K$75,MATCH($B$2,$B$54:$K$54,0))),"")</f>
        <v/>
      </c>
      <c r="X48" t="str">
        <f>IFERROR(1/(1/INDEX($B$76:$K$76,MATCH($B$2,$B$54:$K$54,0))),"")</f>
        <v/>
      </c>
      <c r="Y48" t="str">
        <f>IFERROR(1/(1/INDEX($B$77:$K$77,MATCH($B$2,$B$54:$K$54,0))),"")</f>
        <v/>
      </c>
      <c r="Z48" t="str">
        <f>IFERROR(1/(1/INDEX($B$78:$K$78,MATCH($B$2,$B$54:$K$54,0))),"")</f>
        <v/>
      </c>
      <c r="AA48" t="str">
        <f>IFERROR(1/(1/INDEX($B$79:$K$79,MATCH($B$2,$B$54:$K$54,0))),"")</f>
        <v/>
      </c>
      <c r="AB48" t="str">
        <f>IFERROR(1/(1/INDEX($B$80:$K$80,MATCH($B$2,$B$54:$K$54,0))),"")</f>
        <v/>
      </c>
      <c r="AC48" t="str">
        <f>IFERROR(1/(1/INDEX($B$81:$K$81,MATCH($B$2,$B$54:$K$54,0))),"")</f>
        <v/>
      </c>
      <c r="AD48" t="str">
        <f>IFERROR(1/(1/INDEX($B$82:$K$82,MATCH($B$2,$B$54:$K$54,0))),"")</f>
        <v/>
      </c>
      <c r="AE48" t="str">
        <f>IFERROR(1/(1/INDEX($B$83:$K$83,MATCH($B$2,$B$54:$K$54,0))),"")</f>
        <v/>
      </c>
    </row>
    <row r="49">
      <c r="A49" t="inlineStr">
        <is>
          <t xml:space="preserve">% da meta</t>
        </is>
      </c>
      <c r="C49" t="str">
        <f>IF(AND(ISNUMBER(C48),ISNUMBER(C43)),IF(C48&gt;0,C43/C48,""),"")</f>
        <v/>
      </c>
      <c r="D49" t="str">
        <f>IF(AND(ISNUMBER(D48),ISNUMBER(D43)),IF(D48&gt;0,D43/D48,""),"")</f>
        <v/>
      </c>
      <c r="E49" t="str">
        <f>IF(AND(ISNUMBER(E48),ISNUMBER(E43)),IF(E48&gt;0,E43/E48,""),"")</f>
        <v/>
      </c>
      <c r="F49" t="str">
        <f>IF(AND(ISNUMBER(F48),ISNUMBER(F43)),IF(F48&gt;0,F43/F48,""),"")</f>
        <v/>
      </c>
      <c r="G49" t="str">
        <f>IF(AND(ISNUMBER(G48),ISNUMBER(G43)),IF(G48&gt;0,G43/G48,""),"")</f>
        <v/>
      </c>
      <c r="H49" t="str">
        <f>IF(AND(ISNUMBER(H48),ISNUMBER(H43)),IF(H48&gt;0,H43/H48,""),"")</f>
        <v/>
      </c>
      <c r="I49" t="str">
        <f>IF(AND(ISNUMBER(I48),ISNUMBER(I43)),IF(I48&gt;0,I43/I48,""),"")</f>
        <v/>
      </c>
      <c r="J49" t="str">
        <f>IF(AND(ISNUMBER(J48),ISNUMBER(J43)),IF(J48&gt;0,J43/J48,""),"")</f>
        <v/>
      </c>
      <c r="K49" t="str">
        <f>IF(AND(ISNUMBER(K48),ISNUMBER(K43)),IF(K48&gt;0,K43/K48,""),"")</f>
        <v/>
      </c>
      <c r="L49" t="str">
        <f>IF(AND(ISNUMBER(L48),ISNUMBER(L43)),IF(L48&gt;0,L43/L48,""),"")</f>
        <v/>
      </c>
      <c r="M49" t="str">
        <f>IF(AND(ISNUMBER(M48),ISNUMBER(M43)),IF(M48&gt;0,M43/M48,""),"")</f>
        <v/>
      </c>
      <c r="N49" t="str">
        <f>IF(AND(ISNUMBER(N48),ISNUMBER(N43)),IF(N48&gt;0,N43/N48,""),"")</f>
        <v/>
      </c>
      <c r="O49" t="str">
        <f>IF(AND(ISNUMBER(O48),ISNUMBER(O43)),IF(O48&gt;0,O43/O48,""),"")</f>
        <v/>
      </c>
      <c r="P49" t="str">
        <f>IF(AND(ISNUMBER(P48),ISNUMBER(P43)),IF(P48&gt;0,P43/P48,""),"")</f>
        <v/>
      </c>
      <c r="Q49" t="str">
        <f>IF(AND(ISNUMBER(Q48),ISNUMBER(Q43)),IF(Q48&gt;0,Q43/Q48,""),"")</f>
        <v/>
      </c>
      <c r="R49" t="str">
        <f>IF(AND(ISNUMBER(R48),ISNUMBER(R43)),IF(R48&gt;0,R43/R48,""),"")</f>
        <v/>
      </c>
      <c r="S49" t="str">
        <f>IF(AND(ISNUMBER(S48),ISNUMBER(S43)),IF(S48&gt;0,S43/S48,""),"")</f>
        <v/>
      </c>
      <c r="T49" t="str">
        <f>IF(AND(ISNUMBER(T48),ISNUMBER(T43)),IF(T48&gt;0,T43/T48,""),"")</f>
        <v/>
      </c>
      <c r="U49" t="str">
        <f>IF(AND(ISNUMBER(U48),ISNUMBER(U43)),IF(U48&gt;0,U43/U48,""),"")</f>
        <v/>
      </c>
      <c r="V49" t="str">
        <f>IF(AND(ISNUMBER(V48),ISNUMBER(V43)),IF(V48&gt;0,V43/V48,""),"")</f>
        <v/>
      </c>
      <c r="W49" t="str">
        <f>IF(AND(ISNUMBER(W48),ISNUMBER(W43)),IF(W48&gt;0,W43/W48,""),"")</f>
        <v/>
      </c>
      <c r="X49" t="str">
        <f>IF(AND(ISNUMBER(X48),ISNUMBER(X43)),IF(X48&gt;0,X43/X48,""),"")</f>
        <v/>
      </c>
      <c r="Y49" t="str">
        <f>IF(AND(ISNUMBER(Y48),ISNUMBER(Y43)),IF(Y48&gt;0,Y43/Y48,""),"")</f>
        <v/>
      </c>
      <c r="Z49" t="str">
        <f>IF(AND(ISNUMBER(Z48),ISNUMBER(Z43)),IF(Z48&gt;0,Z43/Z48,""),"")</f>
        <v/>
      </c>
      <c r="AA49" t="str">
        <f>IF(AND(ISNUMBER(AA48),ISNUMBER(AA43)),IF(AA48&gt;0,AA43/AA48,""),"")</f>
        <v/>
      </c>
      <c r="AB49" t="str">
        <f>IF(AND(ISNUMBER(AB48),ISNUMBER(AB43)),IF(AB48&gt;0,AB43/AB48,""),"")</f>
        <v/>
      </c>
      <c r="AC49" t="str">
        <f>IF(AND(ISNUMBER(AC48),ISNUMBER(AC43)),IF(AC48&gt;0,AC43/AC48,""),"")</f>
        <v/>
      </c>
      <c r="AD49" t="str">
        <f>IF(AND(ISNUMBER(AD48),ISNUMBER(AD43)),IF(AD48&gt;0,AD43/AD48,""),"")</f>
        <v/>
      </c>
      <c r="AE49" t="str">
        <f>IF(AND(ISNUMBER(AE48),ISNUMBER(AE43)),IF(AE48&gt;0,AE43/AE48,""),"")</f>
        <v/>
      </c>
    </row>
    <row r="50">
      <c r="A50" t="inlineStr">
        <is>
          <t xml:space="preserve">Status</t>
        </is>
      </c>
      <c r="C50" t="str">
        <f>IF(ISNUMBER(C49),IF(C49&gt;=1,"meta atingida","abaixo da meta"),"")</f>
        <v/>
      </c>
      <c r="D50" t="str">
        <f>IF(ISNUMBER(D49),IF(D49&gt;=1,"meta atingida","abaixo da meta"),"")</f>
        <v/>
      </c>
      <c r="E50" t="str">
        <f>IF(ISNUMBER(E49),IF(E49&gt;=1,"meta atingida","abaixo da meta"),"")</f>
        <v/>
      </c>
      <c r="F50" t="str">
        <f>IF(ISNUMBER(F49),IF(F49&gt;=1,"meta atingida","abaixo da meta"),"")</f>
        <v/>
      </c>
      <c r="G50" t="str">
        <f>IF(ISNUMBER(G49),IF(G49&gt;=1,"meta atingida","abaixo da meta"),"")</f>
        <v/>
      </c>
      <c r="H50" t="str">
        <f>IF(ISNUMBER(H49),IF(H49&gt;=1,"meta atingida","abaixo da meta"),"")</f>
        <v/>
      </c>
      <c r="I50" t="str">
        <f>IF(ISNUMBER(I49),IF(I49&gt;=1,"meta atingida","abaixo da meta"),"")</f>
        <v/>
      </c>
      <c r="J50" t="str">
        <f>IF(ISNUMBER(J49),IF(J49&gt;=1,"meta atingida","abaixo da meta"),"")</f>
        <v/>
      </c>
      <c r="K50" t="str">
        <f>IF(ISNUMBER(K49),IF(K49&gt;=1,"meta atingida","abaixo da meta"),"")</f>
        <v/>
      </c>
      <c r="L50" t="str">
        <f>IF(ISNUMBER(L49),IF(L49&gt;=1,"meta atingida","abaixo da meta"),"")</f>
        <v/>
      </c>
      <c r="M50" t="str">
        <f>IF(ISNUMBER(M49),IF(M49&gt;=1,"meta atingida","abaixo da meta"),"")</f>
        <v/>
      </c>
      <c r="N50" t="str">
        <f>IF(ISNUMBER(N49),IF(N49&gt;=1,"meta atingida","abaixo da meta"),"")</f>
        <v/>
      </c>
      <c r="O50" t="str">
        <f>IF(ISNUMBER(O49),IF(O49&gt;=1,"meta atingida","abaixo da meta"),"")</f>
        <v/>
      </c>
      <c r="P50" t="str">
        <f>IF(ISNUMBER(P49),IF(P49&gt;=1,"meta atingida","abaixo da meta"),"")</f>
        <v/>
      </c>
      <c r="Q50" t="str">
        <f>IF(ISNUMBER(Q49),IF(Q49&gt;=1,"meta atingida","abaixo da meta"),"")</f>
        <v/>
      </c>
      <c r="R50" t="str">
        <f>IF(ISNUMBER(R49),IF(R49&gt;=1,"meta atingida","abaixo da meta"),"")</f>
        <v/>
      </c>
      <c r="S50" t="str">
        <f>IF(ISNUMBER(S49),IF(S49&gt;=1,"meta atingida","abaixo da meta"),"")</f>
        <v/>
      </c>
      <c r="T50" t="str">
        <f>IF(ISNUMBER(T49),IF(T49&gt;=1,"meta atingida","abaixo da meta"),"")</f>
        <v/>
      </c>
      <c r="U50" t="str">
        <f>IF(AND(ISNUMBER(U48),ISNUMBER(U43)),IF(U43&lt;=U48,"dentro do limite","acima do limite"),"")</f>
        <v/>
      </c>
      <c r="V50" t="str">
        <f>IF(AND(ISNUMBER(V48),ISNUMBER(V43)),IF(V43&lt;=V48,"dentro do limite","acima do limite"),"")</f>
        <v/>
      </c>
      <c r="W50" t="str">
        <f>IF(AND(ISNUMBER(W48),ISNUMBER(W43)),IF(W43&lt;=W48,"dentro do limite","acima do limite"),"")</f>
        <v/>
      </c>
      <c r="X50" t="str">
        <f>IF(ISNUMBER(X49),IF(X49&gt;=1,"meta atingida","abaixo da meta"),"")</f>
        <v/>
      </c>
      <c r="Y50" t="str">
        <f>IF(ISNUMBER(Y49),IF(Y49&gt;=1,"meta atingida","abaixo da meta"),"")</f>
        <v/>
      </c>
      <c r="Z50" t="str">
        <f>IF(ISNUMBER(Z43),IF(Z43&gt;=$B$6,"crítico",IF(Z43&gt;=$B$5,"atenção","dentro da faixa")),"")</f>
        <v/>
      </c>
      <c r="AA50" t="str">
        <f>IF(ISNUMBER(AA49),IF(AA49&gt;=1,"meta atingida","abaixo da meta"),"")</f>
        <v/>
      </c>
      <c r="AB50" t="str">
        <f>IF(AND(ISNUMBER(AB48),ISNUMBER(AB43)),IF(AB43&lt;=AB48,"dentro do limite","acima do limite"),"")</f>
        <v/>
      </c>
      <c r="AC50" t="str">
        <f>IF(ISNUMBER(AC49),IF(AC49&gt;=1,"meta atingida","abaixo da meta"),"")</f>
        <v/>
      </c>
      <c r="AD50" t="str">
        <f>IF(ISNUMBER(AD49),IF(AD49&gt;=1,"meta atingida","abaixo da meta"),"")</f>
        <v/>
      </c>
      <c r="AE50" t="str">
        <f>IF(AND(ISNUMBER(AE48),ISNUMBER(AE43)),IF(AE43&lt;=AE48,"dentro do limite","acima do limite"),"")</f>
        <v/>
      </c>
    </row>
    <row r="53">
      <c r="A53" t="inlineStr">
        <is>
          <t xml:space="preserve">METAS DO MÊS por indicador (edite as células amarelas; vazio = sem meta). Taxa de ocupação: meta em %.</t>
        </is>
      </c>
    </row>
    <row r="54">
      <c r="A54" s="145" t="inlineStr">
        <is>
          <t xml:space="preserve">Indicador</t>
        </is>
      </c>
      <c r="B54" s="145" t="inlineStr">
        <is>
          <t xml:space="preserve">Todos</t>
        </is>
      </c>
      <c r="C54" s="145" t="inlineStr">
        <is>
          <t xml:space="preserve">BASF</t>
        </is>
      </c>
      <c r="D54" s="145" t="inlineStr">
        <is>
          <t xml:space="preserve">BEAUTYBIZ</t>
        </is>
      </c>
      <c r="E54" s="145" t="inlineStr">
        <is>
          <t xml:space="preserve">BOTICÁRIO</t>
        </is>
      </c>
      <c r="F54" s="145" t="inlineStr">
        <is>
          <t xml:space="preserve">SUPPLY</t>
        </is>
      </c>
      <c r="G54" s="145" t="inlineStr">
        <is>
          <t xml:space="preserve">GE VERNOVA</t>
        </is>
      </c>
      <c r="H54" s="145" t="inlineStr">
        <is>
          <t xml:space="preserve">VESTAS</t>
        </is>
      </c>
      <c r="I54" s="145" t="inlineStr">
        <is>
          <t xml:space="preserve">VEDACIT</t>
        </is>
      </c>
      <c r="J54" s="145" t="inlineStr">
        <is>
          <t xml:space="preserve">OMNLIFE</t>
        </is>
      </c>
      <c r="K54" s="145" t="inlineStr">
        <is>
          <t xml:space="preserve">ALPARGATAS</t>
        </is>
      </c>
    </row>
    <row r="55">
      <c r="A55" t="inlineStr">
        <is>
          <t xml:space="preserve">IN Veículos Recebidos</t>
        </is>
      </c>
      <c r="B55" s="160" t="str">
        <f>IF(calculos!B55="","",calculos!B55)</f>
        <v/>
      </c>
      <c r="C55" s="160" t="str">
        <f>IF(calculos!C55="","",calculos!C55)</f>
        <v/>
      </c>
      <c r="D55" s="160" t="str">
        <f>IF(calculos!D55="","",calculos!D55)</f>
        <v/>
      </c>
      <c r="E55" s="160" t="str">
        <f>IF(calculos!E55="","",calculos!E55)</f>
        <v/>
      </c>
      <c r="F55" s="160" t="str">
        <f>IF(calculos!F55="","",calculos!F55)</f>
        <v/>
      </c>
      <c r="G55" s="160" t="str">
        <f>IF(calculos!G55="","",calculos!G55)</f>
        <v/>
      </c>
      <c r="H55" s="160" t="str">
        <f>IF(calculos!H55="","",calculos!H55)</f>
        <v/>
      </c>
      <c r="I55" s="160" t="str">
        <f>IF(calculos!I55="","",calculos!I55)</f>
        <v/>
      </c>
      <c r="J55" s="160" t="str">
        <f>IF(calculos!J55="","",calculos!J55)</f>
        <v/>
      </c>
      <c r="K55" s="160" t="str">
        <f>IF(calculos!K55="","",calculos!K55)</f>
        <v/>
      </c>
    </row>
    <row r="56">
      <c r="A56" t="inlineStr">
        <is>
          <t xml:space="preserve">IN Pallets Movimentados</t>
        </is>
      </c>
      <c r="B56" s="160" t="str">
        <f>IF(calculos!B56="","",calculos!B56)</f>
        <v/>
      </c>
      <c r="C56" s="160" t="str">
        <f>IF(calculos!C56="","",calculos!C56)</f>
        <v/>
      </c>
      <c r="D56" s="160" t="str">
        <f>IF(calculos!D56="","",calculos!D56)</f>
        <v/>
      </c>
      <c r="E56" s="160" t="str">
        <f>IF(calculos!E56="","",calculos!E56)</f>
        <v/>
      </c>
      <c r="F56" s="160" t="str">
        <f>IF(calculos!F56="","",calculos!F56)</f>
        <v/>
      </c>
      <c r="G56" s="160" t="str">
        <f>IF(calculos!G56="","",calculos!G56)</f>
        <v/>
      </c>
      <c r="H56" s="160" t="str">
        <f>IF(calculos!H56="","",calculos!H56)</f>
        <v/>
      </c>
      <c r="I56" s="160" t="str">
        <f>IF(calculos!I56="","",calculos!I56)</f>
        <v/>
      </c>
      <c r="J56" s="160" t="str">
        <f>IF(calculos!J56="","",calculos!J56)</f>
        <v/>
      </c>
      <c r="K56" s="160" t="str">
        <f>IF(calculos!K56="","",calculos!K56)</f>
        <v/>
      </c>
    </row>
    <row r="57">
      <c r="A57" t="inlineStr">
        <is>
          <t xml:space="preserve">IN Toneladas Movimentadas</t>
        </is>
      </c>
      <c r="B57" s="160" t="str">
        <f>IF(calculos!B57="","",calculos!B57)</f>
        <v/>
      </c>
      <c r="C57" s="160" t="str">
        <f>IF(calculos!C57="","",calculos!C57)</f>
        <v/>
      </c>
      <c r="D57" s="160" t="str">
        <f>IF(calculos!D57="","",calculos!D57)</f>
        <v/>
      </c>
      <c r="E57" s="160" t="str">
        <f>IF(calculos!E57="","",calculos!E57)</f>
        <v/>
      </c>
      <c r="F57" s="160" t="str">
        <f>IF(calculos!F57="","",calculos!F57)</f>
        <v/>
      </c>
      <c r="G57" s="160" t="str">
        <f>IF(calculos!G57="","",calculos!G57)</f>
        <v/>
      </c>
      <c r="H57" s="160" t="str">
        <f>IF(calculos!H57="","",calculos!H57)</f>
        <v/>
      </c>
      <c r="I57" s="160" t="str">
        <f>IF(calculos!I57="","",calculos!I57)</f>
        <v/>
      </c>
      <c r="J57" s="160" t="str">
        <f>IF(calculos!J57="","",calculos!J57)</f>
        <v/>
      </c>
      <c r="K57" s="160" t="str">
        <f>IF(calculos!K57="","",calculos!K57)</f>
        <v/>
      </c>
    </row>
    <row r="58">
      <c r="A58" t="inlineStr">
        <is>
          <t xml:space="preserve">IN Caixas Movimentadas</t>
        </is>
      </c>
      <c r="B58" s="160" t="str">
        <f>IF(calculos!B58="","",calculos!B58)</f>
        <v/>
      </c>
      <c r="C58" s="160" t="str">
        <f>IF(calculos!C58="","",calculos!C58)</f>
        <v/>
      </c>
      <c r="D58" s="160" t="str">
        <f>IF(calculos!D58="","",calculos!D58)</f>
        <v/>
      </c>
      <c r="E58" s="160" t="str">
        <f>IF(calculos!E58="","",calculos!E58)</f>
        <v/>
      </c>
      <c r="F58" s="160" t="str">
        <f>IF(calculos!F58="","",calculos!F58)</f>
        <v/>
      </c>
      <c r="G58" s="160" t="str">
        <f>IF(calculos!G58="","",calculos!G58)</f>
        <v/>
      </c>
      <c r="H58" s="160" t="str">
        <f>IF(calculos!H58="","",calculos!H58)</f>
        <v/>
      </c>
      <c r="I58" s="160" t="str">
        <f>IF(calculos!I58="","",calculos!I58)</f>
        <v/>
      </c>
      <c r="J58" s="160" t="str">
        <f>IF(calculos!J58="","",calculos!J58)</f>
        <v/>
      </c>
      <c r="K58" s="160" t="str">
        <f>IF(calculos!K58="","",calculos!K58)</f>
        <v/>
      </c>
    </row>
    <row r="59">
      <c r="A59" t="inlineStr">
        <is>
          <t xml:space="preserve">IN Itens Recebidos CX Mista</t>
        </is>
      </c>
      <c r="B59" s="160" t="str">
        <f>IF(calculos!B59="","",calculos!B59)</f>
        <v/>
      </c>
      <c r="C59" s="160" t="str">
        <f>IF(calculos!C59="","",calculos!C59)</f>
        <v/>
      </c>
      <c r="D59" s="160" t="str">
        <f>IF(calculos!D59="","",calculos!D59)</f>
        <v/>
      </c>
      <c r="E59" s="160" t="str">
        <f>IF(calculos!E59="","",calculos!E59)</f>
        <v/>
      </c>
      <c r="F59" s="160" t="str">
        <f>IF(calculos!F59="","",calculos!F59)</f>
        <v/>
      </c>
      <c r="G59" s="160" t="str">
        <f>IF(calculos!G59="","",calculos!G59)</f>
        <v/>
      </c>
      <c r="H59" s="160" t="str">
        <f>IF(calculos!H59="","",calculos!H59)</f>
        <v/>
      </c>
      <c r="I59" s="160" t="str">
        <f>IF(calculos!I59="","",calculos!I59)</f>
        <v/>
      </c>
      <c r="J59" s="160" t="str">
        <f>IF(calculos!J59="","",calculos!J59)</f>
        <v/>
      </c>
      <c r="K59" s="160" t="str">
        <f>IF(calculos!K59="","",calculos!K59)</f>
        <v/>
      </c>
    </row>
    <row r="60">
      <c r="A60" t="inlineStr">
        <is>
          <t xml:space="preserve">IN Caixas Mistas Recebidas</t>
        </is>
      </c>
      <c r="B60" s="160" t="str">
        <f>IF(calculos!B60="","",calculos!B60)</f>
        <v/>
      </c>
      <c r="C60" s="160" t="str">
        <f>IF(calculos!C60="","",calculos!C60)</f>
        <v/>
      </c>
      <c r="D60" s="160" t="str">
        <f>IF(calculos!D60="","",calculos!D60)</f>
        <v/>
      </c>
      <c r="E60" s="160" t="str">
        <f>IF(calculos!E60="","",calculos!E60)</f>
        <v/>
      </c>
      <c r="F60" s="160" t="str">
        <f>IF(calculos!F60="","",calculos!F60)</f>
        <v/>
      </c>
      <c r="G60" s="160" t="str">
        <f>IF(calculos!G60="","",calculos!G60)</f>
        <v/>
      </c>
      <c r="H60" s="160" t="str">
        <f>IF(calculos!H60="","",calculos!H60)</f>
        <v/>
      </c>
      <c r="I60" s="160" t="str">
        <f>IF(calculos!I60="","",calculos!I60)</f>
        <v/>
      </c>
      <c r="J60" s="160" t="str">
        <f>IF(calculos!J60="","",calculos!J60)</f>
        <v/>
      </c>
      <c r="K60" s="160" t="str">
        <f>IF(calculos!K60="","",calculos!K60)</f>
        <v/>
      </c>
    </row>
    <row r="61">
      <c r="A61" t="inlineStr">
        <is>
          <t xml:space="preserve">IN Caixas Fechadas</t>
        </is>
      </c>
      <c r="B61" s="160" t="str">
        <f>IF(calculos!B61="","",calculos!B61)</f>
        <v/>
      </c>
      <c r="C61" s="160" t="str">
        <f>IF(calculos!C61="","",calculos!C61)</f>
        <v/>
      </c>
      <c r="D61" s="160" t="str">
        <f>IF(calculos!D61="","",calculos!D61)</f>
        <v/>
      </c>
      <c r="E61" s="160" t="str">
        <f>IF(calculos!E61="","",calculos!E61)</f>
        <v/>
      </c>
      <c r="F61" s="160" t="str">
        <f>IF(calculos!F61="","",calculos!F61)</f>
        <v/>
      </c>
      <c r="G61" s="160" t="str">
        <f>IF(calculos!G61="","",calculos!G61)</f>
        <v/>
      </c>
      <c r="H61" s="160" t="str">
        <f>IF(calculos!H61="","",calculos!H61)</f>
        <v/>
      </c>
      <c r="I61" s="160" t="str">
        <f>IF(calculos!I61="","",calculos!I61)</f>
        <v/>
      </c>
      <c r="J61" s="160" t="str">
        <f>IF(calculos!J61="","",calculos!J61)</f>
        <v/>
      </c>
      <c r="K61" s="160" t="str">
        <f>IF(calculos!K61="","",calculos!K61)</f>
        <v/>
      </c>
    </row>
    <row r="62">
      <c r="A62" t="inlineStr">
        <is>
          <t xml:space="preserve">IN Peças Movimentadas</t>
        </is>
      </c>
      <c r="B62" s="160" t="str">
        <f>IF(calculos!B62="","",calculos!B62)</f>
        <v/>
      </c>
      <c r="C62" s="160" t="str">
        <f>IF(calculos!C62="","",calculos!C62)</f>
        <v/>
      </c>
      <c r="D62" s="160" t="str">
        <f>IF(calculos!D62="","",calculos!D62)</f>
        <v/>
      </c>
      <c r="E62" s="160" t="str">
        <f>IF(calculos!E62="","",calculos!E62)</f>
        <v/>
      </c>
      <c r="F62" s="160" t="str">
        <f>IF(calculos!F62="","",calculos!F62)</f>
        <v/>
      </c>
      <c r="G62" s="160" t="str">
        <f>IF(calculos!G62="","",calculos!G62)</f>
        <v/>
      </c>
      <c r="H62" s="160" t="str">
        <f>IF(calculos!H62="","",calculos!H62)</f>
        <v/>
      </c>
      <c r="I62" s="160" t="str">
        <f>IF(calculos!I62="","",calculos!I62)</f>
        <v/>
      </c>
      <c r="J62" s="160" t="str">
        <f>IF(calculos!J62="","",calculos!J62)</f>
        <v/>
      </c>
      <c r="K62" s="160" t="str">
        <f>IF(calculos!K62="","",calculos!K62)</f>
        <v/>
      </c>
    </row>
    <row r="63">
      <c r="A63" t="inlineStr">
        <is>
          <t xml:space="preserve">IN Linhas NF</t>
        </is>
      </c>
      <c r="B63" s="160" t="str">
        <f>IF(calculos!B63="","",calculos!B63)</f>
        <v/>
      </c>
      <c r="C63" s="160" t="str">
        <f>IF(calculos!C63="","",calculos!C63)</f>
        <v/>
      </c>
      <c r="D63" s="160" t="str">
        <f>IF(calculos!D63="","",calculos!D63)</f>
        <v/>
      </c>
      <c r="E63" s="160" t="str">
        <f>IF(calculos!E63="","",calculos!E63)</f>
        <v/>
      </c>
      <c r="F63" s="160" t="str">
        <f>IF(calculos!F63="","",calculos!F63)</f>
        <v/>
      </c>
      <c r="G63" s="160" t="str">
        <f>IF(calculos!G63="","",calculos!G63)</f>
        <v/>
      </c>
      <c r="H63" s="160" t="str">
        <f>IF(calculos!H63="","",calculos!H63)</f>
        <v/>
      </c>
      <c r="I63" s="160" t="str">
        <f>IF(calculos!I63="","",calculos!I63)</f>
        <v/>
      </c>
      <c r="J63" s="160" t="str">
        <f>IF(calculos!J63="","",calculos!J63)</f>
        <v/>
      </c>
      <c r="K63" s="160" t="str">
        <f>IF(calculos!K63="","",calculos!K63)</f>
        <v/>
      </c>
    </row>
    <row r="64">
      <c r="A64" t="inlineStr">
        <is>
          <t xml:space="preserve">OUT Veículos Expedidos</t>
        </is>
      </c>
      <c r="B64" s="160" t="str">
        <f>IF(calculos!B64="","",calculos!B64)</f>
        <v/>
      </c>
      <c r="C64" s="160" t="str">
        <f>IF(calculos!C64="","",calculos!C64)</f>
        <v/>
      </c>
      <c r="D64" s="160" t="str">
        <f>IF(calculos!D64="","",calculos!D64)</f>
        <v/>
      </c>
      <c r="E64" s="160" t="str">
        <f>IF(calculos!E64="","",calculos!E64)</f>
        <v/>
      </c>
      <c r="F64" s="160" t="str">
        <f>IF(calculos!F64="","",calculos!F64)</f>
        <v/>
      </c>
      <c r="G64" s="160" t="str">
        <f>IF(calculos!G64="","",calculos!G64)</f>
        <v/>
      </c>
      <c r="H64" s="160" t="str">
        <f>IF(calculos!H64="","",calculos!H64)</f>
        <v/>
      </c>
      <c r="I64" s="160" t="str">
        <f>IF(calculos!I64="","",calculos!I64)</f>
        <v/>
      </c>
      <c r="J64" s="160" t="str">
        <f>IF(calculos!J64="","",calculos!J64)</f>
        <v/>
      </c>
      <c r="K64" s="160" t="str">
        <f>IF(calculos!K64="","",calculos!K64)</f>
        <v/>
      </c>
    </row>
    <row r="65">
      <c r="A65" t="inlineStr">
        <is>
          <t xml:space="preserve">OUT Pallets Movimentados</t>
        </is>
      </c>
      <c r="B65" s="160" t="str">
        <f>IF(calculos!B65="","",calculos!B65)</f>
        <v/>
      </c>
      <c r="C65" s="160" t="str">
        <f>IF(calculos!C65="","",calculos!C65)</f>
        <v/>
      </c>
      <c r="D65" s="160" t="str">
        <f>IF(calculos!D65="","",calculos!D65)</f>
        <v/>
      </c>
      <c r="E65" s="160" t="str">
        <f>IF(calculos!E65="","",calculos!E65)</f>
        <v/>
      </c>
      <c r="F65" s="160" t="str">
        <f>IF(calculos!F65="","",calculos!F65)</f>
        <v/>
      </c>
      <c r="G65" s="160" t="str">
        <f>IF(calculos!G65="","",calculos!G65)</f>
        <v/>
      </c>
      <c r="H65" s="160" t="str">
        <f>IF(calculos!H65="","",calculos!H65)</f>
        <v/>
      </c>
      <c r="I65" s="160" t="str">
        <f>IF(calculos!I65="","",calculos!I65)</f>
        <v/>
      </c>
      <c r="J65" s="160" t="str">
        <f>IF(calculos!J65="","",calculos!J65)</f>
        <v/>
      </c>
      <c r="K65" s="160" t="str">
        <f>IF(calculos!K65="","",calculos!K65)</f>
        <v/>
      </c>
    </row>
    <row r="66">
      <c r="A66" t="inlineStr">
        <is>
          <t xml:space="preserve">OUT Toneladas Movimentadas</t>
        </is>
      </c>
      <c r="B66" s="160" t="str">
        <f>IF(calculos!B66="","",calculos!B66)</f>
        <v/>
      </c>
      <c r="C66" s="160" t="str">
        <f>IF(calculos!C66="","",calculos!C66)</f>
        <v/>
      </c>
      <c r="D66" s="160" t="str">
        <f>IF(calculos!D66="","",calculos!D66)</f>
        <v/>
      </c>
      <c r="E66" s="160" t="str">
        <f>IF(calculos!E66="","",calculos!E66)</f>
        <v/>
      </c>
      <c r="F66" s="160" t="str">
        <f>IF(calculos!F66="","",calculos!F66)</f>
        <v/>
      </c>
      <c r="G66" s="160" t="str">
        <f>IF(calculos!G66="","",calculos!G66)</f>
        <v/>
      </c>
      <c r="H66" s="160" t="str">
        <f>IF(calculos!H66="","",calculos!H66)</f>
        <v/>
      </c>
      <c r="I66" s="160" t="str">
        <f>IF(calculos!I66="","",calculos!I66)</f>
        <v/>
      </c>
      <c r="J66" s="160" t="str">
        <f>IF(calculos!J66="","",calculos!J66)</f>
        <v/>
      </c>
      <c r="K66" s="160" t="str">
        <f>IF(calculos!K66="","",calculos!K66)</f>
        <v/>
      </c>
    </row>
    <row r="67">
      <c r="A67" t="inlineStr">
        <is>
          <t xml:space="preserve">OUT Caixas Expedidas</t>
        </is>
      </c>
      <c r="B67" s="160" t="str">
        <f>IF(calculos!B67="","",calculos!B67)</f>
        <v/>
      </c>
      <c r="C67" s="160" t="str">
        <f>IF(calculos!C67="","",calculos!C67)</f>
        <v/>
      </c>
      <c r="D67" s="160" t="str">
        <f>IF(calculos!D67="","",calculos!D67)</f>
        <v/>
      </c>
      <c r="E67" s="160" t="str">
        <f>IF(calculos!E67="","",calculos!E67)</f>
        <v/>
      </c>
      <c r="F67" s="160" t="str">
        <f>IF(calculos!F67="","",calculos!F67)</f>
        <v/>
      </c>
      <c r="G67" s="160" t="str">
        <f>IF(calculos!G67="","",calculos!G67)</f>
        <v/>
      </c>
      <c r="H67" s="160" t="str">
        <f>IF(calculos!H67="","",calculos!H67)</f>
        <v/>
      </c>
      <c r="I67" s="160" t="str">
        <f>IF(calculos!I67="","",calculos!I67)</f>
        <v/>
      </c>
      <c r="J67" s="160" t="str">
        <f>IF(calculos!J67="","",calculos!J67)</f>
        <v/>
      </c>
      <c r="K67" s="160" t="str">
        <f>IF(calculos!K67="","",calculos!K67)</f>
        <v/>
      </c>
    </row>
    <row r="68">
      <c r="A68" t="inlineStr">
        <is>
          <t xml:space="preserve">OUT Pedidos Expedidos</t>
        </is>
      </c>
      <c r="B68" s="160" t="str">
        <f>IF(calculos!B68="","",calculos!B68)</f>
        <v/>
      </c>
      <c r="C68" s="160" t="str">
        <f>IF(calculos!C68="","",calculos!C68)</f>
        <v/>
      </c>
      <c r="D68" s="160" t="str">
        <f>IF(calculos!D68="","",calculos!D68)</f>
        <v/>
      </c>
      <c r="E68" s="160" t="str">
        <f>IF(calculos!E68="","",calculos!E68)</f>
        <v/>
      </c>
      <c r="F68" s="160" t="str">
        <f>IF(calculos!F68="","",calculos!F68)</f>
        <v/>
      </c>
      <c r="G68" s="160" t="str">
        <f>IF(calculos!G68="","",calculos!G68)</f>
        <v/>
      </c>
      <c r="H68" s="160" t="str">
        <f>IF(calculos!H68="","",calculos!H68)</f>
        <v/>
      </c>
      <c r="I68" s="160" t="str">
        <f>IF(calculos!I68="","",calculos!I68)</f>
        <v/>
      </c>
      <c r="J68" s="160" t="str">
        <f>IF(calculos!J68="","",calculos!J68)</f>
        <v/>
      </c>
      <c r="K68" s="160" t="str">
        <f>IF(calculos!K68="","",calculos!K68)</f>
        <v/>
      </c>
    </row>
    <row r="69">
      <c r="A69" t="inlineStr">
        <is>
          <t xml:space="preserve">OUT Pedidos Faturados</t>
        </is>
      </c>
      <c r="B69" s="160" t="str">
        <f>IF(calculos!B69="","",calculos!B69)</f>
        <v/>
      </c>
      <c r="C69" s="160" t="str">
        <f>IF(calculos!C69="","",calculos!C69)</f>
        <v/>
      </c>
      <c r="D69" s="160" t="str">
        <f>IF(calculos!D69="","",calculos!D69)</f>
        <v/>
      </c>
      <c r="E69" s="160" t="str">
        <f>IF(calculos!E69="","",calculos!E69)</f>
        <v/>
      </c>
      <c r="F69" s="160" t="str">
        <f>IF(calculos!F69="","",calculos!F69)</f>
        <v/>
      </c>
      <c r="G69" s="160" t="str">
        <f>IF(calculos!G69="","",calculos!G69)</f>
        <v/>
      </c>
      <c r="H69" s="160" t="str">
        <f>IF(calculos!H69="","",calculos!H69)</f>
        <v/>
      </c>
      <c r="I69" s="160" t="str">
        <f>IF(calculos!I69="","",calculos!I69)</f>
        <v/>
      </c>
      <c r="J69" s="160" t="str">
        <f>IF(calculos!J69="","",calculos!J69)</f>
        <v/>
      </c>
      <c r="K69" s="160" t="str">
        <f>IF(calculos!K69="","",calculos!K69)</f>
        <v/>
      </c>
    </row>
    <row r="70">
      <c r="A70" t="inlineStr">
        <is>
          <t xml:space="preserve">OUT Itens Expedidos</t>
        </is>
      </c>
      <c r="B70" s="160" t="str">
        <f>IF(calculos!B70="","",calculos!B70)</f>
        <v/>
      </c>
      <c r="C70" s="160" t="str">
        <f>IF(calculos!C70="","",calculos!C70)</f>
        <v/>
      </c>
      <c r="D70" s="160" t="str">
        <f>IF(calculos!D70="","",calculos!D70)</f>
        <v/>
      </c>
      <c r="E70" s="160" t="str">
        <f>IF(calculos!E70="","",calculos!E70)</f>
        <v/>
      </c>
      <c r="F70" s="160" t="str">
        <f>IF(calculos!F70="","",calculos!F70)</f>
        <v/>
      </c>
      <c r="G70" s="160" t="str">
        <f>IF(calculos!G70="","",calculos!G70)</f>
        <v/>
      </c>
      <c r="H70" s="160" t="str">
        <f>IF(calculos!H70="","",calculos!H70)</f>
        <v/>
      </c>
      <c r="I70" s="160" t="str">
        <f>IF(calculos!I70="","",calculos!I70)</f>
        <v/>
      </c>
      <c r="J70" s="160" t="str">
        <f>IF(calculos!J70="","",calculos!J70)</f>
        <v/>
      </c>
      <c r="K70" s="160" t="str">
        <f>IF(calculos!K70="","",calculos!K70)</f>
        <v/>
      </c>
    </row>
    <row r="71">
      <c r="A71" t="inlineStr">
        <is>
          <t xml:space="preserve">OUT Peças Movimentadas</t>
        </is>
      </c>
      <c r="B71" s="160" t="str">
        <f>IF(calculos!B71="","",calculos!B71)</f>
        <v/>
      </c>
      <c r="C71" s="160" t="str">
        <f>IF(calculos!C71="","",calculos!C71)</f>
        <v/>
      </c>
      <c r="D71" s="160" t="str">
        <f>IF(calculos!D71="","",calculos!D71)</f>
        <v/>
      </c>
      <c r="E71" s="160" t="str">
        <f>IF(calculos!E71="","",calculos!E71)</f>
        <v/>
      </c>
      <c r="F71" s="160" t="str">
        <f>IF(calculos!F71="","",calculos!F71)</f>
        <v/>
      </c>
      <c r="G71" s="160" t="str">
        <f>IF(calculos!G71="","",calculos!G71)</f>
        <v/>
      </c>
      <c r="H71" s="160" t="str">
        <f>IF(calculos!H71="","",calculos!H71)</f>
        <v/>
      </c>
      <c r="I71" s="160" t="str">
        <f>IF(calculos!I71="","",calculos!I71)</f>
        <v/>
      </c>
      <c r="J71" s="160" t="str">
        <f>IF(calculos!J71="","",calculos!J71)</f>
        <v/>
      </c>
      <c r="K71" s="160" t="str">
        <f>IF(calculos!K71="","",calculos!K71)</f>
        <v/>
      </c>
    </row>
    <row r="72">
      <c r="A72" t="inlineStr">
        <is>
          <t xml:space="preserve">OUT Linhas NF</t>
        </is>
      </c>
      <c r="B72" s="160" t="str">
        <f>IF(calculos!B72="","",calculos!B72)</f>
        <v/>
      </c>
      <c r="C72" s="160" t="str">
        <f>IF(calculos!C72="","",calculos!C72)</f>
        <v/>
      </c>
      <c r="D72" s="160" t="str">
        <f>IF(calculos!D72="","",calculos!D72)</f>
        <v/>
      </c>
      <c r="E72" s="160" t="str">
        <f>IF(calculos!E72="","",calculos!E72)</f>
        <v/>
      </c>
      <c r="F72" s="160" t="str">
        <f>IF(calculos!F72="","",calculos!F72)</f>
        <v/>
      </c>
      <c r="G72" s="160" t="str">
        <f>IF(calculos!G72="","",calculos!G72)</f>
        <v/>
      </c>
      <c r="H72" s="160" t="str">
        <f>IF(calculos!H72="","",calculos!H72)</f>
        <v/>
      </c>
      <c r="I72" s="160" t="str">
        <f>IF(calculos!I72="","",calculos!I72)</f>
        <v/>
      </c>
      <c r="J72" s="160" t="str">
        <f>IF(calculos!J72="","",calculos!J72)</f>
        <v/>
      </c>
      <c r="K72" s="160" t="str">
        <f>IF(calculos!K72="","",calculos!K72)</f>
        <v/>
      </c>
    </row>
    <row r="73">
      <c r="A73" t="inlineStr">
        <is>
          <t xml:space="preserve">NC Incidentes</t>
        </is>
      </c>
      <c r="B73" s="160" t="str">
        <f>IF(calculos!B73="","",calculos!B73)</f>
        <v/>
      </c>
      <c r="C73" s="160" t="str">
        <f>IF(calculos!C73="","",calculos!C73)</f>
        <v/>
      </c>
      <c r="D73" s="160" t="str">
        <f>IF(calculos!D73="","",calculos!D73)</f>
        <v/>
      </c>
      <c r="E73" s="160" t="str">
        <f>IF(calculos!E73="","",calculos!E73)</f>
        <v/>
      </c>
      <c r="F73" s="160" t="str">
        <f>IF(calculos!F73="","",calculos!F73)</f>
        <v/>
      </c>
      <c r="G73" s="160" t="str">
        <f>IF(calculos!G73="","",calculos!G73)</f>
        <v/>
      </c>
      <c r="H73" s="160" t="str">
        <f>IF(calculos!H73="","",calculos!H73)</f>
        <v/>
      </c>
      <c r="I73" s="160" t="str">
        <f>IF(calculos!I73="","",calculos!I73)</f>
        <v/>
      </c>
      <c r="J73" s="160" t="str">
        <f>IF(calculos!J73="","",calculos!J73)</f>
        <v/>
      </c>
      <c r="K73" s="160" t="str">
        <f>IF(calculos!K73="","",calculos!K73)</f>
        <v/>
      </c>
    </row>
    <row r="74">
      <c r="A74" t="inlineStr">
        <is>
          <t xml:space="preserve">NC No show</t>
        </is>
      </c>
      <c r="B74" s="160" t="str">
        <f>IF(calculos!B74="","",calculos!B74)</f>
        <v/>
      </c>
      <c r="C74" s="160" t="str">
        <f>IF(calculos!C74="","",calculos!C74)</f>
        <v/>
      </c>
      <c r="D74" s="160" t="str">
        <f>IF(calculos!D74="","",calculos!D74)</f>
        <v/>
      </c>
      <c r="E74" s="160" t="str">
        <f>IF(calculos!E74="","",calculos!E74)</f>
        <v/>
      </c>
      <c r="F74" s="160" t="str">
        <f>IF(calculos!F74="","",calculos!F74)</f>
        <v/>
      </c>
      <c r="G74" s="160" t="str">
        <f>IF(calculos!G74="","",calculos!G74)</f>
        <v/>
      </c>
      <c r="H74" s="160" t="str">
        <f>IF(calculos!H74="","",calculos!H74)</f>
        <v/>
      </c>
      <c r="I74" s="160" t="str">
        <f>IF(calculos!I74="","",calculos!I74)</f>
        <v/>
      </c>
      <c r="J74" s="160" t="str">
        <f>IF(calculos!J74="","",calculos!J74)</f>
        <v/>
      </c>
      <c r="K74" s="160" t="str">
        <f>IF(calculos!K74="","",calculos!K74)</f>
        <v/>
      </c>
    </row>
    <row r="75">
      <c r="A75" t="inlineStr">
        <is>
          <t xml:space="preserve">NC Backlog</t>
        </is>
      </c>
      <c r="B75" s="160" t="str">
        <f>IF(calculos!B75="","",calculos!B75)</f>
        <v/>
      </c>
      <c r="C75" s="160" t="str">
        <f>IF(calculos!C75="","",calculos!C75)</f>
        <v/>
      </c>
      <c r="D75" s="160" t="str">
        <f>IF(calculos!D75="","",calculos!D75)</f>
        <v/>
      </c>
      <c r="E75" s="160" t="str">
        <f>IF(calculos!E75="","",calculos!E75)</f>
        <v/>
      </c>
      <c r="F75" s="160" t="str">
        <f>IF(calculos!F75="","",calculos!F75)</f>
        <v/>
      </c>
      <c r="G75" s="160" t="str">
        <f>IF(calculos!G75="","",calculos!G75)</f>
        <v/>
      </c>
      <c r="H75" s="160" t="str">
        <f>IF(calculos!H75="","",calculos!H75)</f>
        <v/>
      </c>
      <c r="I75" s="160" t="str">
        <f>IF(calculos!I75="","",calculos!I75)</f>
        <v/>
      </c>
      <c r="J75" s="160" t="str">
        <f>IF(calculos!J75="","",calculos!J75)</f>
        <v/>
      </c>
      <c r="K75" s="160" t="str">
        <f>IF(calculos!K75="","",calculos!K75)</f>
        <v/>
      </c>
    </row>
    <row r="76">
      <c r="A76" t="inlineStr">
        <is>
          <t xml:space="preserve">Posições Disponíveis</t>
        </is>
      </c>
      <c r="B76" s="160" t="str">
        <f>IF(calculos!B76="","",calculos!B76)</f>
        <v/>
      </c>
      <c r="C76" s="160" t="str">
        <f>IF(calculos!C76="","",calculos!C76)</f>
        <v/>
      </c>
      <c r="D76" s="160" t="str">
        <f>IF(calculos!D76="","",calculos!D76)</f>
        <v/>
      </c>
      <c r="E76" s="160" t="str">
        <f>IF(calculos!E76="","",calculos!E76)</f>
        <v/>
      </c>
      <c r="F76" s="160" t="str">
        <f>IF(calculos!F76="","",calculos!F76)</f>
        <v/>
      </c>
      <c r="G76" s="160" t="str">
        <f>IF(calculos!G76="","",calculos!G76)</f>
        <v/>
      </c>
      <c r="H76" s="160" t="str">
        <f>IF(calculos!H76="","",calculos!H76)</f>
        <v/>
      </c>
      <c r="I76" s="160" t="str">
        <f>IF(calculos!I76="","",calculos!I76)</f>
        <v/>
      </c>
      <c r="J76" s="160" t="str">
        <f>IF(calculos!J76="","",calculos!J76)</f>
        <v/>
      </c>
      <c r="K76" s="160" t="str">
        <f>IF(calculos!K76="","",calculos!K76)</f>
        <v/>
      </c>
    </row>
    <row r="77">
      <c r="A77" t="inlineStr">
        <is>
          <t xml:space="preserve">Posições Ocupadas</t>
        </is>
      </c>
      <c r="B77" s="160" t="str">
        <f>IF(calculos!B77="","",calculos!B77)</f>
        <v/>
      </c>
      <c r="C77" s="160" t="str">
        <f>IF(calculos!C77="","",calculos!C77)</f>
        <v/>
      </c>
      <c r="D77" s="160" t="str">
        <f>IF(calculos!D77="","",calculos!D77)</f>
        <v/>
      </c>
      <c r="E77" s="160" t="str">
        <f>IF(calculos!E77="","",calculos!E77)</f>
        <v/>
      </c>
      <c r="F77" s="160" t="str">
        <f>IF(calculos!F77="","",calculos!F77)</f>
        <v/>
      </c>
      <c r="G77" s="160" t="str">
        <f>IF(calculos!G77="","",calculos!G77)</f>
        <v/>
      </c>
      <c r="H77" s="160" t="str">
        <f>IF(calculos!H77="","",calculos!H77)</f>
        <v/>
      </c>
      <c r="I77" s="160" t="str">
        <f>IF(calculos!I77="","",calculos!I77)</f>
        <v/>
      </c>
      <c r="J77" s="160" t="str">
        <f>IF(calculos!J77="","",calculos!J77)</f>
        <v/>
      </c>
      <c r="K77" s="160" t="str">
        <f>IF(calculos!K77="","",calculos!K77)</f>
        <v/>
      </c>
    </row>
    <row r="78">
      <c r="A78" t="inlineStr">
        <is>
          <t xml:space="preserve">Taxa de Ocupação</t>
        </is>
      </c>
      <c r="B78" s="160" t="str">
        <f>IF(calculos!B78="","",calculos!B78)</f>
        <v/>
      </c>
      <c r="C78" s="160" t="str">
        <f>IF(calculos!C78="","",calculos!C78)</f>
        <v/>
      </c>
      <c r="D78" s="160" t="str">
        <f>IF(calculos!D78="","",calculos!D78)</f>
        <v/>
      </c>
      <c r="E78" s="160" t="str">
        <f>IF(calculos!E78="","",calculos!E78)</f>
        <v/>
      </c>
      <c r="F78" s="160" t="str">
        <f>IF(calculos!F78="","",calculos!F78)</f>
        <v/>
      </c>
      <c r="G78" s="160" t="str">
        <f>IF(calculos!G78="","",calculos!G78)</f>
        <v/>
      </c>
      <c r="H78" s="160" t="str">
        <f>IF(calculos!H78="","",calculos!H78)</f>
        <v/>
      </c>
      <c r="I78" s="160" t="str">
        <f>IF(calculos!I78="","",calculos!I78)</f>
        <v/>
      </c>
      <c r="J78" s="160" t="str">
        <f>IF(calculos!J78="","",calculos!J78)</f>
        <v/>
      </c>
      <c r="K78" s="160" t="str">
        <f>IF(calculos!K78="","",calculos!K78)</f>
        <v/>
      </c>
    </row>
    <row r="79">
      <c r="A79" t="inlineStr">
        <is>
          <t xml:space="preserve">Efetivo</t>
        </is>
      </c>
      <c r="B79" s="160" t="str">
        <f>IF(calculos!B79="","",calculos!B79)</f>
        <v/>
      </c>
      <c r="C79" s="160" t="str">
        <f>IF(calculos!C79="","",calculos!C79)</f>
        <v/>
      </c>
      <c r="D79" s="160" t="str">
        <f>IF(calculos!D79="","",calculos!D79)</f>
        <v/>
      </c>
      <c r="E79" s="160" t="str">
        <f>IF(calculos!E79="","",calculos!E79)</f>
        <v/>
      </c>
      <c r="F79" s="160" t="str">
        <f>IF(calculos!F79="","",calculos!F79)</f>
        <v/>
      </c>
      <c r="G79" s="160" t="str">
        <f>IF(calculos!G79="","",calculos!G79)</f>
        <v/>
      </c>
      <c r="H79" s="160" t="str">
        <f>IF(calculos!H79="","",calculos!H79)</f>
        <v/>
      </c>
      <c r="I79" s="160" t="str">
        <f>IF(calculos!I79="","",calculos!I79)</f>
        <v/>
      </c>
      <c r="J79" s="160" t="str">
        <f>IF(calculos!J79="","",calculos!J79)</f>
        <v/>
      </c>
      <c r="K79" s="160" t="str">
        <f>IF(calculos!K79="","",calculos!K79)</f>
        <v/>
      </c>
    </row>
    <row r="80">
      <c r="A80" t="inlineStr">
        <is>
          <t xml:space="preserve">Falta</t>
        </is>
      </c>
      <c r="B80" s="160" t="str">
        <f>IF(calculos!B80="","",calculos!B80)</f>
        <v/>
      </c>
      <c r="C80" s="160" t="str">
        <f>IF(calculos!C80="","",calculos!C80)</f>
        <v/>
      </c>
      <c r="D80" s="160" t="str">
        <f>IF(calculos!D80="","",calculos!D80)</f>
        <v/>
      </c>
      <c r="E80" s="160" t="str">
        <f>IF(calculos!E80="","",calculos!E80)</f>
        <v/>
      </c>
      <c r="F80" s="160" t="str">
        <f>IF(calculos!F80="","",calculos!F80)</f>
        <v/>
      </c>
      <c r="G80" s="160" t="str">
        <f>IF(calculos!G80="","",calculos!G80)</f>
        <v/>
      </c>
      <c r="H80" s="160" t="str">
        <f>IF(calculos!H80="","",calculos!H80)</f>
        <v/>
      </c>
      <c r="I80" s="160" t="str">
        <f>IF(calculos!I80="","",calculos!I80)</f>
        <v/>
      </c>
      <c r="J80" s="160" t="str">
        <f>IF(calculos!J80="","",calculos!J80)</f>
        <v/>
      </c>
      <c r="K80" s="160" t="str">
        <f>IF(calculos!K80="","",calculos!K80)</f>
        <v/>
      </c>
    </row>
    <row r="81">
      <c r="A81" t="inlineStr">
        <is>
          <t xml:space="preserve">Folga</t>
        </is>
      </c>
      <c r="B81" s="160" t="str">
        <f>IF(calculos!B81="","",calculos!B81)</f>
        <v/>
      </c>
      <c r="C81" s="160" t="str">
        <f>IF(calculos!C81="","",calculos!C81)</f>
        <v/>
      </c>
      <c r="D81" s="160" t="str">
        <f>IF(calculos!D81="","",calculos!D81)</f>
        <v/>
      </c>
      <c r="E81" s="160" t="str">
        <f>IF(calculos!E81="","",calculos!E81)</f>
        <v/>
      </c>
      <c r="F81" s="160" t="str">
        <f>IF(calculos!F81="","",calculos!F81)</f>
        <v/>
      </c>
      <c r="G81" s="160" t="str">
        <f>IF(calculos!G81="","",calculos!G81)</f>
        <v/>
      </c>
      <c r="H81" s="160" t="str">
        <f>IF(calculos!H81="","",calculos!H81)</f>
        <v/>
      </c>
      <c r="I81" s="160" t="str">
        <f>IF(calculos!I81="","",calculos!I81)</f>
        <v/>
      </c>
      <c r="J81" s="160" t="str">
        <f>IF(calculos!J81="","",calculos!J81)</f>
        <v/>
      </c>
      <c r="K81" s="160" t="str">
        <f>IF(calculos!K81="","",calculos!K81)</f>
        <v/>
      </c>
    </row>
    <row r="82">
      <c r="A82" t="inlineStr">
        <is>
          <t xml:space="preserve">Férias</t>
        </is>
      </c>
      <c r="B82" s="160" t="str">
        <f>IF(calculos!B82="","",calculos!B82)</f>
        <v/>
      </c>
      <c r="C82" s="160" t="str">
        <f>IF(calculos!C82="","",calculos!C82)</f>
        <v/>
      </c>
      <c r="D82" s="160" t="str">
        <f>IF(calculos!D82="","",calculos!D82)</f>
        <v/>
      </c>
      <c r="E82" s="160" t="str">
        <f>IF(calculos!E82="","",calculos!E82)</f>
        <v/>
      </c>
      <c r="F82" s="160" t="str">
        <f>IF(calculos!F82="","",calculos!F82)</f>
        <v/>
      </c>
      <c r="G82" s="160" t="str">
        <f>IF(calculos!G82="","",calculos!G82)</f>
        <v/>
      </c>
      <c r="H82" s="160" t="str">
        <f>IF(calculos!H82="","",calculos!H82)</f>
        <v/>
      </c>
      <c r="I82" s="160" t="str">
        <f>IF(calculos!I82="","",calculos!I82)</f>
        <v/>
      </c>
      <c r="J82" s="160" t="str">
        <f>IF(calculos!J82="","",calculos!J82)</f>
        <v/>
      </c>
      <c r="K82" s="160" t="str">
        <f>IF(calculos!K82="","",calculos!K82)</f>
        <v/>
      </c>
    </row>
    <row r="83">
      <c r="A83" t="inlineStr">
        <is>
          <t xml:space="preserve">Desligamentos</t>
        </is>
      </c>
      <c r="B83" s="160" t="str">
        <f>IF(calculos!B83="","",calculos!B83)</f>
        <v/>
      </c>
      <c r="C83" s="160" t="str">
        <f>IF(calculos!C83="","",calculos!C83)</f>
        <v/>
      </c>
      <c r="D83" s="160" t="str">
        <f>IF(calculos!D83="","",calculos!D83)</f>
        <v/>
      </c>
      <c r="E83" s="160" t="str">
        <f>IF(calculos!E83="","",calculos!E83)</f>
        <v/>
      </c>
      <c r="F83" s="160" t="str">
        <f>IF(calculos!F83="","",calculos!F83)</f>
        <v/>
      </c>
      <c r="G83" s="160" t="str">
        <f>IF(calculos!G83="","",calculos!G83)</f>
        <v/>
      </c>
      <c r="H83" s="160" t="str">
        <f>IF(calculos!H83="","",calculos!H83)</f>
        <v/>
      </c>
      <c r="I83" s="160" t="str">
        <f>IF(calculos!I83="","",calculos!I83)</f>
        <v/>
      </c>
      <c r="J83" s="160" t="str">
        <f>IF(calculos!J83="","",calculos!J83)</f>
        <v/>
      </c>
      <c r="K83" s="160" t="str">
        <f>IF(calculos!K83="","",calculos!K83)</f>
        <v/>
      </c>
    </row>
    <row r="86">
      <c r="F86" s="145" t="inlineStr">
        <is>
          <t xml:space="preserve">Semana</t>
        </is>
      </c>
      <c r="G86" s="145" t="inlineStr">
        <is>
          <t xml:space="preserve">Do dia</t>
        </is>
      </c>
      <c r="H86" s="145" t="inlineStr">
        <is>
          <t xml:space="preserve">Ao dia</t>
        </is>
      </c>
      <c r="I86" s="145" t="inlineStr">
        <is>
          <t xml:space="preserve">IN</t>
        </is>
      </c>
      <c r="J86" s="145" t="inlineStr">
        <is>
          <t xml:space="preserve">OUT</t>
        </is>
      </c>
    </row>
    <row r="87">
      <c r="F87" t="inlineStr">
        <is>
          <t xml:space="preserve">Sem 1 (01–07)</t>
        </is>
      </c>
      <c r="G87">
        <v>1</v>
      </c>
      <c r="H87">
        <v>7</v>
      </c>
      <c r="I87">
        <f>SUMIFS($AG$12:$AG$42,$A$12:$A$42,"&gt;="&amp;$G87,$A$12:$A$42,"&lt;="&amp;$H87)</f>
        <v>0</v>
      </c>
      <c r="J87">
        <f>SUMIFS($AH$12:$AH$42,$A$12:$A$42,"&gt;="&amp;$G87,$A$12:$A$42,"&lt;="&amp;$H87)</f>
        <v>0</v>
      </c>
    </row>
    <row r="88">
      <c r="F88" t="inlineStr">
        <is>
          <t xml:space="preserve">Sem 2 (08–14)</t>
        </is>
      </c>
      <c r="G88">
        <v>8</v>
      </c>
      <c r="H88">
        <v>14</v>
      </c>
      <c r="I88">
        <f>SUMIFS($AG$12:$AG$42,$A$12:$A$42,"&gt;="&amp;$G88,$A$12:$A$42,"&lt;="&amp;$H88)</f>
        <v>0</v>
      </c>
      <c r="J88">
        <f>SUMIFS($AH$12:$AH$42,$A$12:$A$42,"&gt;="&amp;$G88,$A$12:$A$42,"&lt;="&amp;$H88)</f>
        <v>0</v>
      </c>
    </row>
    <row r="89">
      <c r="F89" t="inlineStr">
        <is>
          <t xml:space="preserve">Sem 3 (15–21)</t>
        </is>
      </c>
      <c r="G89">
        <v>15</v>
      </c>
      <c r="H89">
        <v>21</v>
      </c>
      <c r="I89">
        <f>SUMIFS($AG$12:$AG$42,$A$12:$A$42,"&gt;="&amp;$G89,$A$12:$A$42,"&lt;="&amp;$H89)</f>
        <v>0</v>
      </c>
      <c r="J89">
        <f>SUMIFS($AH$12:$AH$42,$A$12:$A$42,"&gt;="&amp;$G89,$A$12:$A$42,"&lt;="&amp;$H89)</f>
        <v>0</v>
      </c>
    </row>
    <row r="90">
      <c r="F90" t="inlineStr">
        <is>
          <t xml:space="preserve">Sem 4 (22–28)</t>
        </is>
      </c>
      <c r="G90">
        <v>22</v>
      </c>
      <c r="H90">
        <v>28</v>
      </c>
      <c r="I90">
        <f>SUMIFS($AG$12:$AG$42,$A$12:$A$42,"&gt;="&amp;$G90,$A$12:$A$42,"&lt;="&amp;$H90)</f>
        <v>0</v>
      </c>
      <c r="J90">
        <f>SUMIFS($AH$12:$AH$42,$A$12:$A$42,"&gt;="&amp;$G90,$A$12:$A$42,"&lt;="&amp;$H90)</f>
        <v>0</v>
      </c>
    </row>
    <row r="91">
      <c r="F91" t="str">
        <f>IF(DAY($D$7)&lt;29,"Sem 5 (—)","Sem 5 (29–"&amp;DAY($D$7)&amp;")")</f>
        <v>Sem 5 (29–30)</v>
      </c>
      <c r="G91">
        <v>29</v>
      </c>
      <c r="H91">
        <f>DAY($D$7)</f>
        <v>30</v>
      </c>
      <c r="I91">
        <f>SUMIFS($AG$12:$AG$42,$A$12:$A$42,"&gt;="&amp;$G91,$A$12:$A$42,"&lt;="&amp;$H91)</f>
        <v>0</v>
      </c>
      <c r="J91">
        <f>SUMIFS($AH$12:$AH$42,$A$12:$A$42,"&gt;="&amp;$G91,$A$12:$A$42,"&lt;="&amp;$H91)</f>
        <v>0</v>
      </c>
    </row>
    <row r="94">
      <c r="A94" t="inlineStr">
        <is>
          <t xml:space="preserve">POR CLIENTE — mês inteiro (todos os clientes, independe do filtro). Estoque = último dado do mês. "—" = indicador não usado pelo cliente.</t>
        </is>
      </c>
    </row>
    <row r="95">
      <c r="A95" s="145" t="inlineStr">
        <is>
          <t xml:space="preserve">Indicador</t>
        </is>
      </c>
      <c r="B95" s="145" t="inlineStr">
        <is>
          <t xml:space="preserve">BASF</t>
        </is>
      </c>
      <c r="C95" s="145" t="inlineStr">
        <is>
          <t xml:space="preserve">BEAUTYBIZ</t>
        </is>
      </c>
      <c r="D95" s="145" t="inlineStr">
        <is>
          <t xml:space="preserve">BOTICÁRIO</t>
        </is>
      </c>
      <c r="E95" s="145" t="inlineStr">
        <is>
          <t xml:space="preserve">SUPPLY</t>
        </is>
      </c>
      <c r="F95" s="145" t="inlineStr">
        <is>
          <t xml:space="preserve">GE VERNOVA</t>
        </is>
      </c>
      <c r="G95" s="145" t="inlineStr">
        <is>
          <t xml:space="preserve">VESTAS</t>
        </is>
      </c>
      <c r="H95" s="145" t="inlineStr">
        <is>
          <t xml:space="preserve">VEDACIT</t>
        </is>
      </c>
      <c r="I95" s="145" t="inlineStr">
        <is>
          <t xml:space="preserve">OMNLIFE</t>
        </is>
      </c>
      <c r="J95" s="145" t="inlineStr">
        <is>
          <t xml:space="preserve">ALPARGATAS</t>
        </is>
      </c>
      <c r="K95" s="145" t="inlineStr">
        <is>
          <t xml:space="preserve">TOTAL CD</t>
        </is>
      </c>
    </row>
    <row r="96">
      <c r="A96" t="inlineStr">
        <is>
          <t xml:space="preserve">IN Veículos Recebidos</t>
        </is>
      </c>
      <c r="B96">
        <f>SUMIFS(Base!$C$3:$C$5001,Base!$B$3:$B$5001,B$95,Base!$A$3:$A$5001,"&gt;="&amp;$C$7,Base!$A$3:$A$5001,"&lt;="&amp;$D$7)</f>
        <v>0</v>
      </c>
      <c r="C96">
        <f>SUMIFS(Base!$C$3:$C$5001,Base!$B$3:$B$5001,C$95,Base!$A$3:$A$5001,"&gt;="&amp;$C$7,Base!$A$3:$A$5001,"&lt;="&amp;$D$7)</f>
        <v>0</v>
      </c>
      <c r="D96">
        <f>SUMIFS(Base!$C$3:$C$5001,Base!$B$3:$B$5001,D$95,Base!$A$3:$A$5001,"&gt;="&amp;$C$7,Base!$A$3:$A$5001,"&lt;="&amp;$D$7)</f>
        <v>0</v>
      </c>
      <c r="E96">
        <f>SUMIFS(Base!$C$3:$C$5001,Base!$B$3:$B$5001,E$95,Base!$A$3:$A$5001,"&gt;="&amp;$C$7,Base!$A$3:$A$5001,"&lt;="&amp;$D$7)</f>
        <v>0</v>
      </c>
      <c r="F96">
        <f>SUMIFS(Base!$C$3:$C$5001,Base!$B$3:$B$5001,F$95,Base!$A$3:$A$5001,"&gt;="&amp;$C$7,Base!$A$3:$A$5001,"&lt;="&amp;$D$7)</f>
        <v>0</v>
      </c>
      <c r="G96">
        <f>SUMIFS(Base!$C$3:$C$5001,Base!$B$3:$B$5001,G$95,Base!$A$3:$A$5001,"&gt;="&amp;$C$7,Base!$A$3:$A$5001,"&lt;="&amp;$D$7)</f>
        <v>0</v>
      </c>
      <c r="H96">
        <f>SUMIFS(Base!$C$3:$C$5001,Base!$B$3:$B$5001,H$95,Base!$A$3:$A$5001,"&gt;="&amp;$C$7,Base!$A$3:$A$5001,"&lt;="&amp;$D$7)</f>
        <v>0</v>
      </c>
      <c r="I96">
        <f>SUMIFS(Base!$C$3:$C$5001,Base!$B$3:$B$5001,I$95,Base!$A$3:$A$5001,"&gt;="&amp;$C$7,Base!$A$3:$A$5001,"&lt;="&amp;$D$7)</f>
        <v>0</v>
      </c>
      <c r="J96">
        <f>SUMIFS(Base!$C$3:$C$5001,Base!$B$3:$B$5001,J$95,Base!$A$3:$A$5001,"&gt;="&amp;$C$7,Base!$A$3:$A$5001,"&lt;="&amp;$D$7)</f>
        <v>0</v>
      </c>
      <c r="K96">
        <f>SUM(B96:J96)</f>
        <v>0</v>
      </c>
    </row>
    <row r="97">
      <c r="A97" t="inlineStr">
        <is>
          <t xml:space="preserve">IN Pallets Movimentados</t>
        </is>
      </c>
      <c r="B97">
        <f>SUMIFS(Base!$D$3:$D$5001,Base!$B$3:$B$5001,B$95,Base!$A$3:$A$5001,"&gt;="&amp;$C$7,Base!$A$3:$A$5001,"&lt;="&amp;$D$7)</f>
        <v>0</v>
      </c>
      <c r="C97">
        <f>SUMIFS(Base!$D$3:$D$5001,Base!$B$3:$B$5001,C$95,Base!$A$3:$A$5001,"&gt;="&amp;$C$7,Base!$A$3:$A$5001,"&lt;="&amp;$D$7)</f>
        <v>0</v>
      </c>
      <c r="D97" t="inlineStr">
        <is>
          <t xml:space="preserve">—</t>
        </is>
      </c>
      <c r="E97">
        <f>SUMIFS(Base!$D$3:$D$5001,Base!$B$3:$B$5001,E$95,Base!$A$3:$A$5001,"&gt;="&amp;$C$7,Base!$A$3:$A$5001,"&lt;="&amp;$D$7)</f>
        <v>0</v>
      </c>
      <c r="F97">
        <f>SUMIFS(Base!$D$3:$D$5001,Base!$B$3:$B$5001,F$95,Base!$A$3:$A$5001,"&gt;="&amp;$C$7,Base!$A$3:$A$5001,"&lt;="&amp;$D$7)</f>
        <v>0</v>
      </c>
      <c r="G97" t="inlineStr">
        <is>
          <t xml:space="preserve">—</t>
        </is>
      </c>
      <c r="H97">
        <f>SUMIFS(Base!$D$3:$D$5001,Base!$B$3:$B$5001,H$95,Base!$A$3:$A$5001,"&gt;="&amp;$C$7,Base!$A$3:$A$5001,"&lt;="&amp;$D$7)</f>
        <v>0</v>
      </c>
      <c r="I97">
        <f>SUMIFS(Base!$D$3:$D$5001,Base!$B$3:$B$5001,I$95,Base!$A$3:$A$5001,"&gt;="&amp;$C$7,Base!$A$3:$A$5001,"&lt;="&amp;$D$7)</f>
        <v>0</v>
      </c>
      <c r="J97" t="inlineStr">
        <is>
          <t xml:space="preserve">—</t>
        </is>
      </c>
      <c r="K97">
        <f>SUM(B97:J97)</f>
        <v>0</v>
      </c>
    </row>
    <row r="98">
      <c r="A98" t="inlineStr">
        <is>
          <t xml:space="preserve">IN Toneladas Movimentadas</t>
        </is>
      </c>
      <c r="B98">
        <f>SUMIFS(Base!$E$3:$E$5001,Base!$B$3:$B$5001,B$95,Base!$A$3:$A$5001,"&gt;="&amp;$C$7,Base!$A$3:$A$5001,"&lt;="&amp;$D$7)</f>
        <v>0</v>
      </c>
      <c r="C98" t="inlineStr">
        <is>
          <t xml:space="preserve">—</t>
        </is>
      </c>
      <c r="D98" t="inlineStr">
        <is>
          <t xml:space="preserve">—</t>
        </is>
      </c>
      <c r="E98">
        <f>SUMIFS(Base!$E$3:$E$5001,Base!$B$3:$B$5001,E$95,Base!$A$3:$A$5001,"&gt;="&amp;$C$7,Base!$A$3:$A$5001,"&lt;="&amp;$D$7)</f>
        <v>0</v>
      </c>
      <c r="F98" t="inlineStr">
        <is>
          <t xml:space="preserve">—</t>
        </is>
      </c>
      <c r="G98" t="inlineStr">
        <is>
          <t xml:space="preserve">—</t>
        </is>
      </c>
      <c r="H98" t="inlineStr">
        <is>
          <t xml:space="preserve">—</t>
        </is>
      </c>
      <c r="I98" t="inlineStr">
        <is>
          <t xml:space="preserve">—</t>
        </is>
      </c>
      <c r="J98" t="inlineStr">
        <is>
          <t xml:space="preserve">—</t>
        </is>
      </c>
      <c r="K98">
        <f>SUM(B98:J98)</f>
        <v>0</v>
      </c>
    </row>
    <row r="99">
      <c r="A99" t="inlineStr">
        <is>
          <t xml:space="preserve">IN Caixas Movimentadas</t>
        </is>
      </c>
      <c r="B99" t="inlineStr">
        <is>
          <t xml:space="preserve">—</t>
        </is>
      </c>
      <c r="C99">
        <f>SUMIFS(Base!$F$3:$F$5001,Base!$B$3:$B$5001,C$95,Base!$A$3:$A$5001,"&gt;="&amp;$C$7,Base!$A$3:$A$5001,"&lt;="&amp;$D$7)</f>
        <v>0</v>
      </c>
      <c r="D99" t="inlineStr">
        <is>
          <t xml:space="preserve">—</t>
        </is>
      </c>
      <c r="E99" t="inlineStr">
        <is>
          <t xml:space="preserve">—</t>
        </is>
      </c>
      <c r="F99" t="inlineStr">
        <is>
          <t xml:space="preserve">—</t>
        </is>
      </c>
      <c r="G99" t="inlineStr">
        <is>
          <t xml:space="preserve">—</t>
        </is>
      </c>
      <c r="H99" t="inlineStr">
        <is>
          <t xml:space="preserve">—</t>
        </is>
      </c>
      <c r="I99" t="inlineStr">
        <is>
          <t xml:space="preserve">—</t>
        </is>
      </c>
      <c r="J99">
        <f>SUMIFS(Base!$F$3:$F$5001,Base!$B$3:$B$5001,J$95,Base!$A$3:$A$5001,"&gt;="&amp;$C$7,Base!$A$3:$A$5001,"&lt;="&amp;$D$7)</f>
        <v>0</v>
      </c>
      <c r="K99">
        <f>SUM(B99:J99)</f>
        <v>0</v>
      </c>
    </row>
    <row r="100">
      <c r="A100" t="inlineStr">
        <is>
          <t xml:space="preserve">IN Itens Recebidos CX Mista</t>
        </is>
      </c>
      <c r="B100" t="inlineStr">
        <is>
          <t xml:space="preserve">—</t>
        </is>
      </c>
      <c r="C100" t="inlineStr">
        <is>
          <t xml:space="preserve">—</t>
        </is>
      </c>
      <c r="D100">
        <f>SUMIFS(Base!$G$3:$G$5001,Base!$B$3:$B$5001,D$95,Base!$A$3:$A$5001,"&gt;="&amp;$C$7,Base!$A$3:$A$5001,"&lt;="&amp;$D$7)</f>
        <v>0</v>
      </c>
      <c r="E100" t="inlineStr">
        <is>
          <t xml:space="preserve">—</t>
        </is>
      </c>
      <c r="F100" t="inlineStr">
        <is>
          <t xml:space="preserve">—</t>
        </is>
      </c>
      <c r="G100" t="inlineStr">
        <is>
          <t xml:space="preserve">—</t>
        </is>
      </c>
      <c r="H100" t="inlineStr">
        <is>
          <t xml:space="preserve">—</t>
        </is>
      </c>
      <c r="I100" t="inlineStr">
        <is>
          <t xml:space="preserve">—</t>
        </is>
      </c>
      <c r="J100" t="inlineStr">
        <is>
          <t xml:space="preserve">—</t>
        </is>
      </c>
      <c r="K100">
        <f>SUM(B100:J100)</f>
        <v>0</v>
      </c>
    </row>
    <row r="101">
      <c r="A101" t="inlineStr">
        <is>
          <t xml:space="preserve">IN Caixas Mistas Recebidas</t>
        </is>
      </c>
      <c r="B101" t="inlineStr">
        <is>
          <t xml:space="preserve">—</t>
        </is>
      </c>
      <c r="C101" t="inlineStr">
        <is>
          <t xml:space="preserve">—</t>
        </is>
      </c>
      <c r="D101">
        <f>SUMIFS(Base!$H$3:$H$5001,Base!$B$3:$B$5001,D$95,Base!$A$3:$A$5001,"&gt;="&amp;$C$7,Base!$A$3:$A$5001,"&lt;="&amp;$D$7)</f>
        <v>0</v>
      </c>
      <c r="E101" t="inlineStr">
        <is>
          <t xml:space="preserve">—</t>
        </is>
      </c>
      <c r="F101" t="inlineStr">
        <is>
          <t xml:space="preserve">—</t>
        </is>
      </c>
      <c r="G101" t="inlineStr">
        <is>
          <t xml:space="preserve">—</t>
        </is>
      </c>
      <c r="H101" t="inlineStr">
        <is>
          <t xml:space="preserve">—</t>
        </is>
      </c>
      <c r="I101" t="inlineStr">
        <is>
          <t xml:space="preserve">—</t>
        </is>
      </c>
      <c r="J101" t="inlineStr">
        <is>
          <t xml:space="preserve">—</t>
        </is>
      </c>
      <c r="K101">
        <f>SUM(B101:J101)</f>
        <v>0</v>
      </c>
    </row>
    <row r="102">
      <c r="A102" t="inlineStr">
        <is>
          <t xml:space="preserve">IN Caixas Fechadas</t>
        </is>
      </c>
      <c r="B102" t="inlineStr">
        <is>
          <t xml:space="preserve">—</t>
        </is>
      </c>
      <c r="C102" t="inlineStr">
        <is>
          <t xml:space="preserve">—</t>
        </is>
      </c>
      <c r="D102">
        <f>SUMIFS(Base!$I$3:$I$5001,Base!$B$3:$B$5001,D$95,Base!$A$3:$A$5001,"&gt;="&amp;$C$7,Base!$A$3:$A$5001,"&lt;="&amp;$D$7)</f>
        <v>0</v>
      </c>
      <c r="E102" t="inlineStr">
        <is>
          <t xml:space="preserve">—</t>
        </is>
      </c>
      <c r="F102" t="inlineStr">
        <is>
          <t xml:space="preserve">—</t>
        </is>
      </c>
      <c r="G102" t="inlineStr">
        <is>
          <t xml:space="preserve">—</t>
        </is>
      </c>
      <c r="H102" t="inlineStr">
        <is>
          <t xml:space="preserve">—</t>
        </is>
      </c>
      <c r="I102" t="inlineStr">
        <is>
          <t xml:space="preserve">—</t>
        </is>
      </c>
      <c r="J102" t="inlineStr">
        <is>
          <t xml:space="preserve">—</t>
        </is>
      </c>
      <c r="K102">
        <f>SUM(B102:J102)</f>
        <v>0</v>
      </c>
    </row>
    <row r="103">
      <c r="A103" t="inlineStr">
        <is>
          <t xml:space="preserve">IN Peças Movimentadas</t>
        </is>
      </c>
      <c r="B103" t="inlineStr">
        <is>
          <t xml:space="preserve">—</t>
        </is>
      </c>
      <c r="C103" t="inlineStr">
        <is>
          <t xml:space="preserve">—</t>
        </is>
      </c>
      <c r="D103" t="inlineStr">
        <is>
          <t xml:space="preserve">—</t>
        </is>
      </c>
      <c r="E103" t="inlineStr">
        <is>
          <t xml:space="preserve">—</t>
        </is>
      </c>
      <c r="F103">
        <f>SUMIFS(Base!$J$3:$J$5001,Base!$B$3:$B$5001,F$95,Base!$A$3:$A$5001,"&gt;="&amp;$C$7,Base!$A$3:$A$5001,"&lt;="&amp;$D$7)</f>
        <v>0</v>
      </c>
      <c r="G103" t="inlineStr">
        <is>
          <t xml:space="preserve">—</t>
        </is>
      </c>
      <c r="H103" t="inlineStr">
        <is>
          <t xml:space="preserve">—</t>
        </is>
      </c>
      <c r="I103" t="inlineStr">
        <is>
          <t xml:space="preserve">—</t>
        </is>
      </c>
      <c r="J103" t="inlineStr">
        <is>
          <t xml:space="preserve">—</t>
        </is>
      </c>
      <c r="K103">
        <f>SUM(B103:J103)</f>
        <v>0</v>
      </c>
    </row>
    <row r="104">
      <c r="A104" t="inlineStr">
        <is>
          <t xml:space="preserve">IN Linhas NF</t>
        </is>
      </c>
      <c r="B104" t="inlineStr">
        <is>
          <t xml:space="preserve">—</t>
        </is>
      </c>
      <c r="C104" t="inlineStr">
        <is>
          <t xml:space="preserve">—</t>
        </is>
      </c>
      <c r="D104" t="inlineStr">
        <is>
          <t xml:space="preserve">—</t>
        </is>
      </c>
      <c r="E104" t="inlineStr">
        <is>
          <t xml:space="preserve">—</t>
        </is>
      </c>
      <c r="F104">
        <f>SUMIFS(Base!$K$3:$K$5001,Base!$B$3:$B$5001,F$95,Base!$A$3:$A$5001,"&gt;="&amp;$C$7,Base!$A$3:$A$5001,"&lt;="&amp;$D$7)</f>
        <v>0</v>
      </c>
      <c r="G104">
        <f>SUMIFS(Base!$K$3:$K$5001,Base!$B$3:$B$5001,G$95,Base!$A$3:$A$5001,"&gt;="&amp;$C$7,Base!$A$3:$A$5001,"&lt;="&amp;$D$7)</f>
        <v>0</v>
      </c>
      <c r="H104" t="inlineStr">
        <is>
          <t xml:space="preserve">—</t>
        </is>
      </c>
      <c r="I104" t="inlineStr">
        <is>
          <t xml:space="preserve">—</t>
        </is>
      </c>
      <c r="J104" t="inlineStr">
        <is>
          <t xml:space="preserve">—</t>
        </is>
      </c>
      <c r="K104">
        <f>SUM(B104:J104)</f>
        <v>0</v>
      </c>
    </row>
    <row r="105">
      <c r="A105" t="inlineStr">
        <is>
          <t xml:space="preserve">OUT Veículos Expedidos</t>
        </is>
      </c>
      <c r="B105">
        <f>SUMIFS(Base!$L$3:$L$5001,Base!$B$3:$B$5001,B$95,Base!$A$3:$A$5001,"&gt;="&amp;$C$7,Base!$A$3:$A$5001,"&lt;="&amp;$D$7)</f>
        <v>0</v>
      </c>
      <c r="C105">
        <f>SUMIFS(Base!$L$3:$L$5001,Base!$B$3:$B$5001,C$95,Base!$A$3:$A$5001,"&gt;="&amp;$C$7,Base!$A$3:$A$5001,"&lt;="&amp;$D$7)</f>
        <v>0</v>
      </c>
      <c r="D105">
        <f>SUMIFS(Base!$L$3:$L$5001,Base!$B$3:$B$5001,D$95,Base!$A$3:$A$5001,"&gt;="&amp;$C$7,Base!$A$3:$A$5001,"&lt;="&amp;$D$7)</f>
        <v>0</v>
      </c>
      <c r="E105">
        <f>SUMIFS(Base!$L$3:$L$5001,Base!$B$3:$B$5001,E$95,Base!$A$3:$A$5001,"&gt;="&amp;$C$7,Base!$A$3:$A$5001,"&lt;="&amp;$D$7)</f>
        <v>0</v>
      </c>
      <c r="F105">
        <f>SUMIFS(Base!$L$3:$L$5001,Base!$B$3:$B$5001,F$95,Base!$A$3:$A$5001,"&gt;="&amp;$C$7,Base!$A$3:$A$5001,"&lt;="&amp;$D$7)</f>
        <v>0</v>
      </c>
      <c r="G105">
        <f>SUMIFS(Base!$L$3:$L$5001,Base!$B$3:$B$5001,G$95,Base!$A$3:$A$5001,"&gt;="&amp;$C$7,Base!$A$3:$A$5001,"&lt;="&amp;$D$7)</f>
        <v>0</v>
      </c>
      <c r="H105">
        <f>SUMIFS(Base!$L$3:$L$5001,Base!$B$3:$B$5001,H$95,Base!$A$3:$A$5001,"&gt;="&amp;$C$7,Base!$A$3:$A$5001,"&lt;="&amp;$D$7)</f>
        <v>0</v>
      </c>
      <c r="I105">
        <f>SUMIFS(Base!$L$3:$L$5001,Base!$B$3:$B$5001,I$95,Base!$A$3:$A$5001,"&gt;="&amp;$C$7,Base!$A$3:$A$5001,"&lt;="&amp;$D$7)</f>
        <v>0</v>
      </c>
      <c r="J105">
        <f>SUMIFS(Base!$L$3:$L$5001,Base!$B$3:$B$5001,J$95,Base!$A$3:$A$5001,"&gt;="&amp;$C$7,Base!$A$3:$A$5001,"&lt;="&amp;$D$7)</f>
        <v>0</v>
      </c>
      <c r="K105">
        <f>SUM(B105:J105)</f>
        <v>0</v>
      </c>
    </row>
    <row r="106">
      <c r="A106" t="inlineStr">
        <is>
          <t xml:space="preserve">OUT Pallets Movimentados</t>
        </is>
      </c>
      <c r="B106">
        <f>SUMIFS(Base!$M$3:$M$5001,Base!$B$3:$B$5001,B$95,Base!$A$3:$A$5001,"&gt;="&amp;$C$7,Base!$A$3:$A$5001,"&lt;="&amp;$D$7)</f>
        <v>0</v>
      </c>
      <c r="C106">
        <f>SUMIFS(Base!$M$3:$M$5001,Base!$B$3:$B$5001,C$95,Base!$A$3:$A$5001,"&gt;="&amp;$C$7,Base!$A$3:$A$5001,"&lt;="&amp;$D$7)</f>
        <v>0</v>
      </c>
      <c r="D106">
        <f>SUMIFS(Base!$M$3:$M$5001,Base!$B$3:$B$5001,D$95,Base!$A$3:$A$5001,"&gt;="&amp;$C$7,Base!$A$3:$A$5001,"&lt;="&amp;$D$7)</f>
        <v>0</v>
      </c>
      <c r="E106">
        <f>SUMIFS(Base!$M$3:$M$5001,Base!$B$3:$B$5001,E$95,Base!$A$3:$A$5001,"&gt;="&amp;$C$7,Base!$A$3:$A$5001,"&lt;="&amp;$D$7)</f>
        <v>0</v>
      </c>
      <c r="F106">
        <f>SUMIFS(Base!$M$3:$M$5001,Base!$B$3:$B$5001,F$95,Base!$A$3:$A$5001,"&gt;="&amp;$C$7,Base!$A$3:$A$5001,"&lt;="&amp;$D$7)</f>
        <v>0</v>
      </c>
      <c r="G106" t="inlineStr">
        <is>
          <t xml:space="preserve">—</t>
        </is>
      </c>
      <c r="H106">
        <f>SUMIFS(Base!$M$3:$M$5001,Base!$B$3:$B$5001,H$95,Base!$A$3:$A$5001,"&gt;="&amp;$C$7,Base!$A$3:$A$5001,"&lt;="&amp;$D$7)</f>
        <v>0</v>
      </c>
      <c r="I106">
        <f>SUMIFS(Base!$M$3:$M$5001,Base!$B$3:$B$5001,I$95,Base!$A$3:$A$5001,"&gt;="&amp;$C$7,Base!$A$3:$A$5001,"&lt;="&amp;$D$7)</f>
        <v>0</v>
      </c>
      <c r="J106" t="inlineStr">
        <is>
          <t xml:space="preserve">—</t>
        </is>
      </c>
      <c r="K106">
        <f>SUM(B106:J106)</f>
        <v>0</v>
      </c>
    </row>
    <row r="107">
      <c r="A107" t="inlineStr">
        <is>
          <t xml:space="preserve">OUT Toneladas Movimentadas</t>
        </is>
      </c>
      <c r="B107">
        <f>SUMIFS(Base!$N$3:$N$5001,Base!$B$3:$B$5001,B$95,Base!$A$3:$A$5001,"&gt;="&amp;$C$7,Base!$A$3:$A$5001,"&lt;="&amp;$D$7)</f>
        <v>0</v>
      </c>
      <c r="C107" t="inlineStr">
        <is>
          <t xml:space="preserve">—</t>
        </is>
      </c>
      <c r="D107" t="inlineStr">
        <is>
          <t xml:space="preserve">—</t>
        </is>
      </c>
      <c r="E107">
        <f>SUMIFS(Base!$N$3:$N$5001,Base!$B$3:$B$5001,E$95,Base!$A$3:$A$5001,"&gt;="&amp;$C$7,Base!$A$3:$A$5001,"&lt;="&amp;$D$7)</f>
        <v>0</v>
      </c>
      <c r="F107" t="inlineStr">
        <is>
          <t xml:space="preserve">—</t>
        </is>
      </c>
      <c r="G107" t="inlineStr">
        <is>
          <t xml:space="preserve">—</t>
        </is>
      </c>
      <c r="H107" t="inlineStr">
        <is>
          <t xml:space="preserve">—</t>
        </is>
      </c>
      <c r="I107" t="inlineStr">
        <is>
          <t xml:space="preserve">—</t>
        </is>
      </c>
      <c r="J107" t="inlineStr">
        <is>
          <t xml:space="preserve">—</t>
        </is>
      </c>
      <c r="K107">
        <f>SUM(B107:J107)</f>
        <v>0</v>
      </c>
    </row>
    <row r="108">
      <c r="A108" t="inlineStr">
        <is>
          <t xml:space="preserve">OUT Caixas Expedidas</t>
        </is>
      </c>
      <c r="B108" t="inlineStr">
        <is>
          <t xml:space="preserve">—</t>
        </is>
      </c>
      <c r="C108" t="inlineStr">
        <is>
          <t xml:space="preserve">—</t>
        </is>
      </c>
      <c r="D108" t="inlineStr">
        <is>
          <t xml:space="preserve">—</t>
        </is>
      </c>
      <c r="E108" t="inlineStr">
        <is>
          <t xml:space="preserve">—</t>
        </is>
      </c>
      <c r="F108" t="inlineStr">
        <is>
          <t xml:space="preserve">—</t>
        </is>
      </c>
      <c r="G108" t="inlineStr">
        <is>
          <t xml:space="preserve">—</t>
        </is>
      </c>
      <c r="H108" t="inlineStr">
        <is>
          <t xml:space="preserve">—</t>
        </is>
      </c>
      <c r="I108" t="inlineStr">
        <is>
          <t xml:space="preserve">—</t>
        </is>
      </c>
      <c r="J108">
        <f>SUMIFS(Base!$O$3:$O$5001,Base!$B$3:$B$5001,J$95,Base!$A$3:$A$5001,"&gt;="&amp;$C$7,Base!$A$3:$A$5001,"&lt;="&amp;$D$7)</f>
        <v>0</v>
      </c>
      <c r="K108">
        <f>SUM(B108:J108)</f>
        <v>0</v>
      </c>
    </row>
    <row r="109">
      <c r="A109" t="inlineStr">
        <is>
          <t xml:space="preserve">OUT Pedidos Expedidos</t>
        </is>
      </c>
      <c r="B109" t="inlineStr">
        <is>
          <t xml:space="preserve">—</t>
        </is>
      </c>
      <c r="C109">
        <f>SUMIFS(Base!$P$3:$P$5001,Base!$B$3:$B$5001,C$95,Base!$A$3:$A$5001,"&gt;="&amp;$C$7,Base!$A$3:$A$5001,"&lt;="&amp;$D$7)</f>
        <v>0</v>
      </c>
      <c r="D109" t="inlineStr">
        <is>
          <t xml:space="preserve">—</t>
        </is>
      </c>
      <c r="E109" t="inlineStr">
        <is>
          <t xml:space="preserve">—</t>
        </is>
      </c>
      <c r="F109" t="inlineStr">
        <is>
          <t xml:space="preserve">—</t>
        </is>
      </c>
      <c r="G109" t="inlineStr">
        <is>
          <t xml:space="preserve">—</t>
        </is>
      </c>
      <c r="H109" t="inlineStr">
        <is>
          <t xml:space="preserve">—</t>
        </is>
      </c>
      <c r="I109" t="inlineStr">
        <is>
          <t xml:space="preserve">—</t>
        </is>
      </c>
      <c r="J109" t="inlineStr">
        <is>
          <t xml:space="preserve">—</t>
        </is>
      </c>
      <c r="K109">
        <f>SUM(B109:J109)</f>
        <v>0</v>
      </c>
    </row>
    <row r="110">
      <c r="A110" t="inlineStr">
        <is>
          <t xml:space="preserve">OUT Pedidos Faturados</t>
        </is>
      </c>
      <c r="B110" t="inlineStr">
        <is>
          <t xml:space="preserve">—</t>
        </is>
      </c>
      <c r="C110" t="inlineStr">
        <is>
          <t xml:space="preserve">—</t>
        </is>
      </c>
      <c r="D110">
        <f>SUMIFS(Base!$Q$3:$Q$5001,Base!$B$3:$B$5001,D$95,Base!$A$3:$A$5001,"&gt;="&amp;$C$7,Base!$A$3:$A$5001,"&lt;="&amp;$D$7)</f>
        <v>0</v>
      </c>
      <c r="E110" t="inlineStr">
        <is>
          <t xml:space="preserve">—</t>
        </is>
      </c>
      <c r="F110" t="inlineStr">
        <is>
          <t xml:space="preserve">—</t>
        </is>
      </c>
      <c r="G110" t="inlineStr">
        <is>
          <t xml:space="preserve">—</t>
        </is>
      </c>
      <c r="H110" t="inlineStr">
        <is>
          <t xml:space="preserve">—</t>
        </is>
      </c>
      <c r="I110" t="inlineStr">
        <is>
          <t xml:space="preserve">—</t>
        </is>
      </c>
      <c r="J110" t="inlineStr">
        <is>
          <t xml:space="preserve">—</t>
        </is>
      </c>
      <c r="K110">
        <f>SUM(B110:J110)</f>
        <v>0</v>
      </c>
    </row>
    <row r="111">
      <c r="A111" t="inlineStr">
        <is>
          <t xml:space="preserve">OUT Itens Expedidos</t>
        </is>
      </c>
      <c r="B111" t="inlineStr">
        <is>
          <t xml:space="preserve">—</t>
        </is>
      </c>
      <c r="C111" t="inlineStr">
        <is>
          <t xml:space="preserve">—</t>
        </is>
      </c>
      <c r="D111">
        <f>SUMIFS(Base!$R$3:$R$5001,Base!$B$3:$B$5001,D$95,Base!$A$3:$A$5001,"&gt;="&amp;$C$7,Base!$A$3:$A$5001,"&lt;="&amp;$D$7)</f>
        <v>0</v>
      </c>
      <c r="E111" t="inlineStr">
        <is>
          <t xml:space="preserve">—</t>
        </is>
      </c>
      <c r="F111" t="inlineStr">
        <is>
          <t xml:space="preserve">—</t>
        </is>
      </c>
      <c r="G111" t="inlineStr">
        <is>
          <t xml:space="preserve">—</t>
        </is>
      </c>
      <c r="H111" t="inlineStr">
        <is>
          <t xml:space="preserve">—</t>
        </is>
      </c>
      <c r="I111" t="inlineStr">
        <is>
          <t xml:space="preserve">—</t>
        </is>
      </c>
      <c r="J111" t="inlineStr">
        <is>
          <t xml:space="preserve">—</t>
        </is>
      </c>
      <c r="K111">
        <f>SUM(B111:J111)</f>
        <v>0</v>
      </c>
    </row>
    <row r="112">
      <c r="A112" t="inlineStr">
        <is>
          <t xml:space="preserve">OUT Peças Movimentadas</t>
        </is>
      </c>
      <c r="B112" t="inlineStr">
        <is>
          <t xml:space="preserve">—</t>
        </is>
      </c>
      <c r="C112" t="inlineStr">
        <is>
          <t xml:space="preserve">—</t>
        </is>
      </c>
      <c r="D112" t="inlineStr">
        <is>
          <t xml:space="preserve">—</t>
        </is>
      </c>
      <c r="E112" t="inlineStr">
        <is>
          <t xml:space="preserve">—</t>
        </is>
      </c>
      <c r="F112">
        <f>SUMIFS(Base!$S$3:$S$5001,Base!$B$3:$B$5001,F$95,Base!$A$3:$A$5001,"&gt;="&amp;$C$7,Base!$A$3:$A$5001,"&lt;="&amp;$D$7)</f>
        <v>0</v>
      </c>
      <c r="G112" t="inlineStr">
        <is>
          <t xml:space="preserve">—</t>
        </is>
      </c>
      <c r="H112" t="inlineStr">
        <is>
          <t xml:space="preserve">—</t>
        </is>
      </c>
      <c r="I112" t="inlineStr">
        <is>
          <t xml:space="preserve">—</t>
        </is>
      </c>
      <c r="J112" t="inlineStr">
        <is>
          <t xml:space="preserve">—</t>
        </is>
      </c>
      <c r="K112">
        <f>SUM(B112:J112)</f>
        <v>0</v>
      </c>
    </row>
    <row r="113">
      <c r="A113" t="inlineStr">
        <is>
          <t xml:space="preserve">OUT Linhas NF</t>
        </is>
      </c>
      <c r="B113" t="inlineStr">
        <is>
          <t xml:space="preserve">—</t>
        </is>
      </c>
      <c r="C113" t="inlineStr">
        <is>
          <t xml:space="preserve">—</t>
        </is>
      </c>
      <c r="D113" t="inlineStr">
        <is>
          <t xml:space="preserve">—</t>
        </is>
      </c>
      <c r="E113" t="inlineStr">
        <is>
          <t xml:space="preserve">—</t>
        </is>
      </c>
      <c r="F113">
        <f>SUMIFS(Base!$T$3:$T$5001,Base!$B$3:$B$5001,F$95,Base!$A$3:$A$5001,"&gt;="&amp;$C$7,Base!$A$3:$A$5001,"&lt;="&amp;$D$7)</f>
        <v>0</v>
      </c>
      <c r="G113">
        <f>SUMIFS(Base!$T$3:$T$5001,Base!$B$3:$B$5001,G$95,Base!$A$3:$A$5001,"&gt;="&amp;$C$7,Base!$A$3:$A$5001,"&lt;="&amp;$D$7)</f>
        <v>0</v>
      </c>
      <c r="H113" t="inlineStr">
        <is>
          <t xml:space="preserve">—</t>
        </is>
      </c>
      <c r="I113" t="inlineStr">
        <is>
          <t xml:space="preserve">—</t>
        </is>
      </c>
      <c r="J113" t="inlineStr">
        <is>
          <t xml:space="preserve">—</t>
        </is>
      </c>
      <c r="K113">
        <f>SUM(B113:J113)</f>
        <v>0</v>
      </c>
    </row>
    <row r="114">
      <c r="A114" t="inlineStr">
        <is>
          <t xml:space="preserve">NC Incidentes</t>
        </is>
      </c>
      <c r="B114">
        <f>SUMIFS(Base!$U$3:$U$5001,Base!$B$3:$B$5001,B$95,Base!$A$3:$A$5001,"&gt;="&amp;$C$7,Base!$A$3:$A$5001,"&lt;="&amp;$D$7)</f>
        <v>0</v>
      </c>
      <c r="C114">
        <f>SUMIFS(Base!$U$3:$U$5001,Base!$B$3:$B$5001,C$95,Base!$A$3:$A$5001,"&gt;="&amp;$C$7,Base!$A$3:$A$5001,"&lt;="&amp;$D$7)</f>
        <v>0</v>
      </c>
      <c r="D114">
        <f>SUMIFS(Base!$U$3:$U$5001,Base!$B$3:$B$5001,D$95,Base!$A$3:$A$5001,"&gt;="&amp;$C$7,Base!$A$3:$A$5001,"&lt;="&amp;$D$7)</f>
        <v>0</v>
      </c>
      <c r="E114">
        <f>SUMIFS(Base!$U$3:$U$5001,Base!$B$3:$B$5001,E$95,Base!$A$3:$A$5001,"&gt;="&amp;$C$7,Base!$A$3:$A$5001,"&lt;="&amp;$D$7)</f>
        <v>0</v>
      </c>
      <c r="F114">
        <f>SUMIFS(Base!$U$3:$U$5001,Base!$B$3:$B$5001,F$95,Base!$A$3:$A$5001,"&gt;="&amp;$C$7,Base!$A$3:$A$5001,"&lt;="&amp;$D$7)</f>
        <v>0</v>
      </c>
      <c r="G114">
        <f>SUMIFS(Base!$U$3:$U$5001,Base!$B$3:$B$5001,G$95,Base!$A$3:$A$5001,"&gt;="&amp;$C$7,Base!$A$3:$A$5001,"&lt;="&amp;$D$7)</f>
        <v>0</v>
      </c>
      <c r="H114">
        <f>SUMIFS(Base!$U$3:$U$5001,Base!$B$3:$B$5001,H$95,Base!$A$3:$A$5001,"&gt;="&amp;$C$7,Base!$A$3:$A$5001,"&lt;="&amp;$D$7)</f>
        <v>0</v>
      </c>
      <c r="I114">
        <f>SUMIFS(Base!$U$3:$U$5001,Base!$B$3:$B$5001,I$95,Base!$A$3:$A$5001,"&gt;="&amp;$C$7,Base!$A$3:$A$5001,"&lt;="&amp;$D$7)</f>
        <v>0</v>
      </c>
      <c r="J114">
        <f>SUMIFS(Base!$U$3:$U$5001,Base!$B$3:$B$5001,J$95,Base!$A$3:$A$5001,"&gt;="&amp;$C$7,Base!$A$3:$A$5001,"&lt;="&amp;$D$7)</f>
        <v>0</v>
      </c>
      <c r="K114">
        <f>SUM(B114:J114)</f>
        <v>0</v>
      </c>
    </row>
    <row r="115">
      <c r="A115" t="inlineStr">
        <is>
          <t xml:space="preserve">NC No show</t>
        </is>
      </c>
      <c r="B115">
        <f>SUMIFS(Base!$V$3:$V$5001,Base!$B$3:$B$5001,B$95,Base!$A$3:$A$5001,"&gt;="&amp;$C$7,Base!$A$3:$A$5001,"&lt;="&amp;$D$7)</f>
        <v>0</v>
      </c>
      <c r="C115">
        <f>SUMIFS(Base!$V$3:$V$5001,Base!$B$3:$B$5001,C$95,Base!$A$3:$A$5001,"&gt;="&amp;$C$7,Base!$A$3:$A$5001,"&lt;="&amp;$D$7)</f>
        <v>0</v>
      </c>
      <c r="D115">
        <f>SUMIFS(Base!$V$3:$V$5001,Base!$B$3:$B$5001,D$95,Base!$A$3:$A$5001,"&gt;="&amp;$C$7,Base!$A$3:$A$5001,"&lt;="&amp;$D$7)</f>
        <v>0</v>
      </c>
      <c r="E115">
        <f>SUMIFS(Base!$V$3:$V$5001,Base!$B$3:$B$5001,E$95,Base!$A$3:$A$5001,"&gt;="&amp;$C$7,Base!$A$3:$A$5001,"&lt;="&amp;$D$7)</f>
        <v>0</v>
      </c>
      <c r="F115">
        <f>SUMIFS(Base!$V$3:$V$5001,Base!$B$3:$B$5001,F$95,Base!$A$3:$A$5001,"&gt;="&amp;$C$7,Base!$A$3:$A$5001,"&lt;="&amp;$D$7)</f>
        <v>0</v>
      </c>
      <c r="G115">
        <f>SUMIFS(Base!$V$3:$V$5001,Base!$B$3:$B$5001,G$95,Base!$A$3:$A$5001,"&gt;="&amp;$C$7,Base!$A$3:$A$5001,"&lt;="&amp;$D$7)</f>
        <v>0</v>
      </c>
      <c r="H115">
        <f>SUMIFS(Base!$V$3:$V$5001,Base!$B$3:$B$5001,H$95,Base!$A$3:$A$5001,"&gt;="&amp;$C$7,Base!$A$3:$A$5001,"&lt;="&amp;$D$7)</f>
        <v>0</v>
      </c>
      <c r="I115">
        <f>SUMIFS(Base!$V$3:$V$5001,Base!$B$3:$B$5001,I$95,Base!$A$3:$A$5001,"&gt;="&amp;$C$7,Base!$A$3:$A$5001,"&lt;="&amp;$D$7)</f>
        <v>0</v>
      </c>
      <c r="J115">
        <f>SUMIFS(Base!$V$3:$V$5001,Base!$B$3:$B$5001,J$95,Base!$A$3:$A$5001,"&gt;="&amp;$C$7,Base!$A$3:$A$5001,"&lt;="&amp;$D$7)</f>
        <v>0</v>
      </c>
      <c r="K115">
        <f>SUM(B115:J115)</f>
        <v>0</v>
      </c>
    </row>
    <row r="116">
      <c r="A116" t="inlineStr">
        <is>
          <t xml:space="preserve">NC Backlog</t>
        </is>
      </c>
      <c r="B116" t="str">
        <f>IF(COUNTIFS(Base!$B$3:$B$5001,B$95,Base!$A$3:$A$5001,"&gt;="&amp;$C$7,Base!$A$3:$A$5001,"&lt;="&amp;$D$7,Base!$W$3:$W$5001,"&lt;&gt;")=0,"",SUMIFS(Base!$W$3:$W$5001,Base!$B$3:$B$5001,B$95,Base!$A$3:$A$5001,_xlfn.MAXIFS(Base!$A$3:$A$5001,Base!$B$3:$B$5001,B$95,Base!$A$3:$A$5001,"&gt;="&amp;$C$7,Base!$A$3:$A$5001,"&lt;="&amp;$D$7,Base!$W$3:$W$5001,"&lt;&gt;")))</f>
        <v/>
      </c>
      <c r="C116" t="str">
        <f>IF(COUNTIFS(Base!$B$3:$B$5001,C$95,Base!$A$3:$A$5001,"&gt;="&amp;$C$7,Base!$A$3:$A$5001,"&lt;="&amp;$D$7,Base!$W$3:$W$5001,"&lt;&gt;")=0,"",SUMIFS(Base!$W$3:$W$5001,Base!$B$3:$B$5001,C$95,Base!$A$3:$A$5001,_xlfn.MAXIFS(Base!$A$3:$A$5001,Base!$B$3:$B$5001,C$95,Base!$A$3:$A$5001,"&gt;="&amp;$C$7,Base!$A$3:$A$5001,"&lt;="&amp;$D$7,Base!$W$3:$W$5001,"&lt;&gt;")))</f>
        <v/>
      </c>
      <c r="D116" t="str">
        <f>IF(COUNTIFS(Base!$B$3:$B$5001,D$95,Base!$A$3:$A$5001,"&gt;="&amp;$C$7,Base!$A$3:$A$5001,"&lt;="&amp;$D$7,Base!$W$3:$W$5001,"&lt;&gt;")=0,"",SUMIFS(Base!$W$3:$W$5001,Base!$B$3:$B$5001,D$95,Base!$A$3:$A$5001,_xlfn.MAXIFS(Base!$A$3:$A$5001,Base!$B$3:$B$5001,D$95,Base!$A$3:$A$5001,"&gt;="&amp;$C$7,Base!$A$3:$A$5001,"&lt;="&amp;$D$7,Base!$W$3:$W$5001,"&lt;&gt;")))</f>
        <v/>
      </c>
      <c r="E116" t="str">
        <f>IF(COUNTIFS(Base!$B$3:$B$5001,E$95,Base!$A$3:$A$5001,"&gt;="&amp;$C$7,Base!$A$3:$A$5001,"&lt;="&amp;$D$7,Base!$W$3:$W$5001,"&lt;&gt;")=0,"",SUMIFS(Base!$W$3:$W$5001,Base!$B$3:$B$5001,E$95,Base!$A$3:$A$5001,_xlfn.MAXIFS(Base!$A$3:$A$5001,Base!$B$3:$B$5001,E$95,Base!$A$3:$A$5001,"&gt;="&amp;$C$7,Base!$A$3:$A$5001,"&lt;="&amp;$D$7,Base!$W$3:$W$5001,"&lt;&gt;")))</f>
        <v/>
      </c>
      <c r="F116" t="str">
        <f>IF(COUNTIFS(Base!$B$3:$B$5001,F$95,Base!$A$3:$A$5001,"&gt;="&amp;$C$7,Base!$A$3:$A$5001,"&lt;="&amp;$D$7,Base!$W$3:$W$5001,"&lt;&gt;")=0,"",SUMIFS(Base!$W$3:$W$5001,Base!$B$3:$B$5001,F$95,Base!$A$3:$A$5001,_xlfn.MAXIFS(Base!$A$3:$A$5001,Base!$B$3:$B$5001,F$95,Base!$A$3:$A$5001,"&gt;="&amp;$C$7,Base!$A$3:$A$5001,"&lt;="&amp;$D$7,Base!$W$3:$W$5001,"&lt;&gt;")))</f>
        <v/>
      </c>
      <c r="G116" t="str">
        <f>IF(COUNTIFS(Base!$B$3:$B$5001,G$95,Base!$A$3:$A$5001,"&gt;="&amp;$C$7,Base!$A$3:$A$5001,"&lt;="&amp;$D$7,Base!$W$3:$W$5001,"&lt;&gt;")=0,"",SUMIFS(Base!$W$3:$W$5001,Base!$B$3:$B$5001,G$95,Base!$A$3:$A$5001,_xlfn.MAXIFS(Base!$A$3:$A$5001,Base!$B$3:$B$5001,G$95,Base!$A$3:$A$5001,"&gt;="&amp;$C$7,Base!$A$3:$A$5001,"&lt;="&amp;$D$7,Base!$W$3:$W$5001,"&lt;&gt;")))</f>
        <v/>
      </c>
      <c r="H116" t="str">
        <f>IF(COUNTIFS(Base!$B$3:$B$5001,H$95,Base!$A$3:$A$5001,"&gt;="&amp;$C$7,Base!$A$3:$A$5001,"&lt;="&amp;$D$7,Base!$W$3:$W$5001,"&lt;&gt;")=0,"",SUMIFS(Base!$W$3:$W$5001,Base!$B$3:$B$5001,H$95,Base!$A$3:$A$5001,_xlfn.MAXIFS(Base!$A$3:$A$5001,Base!$B$3:$B$5001,H$95,Base!$A$3:$A$5001,"&gt;="&amp;$C$7,Base!$A$3:$A$5001,"&lt;="&amp;$D$7,Base!$W$3:$W$5001,"&lt;&gt;")))</f>
        <v/>
      </c>
      <c r="I116" t="str">
        <f>IF(COUNTIFS(Base!$B$3:$B$5001,I$95,Base!$A$3:$A$5001,"&gt;="&amp;$C$7,Base!$A$3:$A$5001,"&lt;="&amp;$D$7,Base!$W$3:$W$5001,"&lt;&gt;")=0,"",SUMIFS(Base!$W$3:$W$5001,Base!$B$3:$B$5001,I$95,Base!$A$3:$A$5001,_xlfn.MAXIFS(Base!$A$3:$A$5001,Base!$B$3:$B$5001,I$95,Base!$A$3:$A$5001,"&gt;="&amp;$C$7,Base!$A$3:$A$5001,"&lt;="&amp;$D$7,Base!$W$3:$W$5001,"&lt;&gt;")))</f>
        <v/>
      </c>
      <c r="J116" t="str">
        <f>IF(COUNTIFS(Base!$B$3:$B$5001,J$95,Base!$A$3:$A$5001,"&gt;="&amp;$C$7,Base!$A$3:$A$5001,"&lt;="&amp;$D$7,Base!$W$3:$W$5001,"&lt;&gt;")=0,"",SUMIFS(Base!$W$3:$W$5001,Base!$B$3:$B$5001,J$95,Base!$A$3:$A$5001,_xlfn.MAXIFS(Base!$A$3:$A$5001,Base!$B$3:$B$5001,J$95,Base!$A$3:$A$5001,"&gt;="&amp;$C$7,Base!$A$3:$A$5001,"&lt;="&amp;$D$7,Base!$W$3:$W$5001,"&lt;&gt;")))</f>
        <v/>
      </c>
      <c r="K116" t="str">
        <f>IF(COUNT(B116:J116)=0,"",SUM(B116:J116))</f>
        <v/>
      </c>
    </row>
    <row r="117">
      <c r="A117" t="inlineStr">
        <is>
          <t xml:space="preserve">Posições Disponíveis</t>
        </is>
      </c>
      <c r="B117" t="str">
        <f>IF(COUNTIFS(Base!$B$3:$B$5001,B$95,Base!$A$3:$A$5001,"&gt;="&amp;$C$7,Base!$A$3:$A$5001,"&lt;="&amp;$D$7,Base!$X$3:$X$5001,"&lt;&gt;")=0,"",SUMIFS(Base!$X$3:$X$5001,Base!$B$3:$B$5001,B$95,Base!$A$3:$A$5001,_xlfn.MAXIFS(Base!$A$3:$A$5001,Base!$B$3:$B$5001,B$95,Base!$A$3:$A$5001,"&gt;="&amp;$C$7,Base!$A$3:$A$5001,"&lt;="&amp;$D$7,Base!$X$3:$X$5001,"&lt;&gt;")))</f>
        <v/>
      </c>
      <c r="C117" t="str">
        <f>IF(COUNTIFS(Base!$B$3:$B$5001,C$95,Base!$A$3:$A$5001,"&gt;="&amp;$C$7,Base!$A$3:$A$5001,"&lt;="&amp;$D$7,Base!$X$3:$X$5001,"&lt;&gt;")=0,"",SUMIFS(Base!$X$3:$X$5001,Base!$B$3:$B$5001,C$95,Base!$A$3:$A$5001,_xlfn.MAXIFS(Base!$A$3:$A$5001,Base!$B$3:$B$5001,C$95,Base!$A$3:$A$5001,"&gt;="&amp;$C$7,Base!$A$3:$A$5001,"&lt;="&amp;$D$7,Base!$X$3:$X$5001,"&lt;&gt;")))</f>
        <v/>
      </c>
      <c r="D117" t="str">
        <f>IF(COUNTIFS(Base!$B$3:$B$5001,D$95,Base!$A$3:$A$5001,"&gt;="&amp;$C$7,Base!$A$3:$A$5001,"&lt;="&amp;$D$7,Base!$X$3:$X$5001,"&lt;&gt;")=0,"",SUMIFS(Base!$X$3:$X$5001,Base!$B$3:$B$5001,D$95,Base!$A$3:$A$5001,_xlfn.MAXIFS(Base!$A$3:$A$5001,Base!$B$3:$B$5001,D$95,Base!$A$3:$A$5001,"&gt;="&amp;$C$7,Base!$A$3:$A$5001,"&lt;="&amp;$D$7,Base!$X$3:$X$5001,"&lt;&gt;")))</f>
        <v/>
      </c>
      <c r="E117" t="str">
        <f>IF(COUNTIFS(Base!$B$3:$B$5001,E$95,Base!$A$3:$A$5001,"&gt;="&amp;$C$7,Base!$A$3:$A$5001,"&lt;="&amp;$D$7,Base!$X$3:$X$5001,"&lt;&gt;")=0,"",SUMIFS(Base!$X$3:$X$5001,Base!$B$3:$B$5001,E$95,Base!$A$3:$A$5001,_xlfn.MAXIFS(Base!$A$3:$A$5001,Base!$B$3:$B$5001,E$95,Base!$A$3:$A$5001,"&gt;="&amp;$C$7,Base!$A$3:$A$5001,"&lt;="&amp;$D$7,Base!$X$3:$X$5001,"&lt;&gt;")))</f>
        <v/>
      </c>
      <c r="F117" t="str">
        <f>IF(COUNTIFS(Base!$B$3:$B$5001,F$95,Base!$A$3:$A$5001,"&gt;="&amp;$C$7,Base!$A$3:$A$5001,"&lt;="&amp;$D$7,Base!$X$3:$X$5001,"&lt;&gt;")=0,"",SUMIFS(Base!$X$3:$X$5001,Base!$B$3:$B$5001,F$95,Base!$A$3:$A$5001,_xlfn.MAXIFS(Base!$A$3:$A$5001,Base!$B$3:$B$5001,F$95,Base!$A$3:$A$5001,"&gt;="&amp;$C$7,Base!$A$3:$A$5001,"&lt;="&amp;$D$7,Base!$X$3:$X$5001,"&lt;&gt;")))</f>
        <v/>
      </c>
      <c r="G117" t="str">
        <f>IF(COUNTIFS(Base!$B$3:$B$5001,G$95,Base!$A$3:$A$5001,"&gt;="&amp;$C$7,Base!$A$3:$A$5001,"&lt;="&amp;$D$7,Base!$X$3:$X$5001,"&lt;&gt;")=0,"",SUMIFS(Base!$X$3:$X$5001,Base!$B$3:$B$5001,G$95,Base!$A$3:$A$5001,_xlfn.MAXIFS(Base!$A$3:$A$5001,Base!$B$3:$B$5001,G$95,Base!$A$3:$A$5001,"&gt;="&amp;$C$7,Base!$A$3:$A$5001,"&lt;="&amp;$D$7,Base!$X$3:$X$5001,"&lt;&gt;")))</f>
        <v/>
      </c>
      <c r="H117" t="str">
        <f>IF(COUNTIFS(Base!$B$3:$B$5001,H$95,Base!$A$3:$A$5001,"&gt;="&amp;$C$7,Base!$A$3:$A$5001,"&lt;="&amp;$D$7,Base!$X$3:$X$5001,"&lt;&gt;")=0,"",SUMIFS(Base!$X$3:$X$5001,Base!$B$3:$B$5001,H$95,Base!$A$3:$A$5001,_xlfn.MAXIFS(Base!$A$3:$A$5001,Base!$B$3:$B$5001,H$95,Base!$A$3:$A$5001,"&gt;="&amp;$C$7,Base!$A$3:$A$5001,"&lt;="&amp;$D$7,Base!$X$3:$X$5001,"&lt;&gt;")))</f>
        <v/>
      </c>
      <c r="I117" t="str">
        <f>IF(COUNTIFS(Base!$B$3:$B$5001,I$95,Base!$A$3:$A$5001,"&gt;="&amp;$C$7,Base!$A$3:$A$5001,"&lt;="&amp;$D$7,Base!$X$3:$X$5001,"&lt;&gt;")=0,"",SUMIFS(Base!$X$3:$X$5001,Base!$B$3:$B$5001,I$95,Base!$A$3:$A$5001,_xlfn.MAXIFS(Base!$A$3:$A$5001,Base!$B$3:$B$5001,I$95,Base!$A$3:$A$5001,"&gt;="&amp;$C$7,Base!$A$3:$A$5001,"&lt;="&amp;$D$7,Base!$X$3:$X$5001,"&lt;&gt;")))</f>
        <v/>
      </c>
      <c r="J117" t="str">
        <f>IF(COUNTIFS(Base!$B$3:$B$5001,J$95,Base!$A$3:$A$5001,"&gt;="&amp;$C$7,Base!$A$3:$A$5001,"&lt;="&amp;$D$7,Base!$X$3:$X$5001,"&lt;&gt;")=0,"",SUMIFS(Base!$X$3:$X$5001,Base!$B$3:$B$5001,J$95,Base!$A$3:$A$5001,_xlfn.MAXIFS(Base!$A$3:$A$5001,Base!$B$3:$B$5001,J$95,Base!$A$3:$A$5001,"&gt;="&amp;$C$7,Base!$A$3:$A$5001,"&lt;="&amp;$D$7,Base!$X$3:$X$5001,"&lt;&gt;")))</f>
        <v/>
      </c>
      <c r="K117" t="str">
        <f>IF(ISNUMBER($B$4),$B$4,IF(COUNT(B117:J117)=0,"",SUM(B117:J117)))</f>
        <v/>
      </c>
    </row>
    <row r="118">
      <c r="A118" t="inlineStr">
        <is>
          <t xml:space="preserve">Posições Ocupadas</t>
        </is>
      </c>
      <c r="B118" t="str">
        <f>IF(COUNTIFS(Base!$B$3:$B$5001,B$95,Base!$A$3:$A$5001,"&gt;="&amp;$C$7,Base!$A$3:$A$5001,"&lt;="&amp;$D$7,Base!$Y$3:$Y$5001,"&lt;&gt;")=0,"",SUMIFS(Base!$Y$3:$Y$5001,Base!$B$3:$B$5001,B$95,Base!$A$3:$A$5001,_xlfn.MAXIFS(Base!$A$3:$A$5001,Base!$B$3:$B$5001,B$95,Base!$A$3:$A$5001,"&gt;="&amp;$C$7,Base!$A$3:$A$5001,"&lt;="&amp;$D$7,Base!$Y$3:$Y$5001,"&lt;&gt;")))</f>
        <v/>
      </c>
      <c r="C118" t="str">
        <f>IF(COUNTIFS(Base!$B$3:$B$5001,C$95,Base!$A$3:$A$5001,"&gt;="&amp;$C$7,Base!$A$3:$A$5001,"&lt;="&amp;$D$7,Base!$Y$3:$Y$5001,"&lt;&gt;")=0,"",SUMIFS(Base!$Y$3:$Y$5001,Base!$B$3:$B$5001,C$95,Base!$A$3:$A$5001,_xlfn.MAXIFS(Base!$A$3:$A$5001,Base!$B$3:$B$5001,C$95,Base!$A$3:$A$5001,"&gt;="&amp;$C$7,Base!$A$3:$A$5001,"&lt;="&amp;$D$7,Base!$Y$3:$Y$5001,"&lt;&gt;")))</f>
        <v/>
      </c>
      <c r="D118" t="str">
        <f>IF(COUNTIFS(Base!$B$3:$B$5001,D$95,Base!$A$3:$A$5001,"&gt;="&amp;$C$7,Base!$A$3:$A$5001,"&lt;="&amp;$D$7,Base!$Y$3:$Y$5001,"&lt;&gt;")=0,"",SUMIFS(Base!$Y$3:$Y$5001,Base!$B$3:$B$5001,D$95,Base!$A$3:$A$5001,_xlfn.MAXIFS(Base!$A$3:$A$5001,Base!$B$3:$B$5001,D$95,Base!$A$3:$A$5001,"&gt;="&amp;$C$7,Base!$A$3:$A$5001,"&lt;="&amp;$D$7,Base!$Y$3:$Y$5001,"&lt;&gt;")))</f>
        <v/>
      </c>
      <c r="E118" t="str">
        <f>IF(COUNTIFS(Base!$B$3:$B$5001,E$95,Base!$A$3:$A$5001,"&gt;="&amp;$C$7,Base!$A$3:$A$5001,"&lt;="&amp;$D$7,Base!$Y$3:$Y$5001,"&lt;&gt;")=0,"",SUMIFS(Base!$Y$3:$Y$5001,Base!$B$3:$B$5001,E$95,Base!$A$3:$A$5001,_xlfn.MAXIFS(Base!$A$3:$A$5001,Base!$B$3:$B$5001,E$95,Base!$A$3:$A$5001,"&gt;="&amp;$C$7,Base!$A$3:$A$5001,"&lt;="&amp;$D$7,Base!$Y$3:$Y$5001,"&lt;&gt;")))</f>
        <v/>
      </c>
      <c r="F118" t="str">
        <f>IF(COUNTIFS(Base!$B$3:$B$5001,F$95,Base!$A$3:$A$5001,"&gt;="&amp;$C$7,Base!$A$3:$A$5001,"&lt;="&amp;$D$7,Base!$Y$3:$Y$5001,"&lt;&gt;")=0,"",SUMIFS(Base!$Y$3:$Y$5001,Base!$B$3:$B$5001,F$95,Base!$A$3:$A$5001,_xlfn.MAXIFS(Base!$A$3:$A$5001,Base!$B$3:$B$5001,F$95,Base!$A$3:$A$5001,"&gt;="&amp;$C$7,Base!$A$3:$A$5001,"&lt;="&amp;$D$7,Base!$Y$3:$Y$5001,"&lt;&gt;")))</f>
        <v/>
      </c>
      <c r="G118" t="str">
        <f>IF(COUNTIFS(Base!$B$3:$B$5001,G$95,Base!$A$3:$A$5001,"&gt;="&amp;$C$7,Base!$A$3:$A$5001,"&lt;="&amp;$D$7,Base!$Y$3:$Y$5001,"&lt;&gt;")=0,"",SUMIFS(Base!$Y$3:$Y$5001,Base!$B$3:$B$5001,G$95,Base!$A$3:$A$5001,_xlfn.MAXIFS(Base!$A$3:$A$5001,Base!$B$3:$B$5001,G$95,Base!$A$3:$A$5001,"&gt;="&amp;$C$7,Base!$A$3:$A$5001,"&lt;="&amp;$D$7,Base!$Y$3:$Y$5001,"&lt;&gt;")))</f>
        <v/>
      </c>
      <c r="H118" t="str">
        <f>IF(COUNTIFS(Base!$B$3:$B$5001,H$95,Base!$A$3:$A$5001,"&gt;="&amp;$C$7,Base!$A$3:$A$5001,"&lt;="&amp;$D$7,Base!$Y$3:$Y$5001,"&lt;&gt;")=0,"",SUMIFS(Base!$Y$3:$Y$5001,Base!$B$3:$B$5001,H$95,Base!$A$3:$A$5001,_xlfn.MAXIFS(Base!$A$3:$A$5001,Base!$B$3:$B$5001,H$95,Base!$A$3:$A$5001,"&gt;="&amp;$C$7,Base!$A$3:$A$5001,"&lt;="&amp;$D$7,Base!$Y$3:$Y$5001,"&lt;&gt;")))</f>
        <v/>
      </c>
      <c r="I118" t="str">
        <f>IF(COUNTIFS(Base!$B$3:$B$5001,I$95,Base!$A$3:$A$5001,"&gt;="&amp;$C$7,Base!$A$3:$A$5001,"&lt;="&amp;$D$7,Base!$Y$3:$Y$5001,"&lt;&gt;")=0,"",SUMIFS(Base!$Y$3:$Y$5001,Base!$B$3:$B$5001,I$95,Base!$A$3:$A$5001,_xlfn.MAXIFS(Base!$A$3:$A$5001,Base!$B$3:$B$5001,I$95,Base!$A$3:$A$5001,"&gt;="&amp;$C$7,Base!$A$3:$A$5001,"&lt;="&amp;$D$7,Base!$Y$3:$Y$5001,"&lt;&gt;")))</f>
        <v/>
      </c>
      <c r="J118" t="str">
        <f>IF(COUNTIFS(Base!$B$3:$B$5001,J$95,Base!$A$3:$A$5001,"&gt;="&amp;$C$7,Base!$A$3:$A$5001,"&lt;="&amp;$D$7,Base!$Y$3:$Y$5001,"&lt;&gt;")=0,"",SUMIFS(Base!$Y$3:$Y$5001,Base!$B$3:$B$5001,J$95,Base!$A$3:$A$5001,_xlfn.MAXIFS(Base!$A$3:$A$5001,Base!$B$3:$B$5001,J$95,Base!$A$3:$A$5001,"&gt;="&amp;$C$7,Base!$A$3:$A$5001,"&lt;="&amp;$D$7,Base!$Y$3:$Y$5001,"&lt;&gt;")))</f>
        <v/>
      </c>
      <c r="K118" t="str">
        <f>IF(COUNT(B118:J118)=0,"",SUM(B118:J118))</f>
        <v/>
      </c>
    </row>
    <row r="119">
      <c r="A119" t="inlineStr">
        <is>
          <t xml:space="preserve">Taxa de Ocupação</t>
        </is>
      </c>
      <c r="B119" t="str">
        <f>IF(AND(ISNUMBER(B118),ISNUMBER(B117)),IF(B117&gt;0,B118/B117,""),"")</f>
        <v/>
      </c>
      <c r="C119" t="str">
        <f>IF(AND(ISNUMBER(C118),ISNUMBER(C117)),IF(C117&gt;0,C118/C117,""),"")</f>
        <v/>
      </c>
      <c r="D119" t="str">
        <f>IF(AND(ISNUMBER(D118),ISNUMBER(D117)),IF(D117&gt;0,D118/D117,""),"")</f>
        <v/>
      </c>
      <c r="E119" t="str">
        <f>IF(AND(ISNUMBER(E118),ISNUMBER(E117)),IF(E117&gt;0,E118/E117,""),"")</f>
        <v/>
      </c>
      <c r="F119" t="str">
        <f>IF(AND(ISNUMBER(F118),ISNUMBER(F117)),IF(F117&gt;0,F118/F117,""),"")</f>
        <v/>
      </c>
      <c r="G119" t="str">
        <f>IF(AND(ISNUMBER(G118),ISNUMBER(G117)),IF(G117&gt;0,G118/G117,""),"")</f>
        <v/>
      </c>
      <c r="H119" t="str">
        <f>IF(AND(ISNUMBER(H118),ISNUMBER(H117)),IF(H117&gt;0,H118/H117,""),"")</f>
        <v/>
      </c>
      <c r="I119" t="str">
        <f>IF(AND(ISNUMBER(I118),ISNUMBER(I117)),IF(I117&gt;0,I118/I117,""),"")</f>
        <v/>
      </c>
      <c r="J119" t="str">
        <f>IF(AND(ISNUMBER(J118),ISNUMBER(J117)),IF(J117&gt;0,J118/J117,""),"")</f>
        <v/>
      </c>
      <c r="K119" t="str">
        <f>IFERROR(K118/K117,"")</f>
        <v/>
      </c>
    </row>
    <row r="120">
      <c r="A120" t="inlineStr">
        <is>
          <t xml:space="preserve">Efetivo</t>
        </is>
      </c>
      <c r="B120" t="str">
        <f>IF(COUNTIFS(Base!$B$3:$B$5001,B$95,Base!$A$3:$A$5001,"&gt;="&amp;$C$7,Base!$A$3:$A$5001,"&lt;="&amp;$D$7,Base!$Z$3:$Z$5001,"&lt;&gt;")=0,"",SUMIFS(Base!$Z$3:$Z$5001,Base!$B$3:$B$5001,B$95,Base!$A$3:$A$5001,_xlfn.MAXIFS(Base!$A$3:$A$5001,Base!$B$3:$B$5001,B$95,Base!$A$3:$A$5001,"&gt;="&amp;$C$7,Base!$A$3:$A$5001,"&lt;="&amp;$D$7,Base!$Z$3:$Z$5001,"&lt;&gt;")))</f>
        <v/>
      </c>
      <c r="C120" t="str">
        <f>IF(COUNTIFS(Base!$B$3:$B$5001,C$95,Base!$A$3:$A$5001,"&gt;="&amp;$C$7,Base!$A$3:$A$5001,"&lt;="&amp;$D$7,Base!$Z$3:$Z$5001,"&lt;&gt;")=0,"",SUMIFS(Base!$Z$3:$Z$5001,Base!$B$3:$B$5001,C$95,Base!$A$3:$A$5001,_xlfn.MAXIFS(Base!$A$3:$A$5001,Base!$B$3:$B$5001,C$95,Base!$A$3:$A$5001,"&gt;="&amp;$C$7,Base!$A$3:$A$5001,"&lt;="&amp;$D$7,Base!$Z$3:$Z$5001,"&lt;&gt;")))</f>
        <v/>
      </c>
      <c r="D120" t="str">
        <f>IF(COUNTIFS(Base!$B$3:$B$5001,D$95,Base!$A$3:$A$5001,"&gt;="&amp;$C$7,Base!$A$3:$A$5001,"&lt;="&amp;$D$7,Base!$Z$3:$Z$5001,"&lt;&gt;")=0,"",SUMIFS(Base!$Z$3:$Z$5001,Base!$B$3:$B$5001,D$95,Base!$A$3:$A$5001,_xlfn.MAXIFS(Base!$A$3:$A$5001,Base!$B$3:$B$5001,D$95,Base!$A$3:$A$5001,"&gt;="&amp;$C$7,Base!$A$3:$A$5001,"&lt;="&amp;$D$7,Base!$Z$3:$Z$5001,"&lt;&gt;")))</f>
        <v/>
      </c>
      <c r="E120" t="str">
        <f>IF(COUNTIFS(Base!$B$3:$B$5001,E$95,Base!$A$3:$A$5001,"&gt;="&amp;$C$7,Base!$A$3:$A$5001,"&lt;="&amp;$D$7,Base!$Z$3:$Z$5001,"&lt;&gt;")=0,"",SUMIFS(Base!$Z$3:$Z$5001,Base!$B$3:$B$5001,E$95,Base!$A$3:$A$5001,_xlfn.MAXIFS(Base!$A$3:$A$5001,Base!$B$3:$B$5001,E$95,Base!$A$3:$A$5001,"&gt;="&amp;$C$7,Base!$A$3:$A$5001,"&lt;="&amp;$D$7,Base!$Z$3:$Z$5001,"&lt;&gt;")))</f>
        <v/>
      </c>
      <c r="F120" t="str">
        <f>IF(COUNTIFS(Base!$B$3:$B$5001,F$95,Base!$A$3:$A$5001,"&gt;="&amp;$C$7,Base!$A$3:$A$5001,"&lt;="&amp;$D$7,Base!$Z$3:$Z$5001,"&lt;&gt;")=0,"",SUMIFS(Base!$Z$3:$Z$5001,Base!$B$3:$B$5001,F$95,Base!$A$3:$A$5001,_xlfn.MAXIFS(Base!$A$3:$A$5001,Base!$B$3:$B$5001,F$95,Base!$A$3:$A$5001,"&gt;="&amp;$C$7,Base!$A$3:$A$5001,"&lt;="&amp;$D$7,Base!$Z$3:$Z$5001,"&lt;&gt;")))</f>
        <v/>
      </c>
      <c r="G120" t="str">
        <f>IF(COUNTIFS(Base!$B$3:$B$5001,G$95,Base!$A$3:$A$5001,"&gt;="&amp;$C$7,Base!$A$3:$A$5001,"&lt;="&amp;$D$7,Base!$Z$3:$Z$5001,"&lt;&gt;")=0,"",SUMIFS(Base!$Z$3:$Z$5001,Base!$B$3:$B$5001,G$95,Base!$A$3:$A$5001,_xlfn.MAXIFS(Base!$A$3:$A$5001,Base!$B$3:$B$5001,G$95,Base!$A$3:$A$5001,"&gt;="&amp;$C$7,Base!$A$3:$A$5001,"&lt;="&amp;$D$7,Base!$Z$3:$Z$5001,"&lt;&gt;")))</f>
        <v/>
      </c>
      <c r="H120" t="str">
        <f>IF(COUNTIFS(Base!$B$3:$B$5001,H$95,Base!$A$3:$A$5001,"&gt;="&amp;$C$7,Base!$A$3:$A$5001,"&lt;="&amp;$D$7,Base!$Z$3:$Z$5001,"&lt;&gt;")=0,"",SUMIFS(Base!$Z$3:$Z$5001,Base!$B$3:$B$5001,H$95,Base!$A$3:$A$5001,_xlfn.MAXIFS(Base!$A$3:$A$5001,Base!$B$3:$B$5001,H$95,Base!$A$3:$A$5001,"&gt;="&amp;$C$7,Base!$A$3:$A$5001,"&lt;="&amp;$D$7,Base!$Z$3:$Z$5001,"&lt;&gt;")))</f>
        <v/>
      </c>
      <c r="I120" t="str">
        <f>IF(COUNTIFS(Base!$B$3:$B$5001,I$95,Base!$A$3:$A$5001,"&gt;="&amp;$C$7,Base!$A$3:$A$5001,"&lt;="&amp;$D$7,Base!$Z$3:$Z$5001,"&lt;&gt;")=0,"",SUMIFS(Base!$Z$3:$Z$5001,Base!$B$3:$B$5001,I$95,Base!$A$3:$A$5001,_xlfn.MAXIFS(Base!$A$3:$A$5001,Base!$B$3:$B$5001,I$95,Base!$A$3:$A$5001,"&gt;="&amp;$C$7,Base!$A$3:$A$5001,"&lt;="&amp;$D$7,Base!$Z$3:$Z$5001,"&lt;&gt;")))</f>
        <v/>
      </c>
      <c r="J120" t="str">
        <f>IF(COUNTIFS(Base!$B$3:$B$5001,J$95,Base!$A$3:$A$5001,"&gt;="&amp;$C$7,Base!$A$3:$A$5001,"&lt;="&amp;$D$7,Base!$Z$3:$Z$5001,"&lt;&gt;")=0,"",SUMIFS(Base!$Z$3:$Z$5001,Base!$B$3:$B$5001,J$95,Base!$A$3:$A$5001,_xlfn.MAXIFS(Base!$A$3:$A$5001,Base!$B$3:$B$5001,J$95,Base!$A$3:$A$5001,"&gt;="&amp;$C$7,Base!$A$3:$A$5001,"&lt;="&amp;$D$7,Base!$Z$3:$Z$5001,"&lt;&gt;")))</f>
        <v/>
      </c>
      <c r="K120" t="str">
        <f>IF(COUNT(B120:J120)=0,"",SUM(B120:J120))</f>
        <v/>
      </c>
    </row>
    <row r="121">
      <c r="A121" t="inlineStr">
        <is>
          <t xml:space="preserve">Falta</t>
        </is>
      </c>
      <c r="B121">
        <f>SUMIFS(Base!$AA$3:$AA$5001,Base!$B$3:$B$5001,B$95,Base!$A$3:$A$5001,"&gt;="&amp;$C$7,Base!$A$3:$A$5001,"&lt;="&amp;$D$7)</f>
        <v>0</v>
      </c>
      <c r="C121">
        <f>SUMIFS(Base!$AA$3:$AA$5001,Base!$B$3:$B$5001,C$95,Base!$A$3:$A$5001,"&gt;="&amp;$C$7,Base!$A$3:$A$5001,"&lt;="&amp;$D$7)</f>
        <v>0</v>
      </c>
      <c r="D121">
        <f>SUMIFS(Base!$AA$3:$AA$5001,Base!$B$3:$B$5001,D$95,Base!$A$3:$A$5001,"&gt;="&amp;$C$7,Base!$A$3:$A$5001,"&lt;="&amp;$D$7)</f>
        <v>0</v>
      </c>
      <c r="E121">
        <f>SUMIFS(Base!$AA$3:$AA$5001,Base!$B$3:$B$5001,E$95,Base!$A$3:$A$5001,"&gt;="&amp;$C$7,Base!$A$3:$A$5001,"&lt;="&amp;$D$7)</f>
        <v>0</v>
      </c>
      <c r="F121">
        <f>SUMIFS(Base!$AA$3:$AA$5001,Base!$B$3:$B$5001,F$95,Base!$A$3:$A$5001,"&gt;="&amp;$C$7,Base!$A$3:$A$5001,"&lt;="&amp;$D$7)</f>
        <v>0</v>
      </c>
      <c r="G121">
        <f>SUMIFS(Base!$AA$3:$AA$5001,Base!$B$3:$B$5001,G$95,Base!$A$3:$A$5001,"&gt;="&amp;$C$7,Base!$A$3:$A$5001,"&lt;="&amp;$D$7)</f>
        <v>0</v>
      </c>
      <c r="H121">
        <f>SUMIFS(Base!$AA$3:$AA$5001,Base!$B$3:$B$5001,H$95,Base!$A$3:$A$5001,"&gt;="&amp;$C$7,Base!$A$3:$A$5001,"&lt;="&amp;$D$7)</f>
        <v>0</v>
      </c>
      <c r="I121">
        <f>SUMIFS(Base!$AA$3:$AA$5001,Base!$B$3:$B$5001,I$95,Base!$A$3:$A$5001,"&gt;="&amp;$C$7,Base!$A$3:$A$5001,"&lt;="&amp;$D$7)</f>
        <v>0</v>
      </c>
      <c r="J121">
        <f>SUMIFS(Base!$AA$3:$AA$5001,Base!$B$3:$B$5001,J$95,Base!$A$3:$A$5001,"&gt;="&amp;$C$7,Base!$A$3:$A$5001,"&lt;="&amp;$D$7)</f>
        <v>0</v>
      </c>
      <c r="K121">
        <f>SUM(B121:J121)</f>
        <v>0</v>
      </c>
    </row>
    <row r="122">
      <c r="A122" t="inlineStr">
        <is>
          <t xml:space="preserve">Folga</t>
        </is>
      </c>
      <c r="B122">
        <f>SUMIFS(Base!$AB$3:$AB$5001,Base!$B$3:$B$5001,B$95,Base!$A$3:$A$5001,"&gt;="&amp;$C$7,Base!$A$3:$A$5001,"&lt;="&amp;$D$7)</f>
        <v>0</v>
      </c>
      <c r="C122">
        <f>SUMIFS(Base!$AB$3:$AB$5001,Base!$B$3:$B$5001,C$95,Base!$A$3:$A$5001,"&gt;="&amp;$C$7,Base!$A$3:$A$5001,"&lt;="&amp;$D$7)</f>
        <v>0</v>
      </c>
      <c r="D122">
        <f>SUMIFS(Base!$AB$3:$AB$5001,Base!$B$3:$B$5001,D$95,Base!$A$3:$A$5001,"&gt;="&amp;$C$7,Base!$A$3:$A$5001,"&lt;="&amp;$D$7)</f>
        <v>0</v>
      </c>
      <c r="E122">
        <f>SUMIFS(Base!$AB$3:$AB$5001,Base!$B$3:$B$5001,E$95,Base!$A$3:$A$5001,"&gt;="&amp;$C$7,Base!$A$3:$A$5001,"&lt;="&amp;$D$7)</f>
        <v>0</v>
      </c>
      <c r="F122">
        <f>SUMIFS(Base!$AB$3:$AB$5001,Base!$B$3:$B$5001,F$95,Base!$A$3:$A$5001,"&gt;="&amp;$C$7,Base!$A$3:$A$5001,"&lt;="&amp;$D$7)</f>
        <v>0</v>
      </c>
      <c r="G122">
        <f>SUMIFS(Base!$AB$3:$AB$5001,Base!$B$3:$B$5001,G$95,Base!$A$3:$A$5001,"&gt;="&amp;$C$7,Base!$A$3:$A$5001,"&lt;="&amp;$D$7)</f>
        <v>0</v>
      </c>
      <c r="H122">
        <f>SUMIFS(Base!$AB$3:$AB$5001,Base!$B$3:$B$5001,H$95,Base!$A$3:$A$5001,"&gt;="&amp;$C$7,Base!$A$3:$A$5001,"&lt;="&amp;$D$7)</f>
        <v>0</v>
      </c>
      <c r="I122">
        <f>SUMIFS(Base!$AB$3:$AB$5001,Base!$B$3:$B$5001,I$95,Base!$A$3:$A$5001,"&gt;="&amp;$C$7,Base!$A$3:$A$5001,"&lt;="&amp;$D$7)</f>
        <v>0</v>
      </c>
      <c r="J122">
        <f>SUMIFS(Base!$AB$3:$AB$5001,Base!$B$3:$B$5001,J$95,Base!$A$3:$A$5001,"&gt;="&amp;$C$7,Base!$A$3:$A$5001,"&lt;="&amp;$D$7)</f>
        <v>0</v>
      </c>
      <c r="K122">
        <f>SUM(B122:J122)</f>
        <v>0</v>
      </c>
    </row>
    <row r="123">
      <c r="A123" t="inlineStr">
        <is>
          <t xml:space="preserve">Férias</t>
        </is>
      </c>
      <c r="B123">
        <f>SUMIFS(Base!$AC$3:$AC$5001,Base!$B$3:$B$5001,B$95,Base!$A$3:$A$5001,"&gt;="&amp;$C$7,Base!$A$3:$A$5001,"&lt;="&amp;$D$7)</f>
        <v>0</v>
      </c>
      <c r="C123">
        <f>SUMIFS(Base!$AC$3:$AC$5001,Base!$B$3:$B$5001,C$95,Base!$A$3:$A$5001,"&gt;="&amp;$C$7,Base!$A$3:$A$5001,"&lt;="&amp;$D$7)</f>
        <v>0</v>
      </c>
      <c r="D123">
        <f>SUMIFS(Base!$AC$3:$AC$5001,Base!$B$3:$B$5001,D$95,Base!$A$3:$A$5001,"&gt;="&amp;$C$7,Base!$A$3:$A$5001,"&lt;="&amp;$D$7)</f>
        <v>0</v>
      </c>
      <c r="E123">
        <f>SUMIFS(Base!$AC$3:$AC$5001,Base!$B$3:$B$5001,E$95,Base!$A$3:$A$5001,"&gt;="&amp;$C$7,Base!$A$3:$A$5001,"&lt;="&amp;$D$7)</f>
        <v>0</v>
      </c>
      <c r="F123">
        <f>SUMIFS(Base!$AC$3:$AC$5001,Base!$B$3:$B$5001,F$95,Base!$A$3:$A$5001,"&gt;="&amp;$C$7,Base!$A$3:$A$5001,"&lt;="&amp;$D$7)</f>
        <v>0</v>
      </c>
      <c r="G123">
        <f>SUMIFS(Base!$AC$3:$AC$5001,Base!$B$3:$B$5001,G$95,Base!$A$3:$A$5001,"&gt;="&amp;$C$7,Base!$A$3:$A$5001,"&lt;="&amp;$D$7)</f>
        <v>0</v>
      </c>
      <c r="H123">
        <f>SUMIFS(Base!$AC$3:$AC$5001,Base!$B$3:$B$5001,H$95,Base!$A$3:$A$5001,"&gt;="&amp;$C$7,Base!$A$3:$A$5001,"&lt;="&amp;$D$7)</f>
        <v>0</v>
      </c>
      <c r="I123">
        <f>SUMIFS(Base!$AC$3:$AC$5001,Base!$B$3:$B$5001,I$95,Base!$A$3:$A$5001,"&gt;="&amp;$C$7,Base!$A$3:$A$5001,"&lt;="&amp;$D$7)</f>
        <v>0</v>
      </c>
      <c r="J123">
        <f>SUMIFS(Base!$AC$3:$AC$5001,Base!$B$3:$B$5001,J$95,Base!$A$3:$A$5001,"&gt;="&amp;$C$7,Base!$A$3:$A$5001,"&lt;="&amp;$D$7)</f>
        <v>0</v>
      </c>
      <c r="K123">
        <f>SUM(B123:J123)</f>
        <v>0</v>
      </c>
    </row>
    <row r="124">
      <c r="A124" t="inlineStr">
        <is>
          <t xml:space="preserve">Desligamentos</t>
        </is>
      </c>
      <c r="B124">
        <f>SUMIFS(Base!$AD$3:$AD$5001,Base!$B$3:$B$5001,B$95,Base!$A$3:$A$5001,"&gt;="&amp;$C$7,Base!$A$3:$A$5001,"&lt;="&amp;$D$7)</f>
        <v>0</v>
      </c>
      <c r="C124">
        <f>SUMIFS(Base!$AD$3:$AD$5001,Base!$B$3:$B$5001,C$95,Base!$A$3:$A$5001,"&gt;="&amp;$C$7,Base!$A$3:$A$5001,"&lt;="&amp;$D$7)</f>
        <v>0</v>
      </c>
      <c r="D124">
        <f>SUMIFS(Base!$AD$3:$AD$5001,Base!$B$3:$B$5001,D$95,Base!$A$3:$A$5001,"&gt;="&amp;$C$7,Base!$A$3:$A$5001,"&lt;="&amp;$D$7)</f>
        <v>0</v>
      </c>
      <c r="E124">
        <f>SUMIFS(Base!$AD$3:$AD$5001,Base!$B$3:$B$5001,E$95,Base!$A$3:$A$5001,"&gt;="&amp;$C$7,Base!$A$3:$A$5001,"&lt;="&amp;$D$7)</f>
        <v>0</v>
      </c>
      <c r="F124">
        <f>SUMIFS(Base!$AD$3:$AD$5001,Base!$B$3:$B$5001,F$95,Base!$A$3:$A$5001,"&gt;="&amp;$C$7,Base!$A$3:$A$5001,"&lt;="&amp;$D$7)</f>
        <v>0</v>
      </c>
      <c r="G124">
        <f>SUMIFS(Base!$AD$3:$AD$5001,Base!$B$3:$B$5001,G$95,Base!$A$3:$A$5001,"&gt;="&amp;$C$7,Base!$A$3:$A$5001,"&lt;="&amp;$D$7)</f>
        <v>0</v>
      </c>
      <c r="H124">
        <f>SUMIFS(Base!$AD$3:$AD$5001,Base!$B$3:$B$5001,H$95,Base!$A$3:$A$5001,"&gt;="&amp;$C$7,Base!$A$3:$A$5001,"&lt;="&amp;$D$7)</f>
        <v>0</v>
      </c>
      <c r="I124">
        <f>SUMIFS(Base!$AD$3:$AD$5001,Base!$B$3:$B$5001,I$95,Base!$A$3:$A$5001,"&gt;="&amp;$C$7,Base!$A$3:$A$5001,"&lt;="&amp;$D$7)</f>
        <v>0</v>
      </c>
      <c r="J124">
        <f>SUMIFS(Base!$AD$3:$AD$5001,Base!$B$3:$B$5001,J$95,Base!$A$3:$A$5001,"&gt;="&amp;$C$7,Base!$A$3:$A$5001,"&lt;="&amp;$D$7)</f>
        <v>0</v>
      </c>
      <c r="K124">
        <f>SUM(B124:J124)</f>
        <v>0</v>
      </c>
    </row>
    <row r="126">
      <c r="A126" t="inlineStr">
        <is>
          <t xml:space="preserve">ESTOQUES POR CLIENTE — último valor informado até cada dia (base de Backlog, Posições e Efetivo)</t>
        </is>
      </c>
    </row>
    <row r="127">
      <c r="A127" s="145" t="inlineStr">
        <is>
          <t xml:space="preserve">Backlog</t>
        </is>
      </c>
      <c r="B127" s="145" t="inlineStr">
        <is>
          <t xml:space="preserve">Data</t>
        </is>
      </c>
      <c r="C127" s="145" t="inlineStr">
        <is>
          <t xml:space="preserve">BASF</t>
        </is>
      </c>
      <c r="D127" s="145" t="inlineStr">
        <is>
          <t xml:space="preserve">BEAUTYBIZ</t>
        </is>
      </c>
      <c r="E127" s="145" t="inlineStr">
        <is>
          <t xml:space="preserve">BOTICÁRIO</t>
        </is>
      </c>
      <c r="F127" s="145" t="inlineStr">
        <is>
          <t xml:space="preserve">SUPPLY</t>
        </is>
      </c>
      <c r="G127" s="145" t="inlineStr">
        <is>
          <t xml:space="preserve">GE VERNOVA</t>
        </is>
      </c>
      <c r="H127" s="145" t="inlineStr">
        <is>
          <t xml:space="preserve">VESTAS</t>
        </is>
      </c>
      <c r="I127" s="145" t="inlineStr">
        <is>
          <t xml:space="preserve">VEDACIT</t>
        </is>
      </c>
      <c r="J127" s="145" t="inlineStr">
        <is>
          <t xml:space="preserve">OMNLIFE</t>
        </is>
      </c>
      <c r="K127" s="145" t="inlineStr">
        <is>
          <t xml:space="preserve">ALPARGATAS</t>
        </is>
      </c>
    </row>
    <row r="128">
      <c r="A128">
        <v>1</v>
      </c>
      <c r="B128" s="152">
        <f>$B$12</f>
        <v>46266</v>
      </c>
      <c r="C128" t="str">
        <f>IF($A128&gt;$B$9,"",IF(COUNTIFS(Base!$B$3:$B$5001,C$127,Base!$A$3:$A$5001,"&gt;="&amp;$C$7,Base!$A$3:$A$5001,"&lt;="&amp;$B128,Base!$W$3:$W$5001,"&lt;&gt;")=0,"",SUMIFS(Base!$W$3:$W$5001,Base!$B$3:$B$5001,C$127,Base!$A$3:$A$5001,_xlfn.MAXIFS(Base!$A$3:$A$5001,Base!$B$3:$B$5001,C$127,Base!$A$3:$A$5001,"&gt;="&amp;$C$7,Base!$A$3:$A$5001,"&lt;="&amp;$B128,Base!$W$3:$W$5001,"&lt;&gt;"))))</f>
        <v/>
      </c>
      <c r="D128" t="str">
        <f>IF($A128&gt;$B$9,"",IF(COUNTIFS(Base!$B$3:$B$5001,D$127,Base!$A$3:$A$5001,"&gt;="&amp;$C$7,Base!$A$3:$A$5001,"&lt;="&amp;$B128,Base!$W$3:$W$5001,"&lt;&gt;")=0,"",SUMIFS(Base!$W$3:$W$5001,Base!$B$3:$B$5001,D$127,Base!$A$3:$A$5001,_xlfn.MAXIFS(Base!$A$3:$A$5001,Base!$B$3:$B$5001,D$127,Base!$A$3:$A$5001,"&gt;="&amp;$C$7,Base!$A$3:$A$5001,"&lt;="&amp;$B128,Base!$W$3:$W$5001,"&lt;&gt;"))))</f>
        <v/>
      </c>
      <c r="E128" t="str">
        <f>IF($A128&gt;$B$9,"",IF(COUNTIFS(Base!$B$3:$B$5001,E$127,Base!$A$3:$A$5001,"&gt;="&amp;$C$7,Base!$A$3:$A$5001,"&lt;="&amp;$B128,Base!$W$3:$W$5001,"&lt;&gt;")=0,"",SUMIFS(Base!$W$3:$W$5001,Base!$B$3:$B$5001,E$127,Base!$A$3:$A$5001,_xlfn.MAXIFS(Base!$A$3:$A$5001,Base!$B$3:$B$5001,E$127,Base!$A$3:$A$5001,"&gt;="&amp;$C$7,Base!$A$3:$A$5001,"&lt;="&amp;$B128,Base!$W$3:$W$5001,"&lt;&gt;"))))</f>
        <v/>
      </c>
      <c r="F128" t="str">
        <f>IF($A128&gt;$B$9,"",IF(COUNTIFS(Base!$B$3:$B$5001,F$127,Base!$A$3:$A$5001,"&gt;="&amp;$C$7,Base!$A$3:$A$5001,"&lt;="&amp;$B128,Base!$W$3:$W$5001,"&lt;&gt;")=0,"",SUMIFS(Base!$W$3:$W$5001,Base!$B$3:$B$5001,F$127,Base!$A$3:$A$5001,_xlfn.MAXIFS(Base!$A$3:$A$5001,Base!$B$3:$B$5001,F$127,Base!$A$3:$A$5001,"&gt;="&amp;$C$7,Base!$A$3:$A$5001,"&lt;="&amp;$B128,Base!$W$3:$W$5001,"&lt;&gt;"))))</f>
        <v/>
      </c>
      <c r="G128" t="str">
        <f>IF($A128&gt;$B$9,"",IF(COUNTIFS(Base!$B$3:$B$5001,G$127,Base!$A$3:$A$5001,"&gt;="&amp;$C$7,Base!$A$3:$A$5001,"&lt;="&amp;$B128,Base!$W$3:$W$5001,"&lt;&gt;")=0,"",SUMIFS(Base!$W$3:$W$5001,Base!$B$3:$B$5001,G$127,Base!$A$3:$A$5001,_xlfn.MAXIFS(Base!$A$3:$A$5001,Base!$B$3:$B$5001,G$127,Base!$A$3:$A$5001,"&gt;="&amp;$C$7,Base!$A$3:$A$5001,"&lt;="&amp;$B128,Base!$W$3:$W$5001,"&lt;&gt;"))))</f>
        <v/>
      </c>
      <c r="H128" t="str">
        <f>IF($A128&gt;$B$9,"",IF(COUNTIFS(Base!$B$3:$B$5001,H$127,Base!$A$3:$A$5001,"&gt;="&amp;$C$7,Base!$A$3:$A$5001,"&lt;="&amp;$B128,Base!$W$3:$W$5001,"&lt;&gt;")=0,"",SUMIFS(Base!$W$3:$W$5001,Base!$B$3:$B$5001,H$127,Base!$A$3:$A$5001,_xlfn.MAXIFS(Base!$A$3:$A$5001,Base!$B$3:$B$5001,H$127,Base!$A$3:$A$5001,"&gt;="&amp;$C$7,Base!$A$3:$A$5001,"&lt;="&amp;$B128,Base!$W$3:$W$5001,"&lt;&gt;"))))</f>
        <v/>
      </c>
      <c r="I128" t="str">
        <f>IF($A128&gt;$B$9,"",IF(COUNTIFS(Base!$B$3:$B$5001,I$127,Base!$A$3:$A$5001,"&gt;="&amp;$C$7,Base!$A$3:$A$5001,"&lt;="&amp;$B128,Base!$W$3:$W$5001,"&lt;&gt;")=0,"",SUMIFS(Base!$W$3:$W$5001,Base!$B$3:$B$5001,I$127,Base!$A$3:$A$5001,_xlfn.MAXIFS(Base!$A$3:$A$5001,Base!$B$3:$B$5001,I$127,Base!$A$3:$A$5001,"&gt;="&amp;$C$7,Base!$A$3:$A$5001,"&lt;="&amp;$B128,Base!$W$3:$W$5001,"&lt;&gt;"))))</f>
        <v/>
      </c>
      <c r="J128" t="str">
        <f>IF($A128&gt;$B$9,"",IF(COUNTIFS(Base!$B$3:$B$5001,J$127,Base!$A$3:$A$5001,"&gt;="&amp;$C$7,Base!$A$3:$A$5001,"&lt;="&amp;$B128,Base!$W$3:$W$5001,"&lt;&gt;")=0,"",SUMIFS(Base!$W$3:$W$5001,Base!$B$3:$B$5001,J$127,Base!$A$3:$A$5001,_xlfn.MAXIFS(Base!$A$3:$A$5001,Base!$B$3:$B$5001,J$127,Base!$A$3:$A$5001,"&gt;="&amp;$C$7,Base!$A$3:$A$5001,"&lt;="&amp;$B128,Base!$W$3:$W$5001,"&lt;&gt;"))))</f>
        <v/>
      </c>
      <c r="K128" t="str">
        <f>IF($A128&gt;$B$9,"",IF(COUNTIFS(Base!$B$3:$B$5001,K$127,Base!$A$3:$A$5001,"&gt;="&amp;$C$7,Base!$A$3:$A$5001,"&lt;="&amp;$B128,Base!$W$3:$W$5001,"&lt;&gt;")=0,"",SUMIFS(Base!$W$3:$W$5001,Base!$B$3:$B$5001,K$127,Base!$A$3:$A$5001,_xlfn.MAXIFS(Base!$A$3:$A$5001,Base!$B$3:$B$5001,K$127,Base!$A$3:$A$5001,"&gt;="&amp;$C$7,Base!$A$3:$A$5001,"&lt;="&amp;$B128,Base!$W$3:$W$5001,"&lt;&gt;"))))</f>
        <v/>
      </c>
    </row>
    <row r="129">
      <c r="A129">
        <v>2</v>
      </c>
      <c r="B129" s="152">
        <f>$B$13</f>
        <v>46267</v>
      </c>
      <c r="C129" t="str">
        <f>IF($A129&gt;$B$9,"",IF(COUNTIFS(Base!$B$3:$B$5001,C$127,Base!$A$3:$A$5001,"&gt;="&amp;$C$7,Base!$A$3:$A$5001,"&lt;="&amp;$B129,Base!$W$3:$W$5001,"&lt;&gt;")=0,"",SUMIFS(Base!$W$3:$W$5001,Base!$B$3:$B$5001,C$127,Base!$A$3:$A$5001,_xlfn.MAXIFS(Base!$A$3:$A$5001,Base!$B$3:$B$5001,C$127,Base!$A$3:$A$5001,"&gt;="&amp;$C$7,Base!$A$3:$A$5001,"&lt;="&amp;$B129,Base!$W$3:$W$5001,"&lt;&gt;"))))</f>
        <v/>
      </c>
      <c r="D129" t="str">
        <f>IF($A129&gt;$B$9,"",IF(COUNTIFS(Base!$B$3:$B$5001,D$127,Base!$A$3:$A$5001,"&gt;="&amp;$C$7,Base!$A$3:$A$5001,"&lt;="&amp;$B129,Base!$W$3:$W$5001,"&lt;&gt;")=0,"",SUMIFS(Base!$W$3:$W$5001,Base!$B$3:$B$5001,D$127,Base!$A$3:$A$5001,_xlfn.MAXIFS(Base!$A$3:$A$5001,Base!$B$3:$B$5001,D$127,Base!$A$3:$A$5001,"&gt;="&amp;$C$7,Base!$A$3:$A$5001,"&lt;="&amp;$B129,Base!$W$3:$W$5001,"&lt;&gt;"))))</f>
        <v/>
      </c>
      <c r="E129" t="str">
        <f>IF($A129&gt;$B$9,"",IF(COUNTIFS(Base!$B$3:$B$5001,E$127,Base!$A$3:$A$5001,"&gt;="&amp;$C$7,Base!$A$3:$A$5001,"&lt;="&amp;$B129,Base!$W$3:$W$5001,"&lt;&gt;")=0,"",SUMIFS(Base!$W$3:$W$5001,Base!$B$3:$B$5001,E$127,Base!$A$3:$A$5001,_xlfn.MAXIFS(Base!$A$3:$A$5001,Base!$B$3:$B$5001,E$127,Base!$A$3:$A$5001,"&gt;="&amp;$C$7,Base!$A$3:$A$5001,"&lt;="&amp;$B129,Base!$W$3:$W$5001,"&lt;&gt;"))))</f>
        <v/>
      </c>
      <c r="F129" t="str">
        <f>IF($A129&gt;$B$9,"",IF(COUNTIFS(Base!$B$3:$B$5001,F$127,Base!$A$3:$A$5001,"&gt;="&amp;$C$7,Base!$A$3:$A$5001,"&lt;="&amp;$B129,Base!$W$3:$W$5001,"&lt;&gt;")=0,"",SUMIFS(Base!$W$3:$W$5001,Base!$B$3:$B$5001,F$127,Base!$A$3:$A$5001,_xlfn.MAXIFS(Base!$A$3:$A$5001,Base!$B$3:$B$5001,F$127,Base!$A$3:$A$5001,"&gt;="&amp;$C$7,Base!$A$3:$A$5001,"&lt;="&amp;$B129,Base!$W$3:$W$5001,"&lt;&gt;"))))</f>
        <v/>
      </c>
      <c r="G129" t="str">
        <f>IF($A129&gt;$B$9,"",IF(COUNTIFS(Base!$B$3:$B$5001,G$127,Base!$A$3:$A$5001,"&gt;="&amp;$C$7,Base!$A$3:$A$5001,"&lt;="&amp;$B129,Base!$W$3:$W$5001,"&lt;&gt;")=0,"",SUMIFS(Base!$W$3:$W$5001,Base!$B$3:$B$5001,G$127,Base!$A$3:$A$5001,_xlfn.MAXIFS(Base!$A$3:$A$5001,Base!$B$3:$B$5001,G$127,Base!$A$3:$A$5001,"&gt;="&amp;$C$7,Base!$A$3:$A$5001,"&lt;="&amp;$B129,Base!$W$3:$W$5001,"&lt;&gt;"))))</f>
        <v/>
      </c>
      <c r="H129" t="str">
        <f>IF($A129&gt;$B$9,"",IF(COUNTIFS(Base!$B$3:$B$5001,H$127,Base!$A$3:$A$5001,"&gt;="&amp;$C$7,Base!$A$3:$A$5001,"&lt;="&amp;$B129,Base!$W$3:$W$5001,"&lt;&gt;")=0,"",SUMIFS(Base!$W$3:$W$5001,Base!$B$3:$B$5001,H$127,Base!$A$3:$A$5001,_xlfn.MAXIFS(Base!$A$3:$A$5001,Base!$B$3:$B$5001,H$127,Base!$A$3:$A$5001,"&gt;="&amp;$C$7,Base!$A$3:$A$5001,"&lt;="&amp;$B129,Base!$W$3:$W$5001,"&lt;&gt;"))))</f>
        <v/>
      </c>
      <c r="I129" t="str">
        <f>IF($A129&gt;$B$9,"",IF(COUNTIFS(Base!$B$3:$B$5001,I$127,Base!$A$3:$A$5001,"&gt;="&amp;$C$7,Base!$A$3:$A$5001,"&lt;="&amp;$B129,Base!$W$3:$W$5001,"&lt;&gt;")=0,"",SUMIFS(Base!$W$3:$W$5001,Base!$B$3:$B$5001,I$127,Base!$A$3:$A$5001,_xlfn.MAXIFS(Base!$A$3:$A$5001,Base!$B$3:$B$5001,I$127,Base!$A$3:$A$5001,"&gt;="&amp;$C$7,Base!$A$3:$A$5001,"&lt;="&amp;$B129,Base!$W$3:$W$5001,"&lt;&gt;"))))</f>
        <v/>
      </c>
      <c r="J129" t="str">
        <f>IF($A129&gt;$B$9,"",IF(COUNTIFS(Base!$B$3:$B$5001,J$127,Base!$A$3:$A$5001,"&gt;="&amp;$C$7,Base!$A$3:$A$5001,"&lt;="&amp;$B129,Base!$W$3:$W$5001,"&lt;&gt;")=0,"",SUMIFS(Base!$W$3:$W$5001,Base!$B$3:$B$5001,J$127,Base!$A$3:$A$5001,_xlfn.MAXIFS(Base!$A$3:$A$5001,Base!$B$3:$B$5001,J$127,Base!$A$3:$A$5001,"&gt;="&amp;$C$7,Base!$A$3:$A$5001,"&lt;="&amp;$B129,Base!$W$3:$W$5001,"&lt;&gt;"))))</f>
        <v/>
      </c>
      <c r="K129" t="str">
        <f>IF($A129&gt;$B$9,"",IF(COUNTIFS(Base!$B$3:$B$5001,K$127,Base!$A$3:$A$5001,"&gt;="&amp;$C$7,Base!$A$3:$A$5001,"&lt;="&amp;$B129,Base!$W$3:$W$5001,"&lt;&gt;")=0,"",SUMIFS(Base!$W$3:$W$5001,Base!$B$3:$B$5001,K$127,Base!$A$3:$A$5001,_xlfn.MAXIFS(Base!$A$3:$A$5001,Base!$B$3:$B$5001,K$127,Base!$A$3:$A$5001,"&gt;="&amp;$C$7,Base!$A$3:$A$5001,"&lt;="&amp;$B129,Base!$W$3:$W$5001,"&lt;&gt;"))))</f>
        <v/>
      </c>
    </row>
    <row r="130">
      <c r="A130">
        <v>3</v>
      </c>
      <c r="B130" s="152">
        <f>$B$14</f>
        <v>46268</v>
      </c>
      <c r="C130" t="str">
        <f>IF($A130&gt;$B$9,"",IF(COUNTIFS(Base!$B$3:$B$5001,C$127,Base!$A$3:$A$5001,"&gt;="&amp;$C$7,Base!$A$3:$A$5001,"&lt;="&amp;$B130,Base!$W$3:$W$5001,"&lt;&gt;")=0,"",SUMIFS(Base!$W$3:$W$5001,Base!$B$3:$B$5001,C$127,Base!$A$3:$A$5001,_xlfn.MAXIFS(Base!$A$3:$A$5001,Base!$B$3:$B$5001,C$127,Base!$A$3:$A$5001,"&gt;="&amp;$C$7,Base!$A$3:$A$5001,"&lt;="&amp;$B130,Base!$W$3:$W$5001,"&lt;&gt;"))))</f>
        <v/>
      </c>
      <c r="D130" t="str">
        <f>IF($A130&gt;$B$9,"",IF(COUNTIFS(Base!$B$3:$B$5001,D$127,Base!$A$3:$A$5001,"&gt;="&amp;$C$7,Base!$A$3:$A$5001,"&lt;="&amp;$B130,Base!$W$3:$W$5001,"&lt;&gt;")=0,"",SUMIFS(Base!$W$3:$W$5001,Base!$B$3:$B$5001,D$127,Base!$A$3:$A$5001,_xlfn.MAXIFS(Base!$A$3:$A$5001,Base!$B$3:$B$5001,D$127,Base!$A$3:$A$5001,"&gt;="&amp;$C$7,Base!$A$3:$A$5001,"&lt;="&amp;$B130,Base!$W$3:$W$5001,"&lt;&gt;"))))</f>
        <v/>
      </c>
      <c r="E130" t="str">
        <f>IF($A130&gt;$B$9,"",IF(COUNTIFS(Base!$B$3:$B$5001,E$127,Base!$A$3:$A$5001,"&gt;="&amp;$C$7,Base!$A$3:$A$5001,"&lt;="&amp;$B130,Base!$W$3:$W$5001,"&lt;&gt;")=0,"",SUMIFS(Base!$W$3:$W$5001,Base!$B$3:$B$5001,E$127,Base!$A$3:$A$5001,_xlfn.MAXIFS(Base!$A$3:$A$5001,Base!$B$3:$B$5001,E$127,Base!$A$3:$A$5001,"&gt;="&amp;$C$7,Base!$A$3:$A$5001,"&lt;="&amp;$B130,Base!$W$3:$W$5001,"&lt;&gt;"))))</f>
        <v/>
      </c>
      <c r="F130" t="str">
        <f>IF($A130&gt;$B$9,"",IF(COUNTIFS(Base!$B$3:$B$5001,F$127,Base!$A$3:$A$5001,"&gt;="&amp;$C$7,Base!$A$3:$A$5001,"&lt;="&amp;$B130,Base!$W$3:$W$5001,"&lt;&gt;")=0,"",SUMIFS(Base!$W$3:$W$5001,Base!$B$3:$B$5001,F$127,Base!$A$3:$A$5001,_xlfn.MAXIFS(Base!$A$3:$A$5001,Base!$B$3:$B$5001,F$127,Base!$A$3:$A$5001,"&gt;="&amp;$C$7,Base!$A$3:$A$5001,"&lt;="&amp;$B130,Base!$W$3:$W$5001,"&lt;&gt;"))))</f>
        <v/>
      </c>
      <c r="G130" t="str">
        <f>IF($A130&gt;$B$9,"",IF(COUNTIFS(Base!$B$3:$B$5001,G$127,Base!$A$3:$A$5001,"&gt;="&amp;$C$7,Base!$A$3:$A$5001,"&lt;="&amp;$B130,Base!$W$3:$W$5001,"&lt;&gt;")=0,"",SUMIFS(Base!$W$3:$W$5001,Base!$B$3:$B$5001,G$127,Base!$A$3:$A$5001,_xlfn.MAXIFS(Base!$A$3:$A$5001,Base!$B$3:$B$5001,G$127,Base!$A$3:$A$5001,"&gt;="&amp;$C$7,Base!$A$3:$A$5001,"&lt;="&amp;$B130,Base!$W$3:$W$5001,"&lt;&gt;"))))</f>
        <v/>
      </c>
      <c r="H130" t="str">
        <f>IF($A130&gt;$B$9,"",IF(COUNTIFS(Base!$B$3:$B$5001,H$127,Base!$A$3:$A$5001,"&gt;="&amp;$C$7,Base!$A$3:$A$5001,"&lt;="&amp;$B130,Base!$W$3:$W$5001,"&lt;&gt;")=0,"",SUMIFS(Base!$W$3:$W$5001,Base!$B$3:$B$5001,H$127,Base!$A$3:$A$5001,_xlfn.MAXIFS(Base!$A$3:$A$5001,Base!$B$3:$B$5001,H$127,Base!$A$3:$A$5001,"&gt;="&amp;$C$7,Base!$A$3:$A$5001,"&lt;="&amp;$B130,Base!$W$3:$W$5001,"&lt;&gt;"))))</f>
        <v/>
      </c>
      <c r="I130" t="str">
        <f>IF($A130&gt;$B$9,"",IF(COUNTIFS(Base!$B$3:$B$5001,I$127,Base!$A$3:$A$5001,"&gt;="&amp;$C$7,Base!$A$3:$A$5001,"&lt;="&amp;$B130,Base!$W$3:$W$5001,"&lt;&gt;")=0,"",SUMIFS(Base!$W$3:$W$5001,Base!$B$3:$B$5001,I$127,Base!$A$3:$A$5001,_xlfn.MAXIFS(Base!$A$3:$A$5001,Base!$B$3:$B$5001,I$127,Base!$A$3:$A$5001,"&gt;="&amp;$C$7,Base!$A$3:$A$5001,"&lt;="&amp;$B130,Base!$W$3:$W$5001,"&lt;&gt;"))))</f>
        <v/>
      </c>
      <c r="J130" t="str">
        <f>IF($A130&gt;$B$9,"",IF(COUNTIFS(Base!$B$3:$B$5001,J$127,Base!$A$3:$A$5001,"&gt;="&amp;$C$7,Base!$A$3:$A$5001,"&lt;="&amp;$B130,Base!$W$3:$W$5001,"&lt;&gt;")=0,"",SUMIFS(Base!$W$3:$W$5001,Base!$B$3:$B$5001,J$127,Base!$A$3:$A$5001,_xlfn.MAXIFS(Base!$A$3:$A$5001,Base!$B$3:$B$5001,J$127,Base!$A$3:$A$5001,"&gt;="&amp;$C$7,Base!$A$3:$A$5001,"&lt;="&amp;$B130,Base!$W$3:$W$5001,"&lt;&gt;"))))</f>
        <v/>
      </c>
      <c r="K130" t="str">
        <f>IF($A130&gt;$B$9,"",IF(COUNTIFS(Base!$B$3:$B$5001,K$127,Base!$A$3:$A$5001,"&gt;="&amp;$C$7,Base!$A$3:$A$5001,"&lt;="&amp;$B130,Base!$W$3:$W$5001,"&lt;&gt;")=0,"",SUMIFS(Base!$W$3:$W$5001,Base!$B$3:$B$5001,K$127,Base!$A$3:$A$5001,_xlfn.MAXIFS(Base!$A$3:$A$5001,Base!$B$3:$B$5001,K$127,Base!$A$3:$A$5001,"&gt;="&amp;$C$7,Base!$A$3:$A$5001,"&lt;="&amp;$B130,Base!$W$3:$W$5001,"&lt;&gt;"))))</f>
        <v/>
      </c>
    </row>
    <row r="131">
      <c r="A131">
        <v>4</v>
      </c>
      <c r="B131" s="152">
        <f>$B$15</f>
        <v>46269</v>
      </c>
      <c r="C131" t="str">
        <f>IF($A131&gt;$B$9,"",IF(COUNTIFS(Base!$B$3:$B$5001,C$127,Base!$A$3:$A$5001,"&gt;="&amp;$C$7,Base!$A$3:$A$5001,"&lt;="&amp;$B131,Base!$W$3:$W$5001,"&lt;&gt;")=0,"",SUMIFS(Base!$W$3:$W$5001,Base!$B$3:$B$5001,C$127,Base!$A$3:$A$5001,_xlfn.MAXIFS(Base!$A$3:$A$5001,Base!$B$3:$B$5001,C$127,Base!$A$3:$A$5001,"&gt;="&amp;$C$7,Base!$A$3:$A$5001,"&lt;="&amp;$B131,Base!$W$3:$W$5001,"&lt;&gt;"))))</f>
        <v/>
      </c>
      <c r="D131" t="str">
        <f>IF($A131&gt;$B$9,"",IF(COUNTIFS(Base!$B$3:$B$5001,D$127,Base!$A$3:$A$5001,"&gt;="&amp;$C$7,Base!$A$3:$A$5001,"&lt;="&amp;$B131,Base!$W$3:$W$5001,"&lt;&gt;")=0,"",SUMIFS(Base!$W$3:$W$5001,Base!$B$3:$B$5001,D$127,Base!$A$3:$A$5001,_xlfn.MAXIFS(Base!$A$3:$A$5001,Base!$B$3:$B$5001,D$127,Base!$A$3:$A$5001,"&gt;="&amp;$C$7,Base!$A$3:$A$5001,"&lt;="&amp;$B131,Base!$W$3:$W$5001,"&lt;&gt;"))))</f>
        <v/>
      </c>
      <c r="E131" t="str">
        <f>IF($A131&gt;$B$9,"",IF(COUNTIFS(Base!$B$3:$B$5001,E$127,Base!$A$3:$A$5001,"&gt;="&amp;$C$7,Base!$A$3:$A$5001,"&lt;="&amp;$B131,Base!$W$3:$W$5001,"&lt;&gt;")=0,"",SUMIFS(Base!$W$3:$W$5001,Base!$B$3:$B$5001,E$127,Base!$A$3:$A$5001,_xlfn.MAXIFS(Base!$A$3:$A$5001,Base!$B$3:$B$5001,E$127,Base!$A$3:$A$5001,"&gt;="&amp;$C$7,Base!$A$3:$A$5001,"&lt;="&amp;$B131,Base!$W$3:$W$5001,"&lt;&gt;"))))</f>
        <v/>
      </c>
      <c r="F131" t="str">
        <f>IF($A131&gt;$B$9,"",IF(COUNTIFS(Base!$B$3:$B$5001,F$127,Base!$A$3:$A$5001,"&gt;="&amp;$C$7,Base!$A$3:$A$5001,"&lt;="&amp;$B131,Base!$W$3:$W$5001,"&lt;&gt;")=0,"",SUMIFS(Base!$W$3:$W$5001,Base!$B$3:$B$5001,F$127,Base!$A$3:$A$5001,_xlfn.MAXIFS(Base!$A$3:$A$5001,Base!$B$3:$B$5001,F$127,Base!$A$3:$A$5001,"&gt;="&amp;$C$7,Base!$A$3:$A$5001,"&lt;="&amp;$B131,Base!$W$3:$W$5001,"&lt;&gt;"))))</f>
        <v/>
      </c>
      <c r="G131" t="str">
        <f>IF($A131&gt;$B$9,"",IF(COUNTIFS(Base!$B$3:$B$5001,G$127,Base!$A$3:$A$5001,"&gt;="&amp;$C$7,Base!$A$3:$A$5001,"&lt;="&amp;$B131,Base!$W$3:$W$5001,"&lt;&gt;")=0,"",SUMIFS(Base!$W$3:$W$5001,Base!$B$3:$B$5001,G$127,Base!$A$3:$A$5001,_xlfn.MAXIFS(Base!$A$3:$A$5001,Base!$B$3:$B$5001,G$127,Base!$A$3:$A$5001,"&gt;="&amp;$C$7,Base!$A$3:$A$5001,"&lt;="&amp;$B131,Base!$W$3:$W$5001,"&lt;&gt;"))))</f>
        <v/>
      </c>
      <c r="H131" t="str">
        <f>IF($A131&gt;$B$9,"",IF(COUNTIFS(Base!$B$3:$B$5001,H$127,Base!$A$3:$A$5001,"&gt;="&amp;$C$7,Base!$A$3:$A$5001,"&lt;="&amp;$B131,Base!$W$3:$W$5001,"&lt;&gt;")=0,"",SUMIFS(Base!$W$3:$W$5001,Base!$B$3:$B$5001,H$127,Base!$A$3:$A$5001,_xlfn.MAXIFS(Base!$A$3:$A$5001,Base!$B$3:$B$5001,H$127,Base!$A$3:$A$5001,"&gt;="&amp;$C$7,Base!$A$3:$A$5001,"&lt;="&amp;$B131,Base!$W$3:$W$5001,"&lt;&gt;"))))</f>
        <v/>
      </c>
      <c r="I131" t="str">
        <f>IF($A131&gt;$B$9,"",IF(COUNTIFS(Base!$B$3:$B$5001,I$127,Base!$A$3:$A$5001,"&gt;="&amp;$C$7,Base!$A$3:$A$5001,"&lt;="&amp;$B131,Base!$W$3:$W$5001,"&lt;&gt;")=0,"",SUMIFS(Base!$W$3:$W$5001,Base!$B$3:$B$5001,I$127,Base!$A$3:$A$5001,_xlfn.MAXIFS(Base!$A$3:$A$5001,Base!$B$3:$B$5001,I$127,Base!$A$3:$A$5001,"&gt;="&amp;$C$7,Base!$A$3:$A$5001,"&lt;="&amp;$B131,Base!$W$3:$W$5001,"&lt;&gt;"))))</f>
        <v/>
      </c>
      <c r="J131" t="str">
        <f>IF($A131&gt;$B$9,"",IF(COUNTIFS(Base!$B$3:$B$5001,J$127,Base!$A$3:$A$5001,"&gt;="&amp;$C$7,Base!$A$3:$A$5001,"&lt;="&amp;$B131,Base!$W$3:$W$5001,"&lt;&gt;")=0,"",SUMIFS(Base!$W$3:$W$5001,Base!$B$3:$B$5001,J$127,Base!$A$3:$A$5001,_xlfn.MAXIFS(Base!$A$3:$A$5001,Base!$B$3:$B$5001,J$127,Base!$A$3:$A$5001,"&gt;="&amp;$C$7,Base!$A$3:$A$5001,"&lt;="&amp;$B131,Base!$W$3:$W$5001,"&lt;&gt;"))))</f>
        <v/>
      </c>
      <c r="K131" t="str">
        <f>IF($A131&gt;$B$9,"",IF(COUNTIFS(Base!$B$3:$B$5001,K$127,Base!$A$3:$A$5001,"&gt;="&amp;$C$7,Base!$A$3:$A$5001,"&lt;="&amp;$B131,Base!$W$3:$W$5001,"&lt;&gt;")=0,"",SUMIFS(Base!$W$3:$W$5001,Base!$B$3:$B$5001,K$127,Base!$A$3:$A$5001,_xlfn.MAXIFS(Base!$A$3:$A$5001,Base!$B$3:$B$5001,K$127,Base!$A$3:$A$5001,"&gt;="&amp;$C$7,Base!$A$3:$A$5001,"&lt;="&amp;$B131,Base!$W$3:$W$5001,"&lt;&gt;"))))</f>
        <v/>
      </c>
    </row>
    <row r="132">
      <c r="A132">
        <v>5</v>
      </c>
      <c r="B132" s="152">
        <f>$B$16</f>
        <v>46270</v>
      </c>
      <c r="C132" t="str">
        <f>IF($A132&gt;$B$9,"",IF(COUNTIFS(Base!$B$3:$B$5001,C$127,Base!$A$3:$A$5001,"&gt;="&amp;$C$7,Base!$A$3:$A$5001,"&lt;="&amp;$B132,Base!$W$3:$W$5001,"&lt;&gt;")=0,"",SUMIFS(Base!$W$3:$W$5001,Base!$B$3:$B$5001,C$127,Base!$A$3:$A$5001,_xlfn.MAXIFS(Base!$A$3:$A$5001,Base!$B$3:$B$5001,C$127,Base!$A$3:$A$5001,"&gt;="&amp;$C$7,Base!$A$3:$A$5001,"&lt;="&amp;$B132,Base!$W$3:$W$5001,"&lt;&gt;"))))</f>
        <v/>
      </c>
      <c r="D132" t="str">
        <f>IF($A132&gt;$B$9,"",IF(COUNTIFS(Base!$B$3:$B$5001,D$127,Base!$A$3:$A$5001,"&gt;="&amp;$C$7,Base!$A$3:$A$5001,"&lt;="&amp;$B132,Base!$W$3:$W$5001,"&lt;&gt;")=0,"",SUMIFS(Base!$W$3:$W$5001,Base!$B$3:$B$5001,D$127,Base!$A$3:$A$5001,_xlfn.MAXIFS(Base!$A$3:$A$5001,Base!$B$3:$B$5001,D$127,Base!$A$3:$A$5001,"&gt;="&amp;$C$7,Base!$A$3:$A$5001,"&lt;="&amp;$B132,Base!$W$3:$W$5001,"&lt;&gt;"))))</f>
        <v/>
      </c>
      <c r="E132" t="str">
        <f>IF($A132&gt;$B$9,"",IF(COUNTIFS(Base!$B$3:$B$5001,E$127,Base!$A$3:$A$5001,"&gt;="&amp;$C$7,Base!$A$3:$A$5001,"&lt;="&amp;$B132,Base!$W$3:$W$5001,"&lt;&gt;")=0,"",SUMIFS(Base!$W$3:$W$5001,Base!$B$3:$B$5001,E$127,Base!$A$3:$A$5001,_xlfn.MAXIFS(Base!$A$3:$A$5001,Base!$B$3:$B$5001,E$127,Base!$A$3:$A$5001,"&gt;="&amp;$C$7,Base!$A$3:$A$5001,"&lt;="&amp;$B132,Base!$W$3:$W$5001,"&lt;&gt;"))))</f>
        <v/>
      </c>
      <c r="F132" t="str">
        <f>IF($A132&gt;$B$9,"",IF(COUNTIFS(Base!$B$3:$B$5001,F$127,Base!$A$3:$A$5001,"&gt;="&amp;$C$7,Base!$A$3:$A$5001,"&lt;="&amp;$B132,Base!$W$3:$W$5001,"&lt;&gt;")=0,"",SUMIFS(Base!$W$3:$W$5001,Base!$B$3:$B$5001,F$127,Base!$A$3:$A$5001,_xlfn.MAXIFS(Base!$A$3:$A$5001,Base!$B$3:$B$5001,F$127,Base!$A$3:$A$5001,"&gt;="&amp;$C$7,Base!$A$3:$A$5001,"&lt;="&amp;$B132,Base!$W$3:$W$5001,"&lt;&gt;"))))</f>
        <v/>
      </c>
      <c r="G132" t="str">
        <f>IF($A132&gt;$B$9,"",IF(COUNTIFS(Base!$B$3:$B$5001,G$127,Base!$A$3:$A$5001,"&gt;="&amp;$C$7,Base!$A$3:$A$5001,"&lt;="&amp;$B132,Base!$W$3:$W$5001,"&lt;&gt;")=0,"",SUMIFS(Base!$W$3:$W$5001,Base!$B$3:$B$5001,G$127,Base!$A$3:$A$5001,_xlfn.MAXIFS(Base!$A$3:$A$5001,Base!$B$3:$B$5001,G$127,Base!$A$3:$A$5001,"&gt;="&amp;$C$7,Base!$A$3:$A$5001,"&lt;="&amp;$B132,Base!$W$3:$W$5001,"&lt;&gt;"))))</f>
        <v/>
      </c>
      <c r="H132" t="str">
        <f>IF($A132&gt;$B$9,"",IF(COUNTIFS(Base!$B$3:$B$5001,H$127,Base!$A$3:$A$5001,"&gt;="&amp;$C$7,Base!$A$3:$A$5001,"&lt;="&amp;$B132,Base!$W$3:$W$5001,"&lt;&gt;")=0,"",SUMIFS(Base!$W$3:$W$5001,Base!$B$3:$B$5001,H$127,Base!$A$3:$A$5001,_xlfn.MAXIFS(Base!$A$3:$A$5001,Base!$B$3:$B$5001,H$127,Base!$A$3:$A$5001,"&gt;="&amp;$C$7,Base!$A$3:$A$5001,"&lt;="&amp;$B132,Base!$W$3:$W$5001,"&lt;&gt;"))))</f>
        <v/>
      </c>
      <c r="I132" t="str">
        <f>IF($A132&gt;$B$9,"",IF(COUNTIFS(Base!$B$3:$B$5001,I$127,Base!$A$3:$A$5001,"&gt;="&amp;$C$7,Base!$A$3:$A$5001,"&lt;="&amp;$B132,Base!$W$3:$W$5001,"&lt;&gt;")=0,"",SUMIFS(Base!$W$3:$W$5001,Base!$B$3:$B$5001,I$127,Base!$A$3:$A$5001,_xlfn.MAXIFS(Base!$A$3:$A$5001,Base!$B$3:$B$5001,I$127,Base!$A$3:$A$5001,"&gt;="&amp;$C$7,Base!$A$3:$A$5001,"&lt;="&amp;$B132,Base!$W$3:$W$5001,"&lt;&gt;"))))</f>
        <v/>
      </c>
      <c r="J132" t="str">
        <f>IF($A132&gt;$B$9,"",IF(COUNTIFS(Base!$B$3:$B$5001,J$127,Base!$A$3:$A$5001,"&gt;="&amp;$C$7,Base!$A$3:$A$5001,"&lt;="&amp;$B132,Base!$W$3:$W$5001,"&lt;&gt;")=0,"",SUMIFS(Base!$W$3:$W$5001,Base!$B$3:$B$5001,J$127,Base!$A$3:$A$5001,_xlfn.MAXIFS(Base!$A$3:$A$5001,Base!$B$3:$B$5001,J$127,Base!$A$3:$A$5001,"&gt;="&amp;$C$7,Base!$A$3:$A$5001,"&lt;="&amp;$B132,Base!$W$3:$W$5001,"&lt;&gt;"))))</f>
        <v/>
      </c>
      <c r="K132" t="str">
        <f>IF($A132&gt;$B$9,"",IF(COUNTIFS(Base!$B$3:$B$5001,K$127,Base!$A$3:$A$5001,"&gt;="&amp;$C$7,Base!$A$3:$A$5001,"&lt;="&amp;$B132,Base!$W$3:$W$5001,"&lt;&gt;")=0,"",SUMIFS(Base!$W$3:$W$5001,Base!$B$3:$B$5001,K$127,Base!$A$3:$A$5001,_xlfn.MAXIFS(Base!$A$3:$A$5001,Base!$B$3:$B$5001,K$127,Base!$A$3:$A$5001,"&gt;="&amp;$C$7,Base!$A$3:$A$5001,"&lt;="&amp;$B132,Base!$W$3:$W$5001,"&lt;&gt;"))))</f>
        <v/>
      </c>
    </row>
    <row r="133">
      <c r="A133">
        <v>6</v>
      </c>
      <c r="B133" s="152">
        <f>$B$17</f>
        <v>46271</v>
      </c>
      <c r="C133" t="str">
        <f>IF($A133&gt;$B$9,"",IF(COUNTIFS(Base!$B$3:$B$5001,C$127,Base!$A$3:$A$5001,"&gt;="&amp;$C$7,Base!$A$3:$A$5001,"&lt;="&amp;$B133,Base!$W$3:$W$5001,"&lt;&gt;")=0,"",SUMIFS(Base!$W$3:$W$5001,Base!$B$3:$B$5001,C$127,Base!$A$3:$A$5001,_xlfn.MAXIFS(Base!$A$3:$A$5001,Base!$B$3:$B$5001,C$127,Base!$A$3:$A$5001,"&gt;="&amp;$C$7,Base!$A$3:$A$5001,"&lt;="&amp;$B133,Base!$W$3:$W$5001,"&lt;&gt;"))))</f>
        <v/>
      </c>
      <c r="D133" t="str">
        <f>IF($A133&gt;$B$9,"",IF(COUNTIFS(Base!$B$3:$B$5001,D$127,Base!$A$3:$A$5001,"&gt;="&amp;$C$7,Base!$A$3:$A$5001,"&lt;="&amp;$B133,Base!$W$3:$W$5001,"&lt;&gt;")=0,"",SUMIFS(Base!$W$3:$W$5001,Base!$B$3:$B$5001,D$127,Base!$A$3:$A$5001,_xlfn.MAXIFS(Base!$A$3:$A$5001,Base!$B$3:$B$5001,D$127,Base!$A$3:$A$5001,"&gt;="&amp;$C$7,Base!$A$3:$A$5001,"&lt;="&amp;$B133,Base!$W$3:$W$5001,"&lt;&gt;"))))</f>
        <v/>
      </c>
      <c r="E133" t="str">
        <f>IF($A133&gt;$B$9,"",IF(COUNTIFS(Base!$B$3:$B$5001,E$127,Base!$A$3:$A$5001,"&gt;="&amp;$C$7,Base!$A$3:$A$5001,"&lt;="&amp;$B133,Base!$W$3:$W$5001,"&lt;&gt;")=0,"",SUMIFS(Base!$W$3:$W$5001,Base!$B$3:$B$5001,E$127,Base!$A$3:$A$5001,_xlfn.MAXIFS(Base!$A$3:$A$5001,Base!$B$3:$B$5001,E$127,Base!$A$3:$A$5001,"&gt;="&amp;$C$7,Base!$A$3:$A$5001,"&lt;="&amp;$B133,Base!$W$3:$W$5001,"&lt;&gt;"))))</f>
        <v/>
      </c>
      <c r="F133" t="str">
        <f>IF($A133&gt;$B$9,"",IF(COUNTIFS(Base!$B$3:$B$5001,F$127,Base!$A$3:$A$5001,"&gt;="&amp;$C$7,Base!$A$3:$A$5001,"&lt;="&amp;$B133,Base!$W$3:$W$5001,"&lt;&gt;")=0,"",SUMIFS(Base!$W$3:$W$5001,Base!$B$3:$B$5001,F$127,Base!$A$3:$A$5001,_xlfn.MAXIFS(Base!$A$3:$A$5001,Base!$B$3:$B$5001,F$127,Base!$A$3:$A$5001,"&gt;="&amp;$C$7,Base!$A$3:$A$5001,"&lt;="&amp;$B133,Base!$W$3:$W$5001,"&lt;&gt;"))))</f>
        <v/>
      </c>
      <c r="G133" t="str">
        <f>IF($A133&gt;$B$9,"",IF(COUNTIFS(Base!$B$3:$B$5001,G$127,Base!$A$3:$A$5001,"&gt;="&amp;$C$7,Base!$A$3:$A$5001,"&lt;="&amp;$B133,Base!$W$3:$W$5001,"&lt;&gt;")=0,"",SUMIFS(Base!$W$3:$W$5001,Base!$B$3:$B$5001,G$127,Base!$A$3:$A$5001,_xlfn.MAXIFS(Base!$A$3:$A$5001,Base!$B$3:$B$5001,G$127,Base!$A$3:$A$5001,"&gt;="&amp;$C$7,Base!$A$3:$A$5001,"&lt;="&amp;$B133,Base!$W$3:$W$5001,"&lt;&gt;"))))</f>
        <v/>
      </c>
      <c r="H133" t="str">
        <f>IF($A133&gt;$B$9,"",IF(COUNTIFS(Base!$B$3:$B$5001,H$127,Base!$A$3:$A$5001,"&gt;="&amp;$C$7,Base!$A$3:$A$5001,"&lt;="&amp;$B133,Base!$W$3:$W$5001,"&lt;&gt;")=0,"",SUMIFS(Base!$W$3:$W$5001,Base!$B$3:$B$5001,H$127,Base!$A$3:$A$5001,_xlfn.MAXIFS(Base!$A$3:$A$5001,Base!$B$3:$B$5001,H$127,Base!$A$3:$A$5001,"&gt;="&amp;$C$7,Base!$A$3:$A$5001,"&lt;="&amp;$B133,Base!$W$3:$W$5001,"&lt;&gt;"))))</f>
        <v/>
      </c>
      <c r="I133" t="str">
        <f>IF($A133&gt;$B$9,"",IF(COUNTIFS(Base!$B$3:$B$5001,I$127,Base!$A$3:$A$5001,"&gt;="&amp;$C$7,Base!$A$3:$A$5001,"&lt;="&amp;$B133,Base!$W$3:$W$5001,"&lt;&gt;")=0,"",SUMIFS(Base!$W$3:$W$5001,Base!$B$3:$B$5001,I$127,Base!$A$3:$A$5001,_xlfn.MAXIFS(Base!$A$3:$A$5001,Base!$B$3:$B$5001,I$127,Base!$A$3:$A$5001,"&gt;="&amp;$C$7,Base!$A$3:$A$5001,"&lt;="&amp;$B133,Base!$W$3:$W$5001,"&lt;&gt;"))))</f>
        <v/>
      </c>
      <c r="J133" t="str">
        <f>IF($A133&gt;$B$9,"",IF(COUNTIFS(Base!$B$3:$B$5001,J$127,Base!$A$3:$A$5001,"&gt;="&amp;$C$7,Base!$A$3:$A$5001,"&lt;="&amp;$B133,Base!$W$3:$W$5001,"&lt;&gt;")=0,"",SUMIFS(Base!$W$3:$W$5001,Base!$B$3:$B$5001,J$127,Base!$A$3:$A$5001,_xlfn.MAXIFS(Base!$A$3:$A$5001,Base!$B$3:$B$5001,J$127,Base!$A$3:$A$5001,"&gt;="&amp;$C$7,Base!$A$3:$A$5001,"&lt;="&amp;$B133,Base!$W$3:$W$5001,"&lt;&gt;"))))</f>
        <v/>
      </c>
      <c r="K133" t="str">
        <f>IF($A133&gt;$B$9,"",IF(COUNTIFS(Base!$B$3:$B$5001,K$127,Base!$A$3:$A$5001,"&gt;="&amp;$C$7,Base!$A$3:$A$5001,"&lt;="&amp;$B133,Base!$W$3:$W$5001,"&lt;&gt;")=0,"",SUMIFS(Base!$W$3:$W$5001,Base!$B$3:$B$5001,K$127,Base!$A$3:$A$5001,_xlfn.MAXIFS(Base!$A$3:$A$5001,Base!$B$3:$B$5001,K$127,Base!$A$3:$A$5001,"&gt;="&amp;$C$7,Base!$A$3:$A$5001,"&lt;="&amp;$B133,Base!$W$3:$W$5001,"&lt;&gt;"))))</f>
        <v/>
      </c>
    </row>
    <row r="134">
      <c r="A134">
        <v>7</v>
      </c>
      <c r="B134" s="152">
        <f>$B$18</f>
        <v>46272</v>
      </c>
      <c r="C134" t="str">
        <f>IF($A134&gt;$B$9,"",IF(COUNTIFS(Base!$B$3:$B$5001,C$127,Base!$A$3:$A$5001,"&gt;="&amp;$C$7,Base!$A$3:$A$5001,"&lt;="&amp;$B134,Base!$W$3:$W$5001,"&lt;&gt;")=0,"",SUMIFS(Base!$W$3:$W$5001,Base!$B$3:$B$5001,C$127,Base!$A$3:$A$5001,_xlfn.MAXIFS(Base!$A$3:$A$5001,Base!$B$3:$B$5001,C$127,Base!$A$3:$A$5001,"&gt;="&amp;$C$7,Base!$A$3:$A$5001,"&lt;="&amp;$B134,Base!$W$3:$W$5001,"&lt;&gt;"))))</f>
        <v/>
      </c>
      <c r="D134" t="str">
        <f>IF($A134&gt;$B$9,"",IF(COUNTIFS(Base!$B$3:$B$5001,D$127,Base!$A$3:$A$5001,"&gt;="&amp;$C$7,Base!$A$3:$A$5001,"&lt;="&amp;$B134,Base!$W$3:$W$5001,"&lt;&gt;")=0,"",SUMIFS(Base!$W$3:$W$5001,Base!$B$3:$B$5001,D$127,Base!$A$3:$A$5001,_xlfn.MAXIFS(Base!$A$3:$A$5001,Base!$B$3:$B$5001,D$127,Base!$A$3:$A$5001,"&gt;="&amp;$C$7,Base!$A$3:$A$5001,"&lt;="&amp;$B134,Base!$W$3:$W$5001,"&lt;&gt;"))))</f>
        <v/>
      </c>
      <c r="E134" t="str">
        <f>IF($A134&gt;$B$9,"",IF(COUNTIFS(Base!$B$3:$B$5001,E$127,Base!$A$3:$A$5001,"&gt;="&amp;$C$7,Base!$A$3:$A$5001,"&lt;="&amp;$B134,Base!$W$3:$W$5001,"&lt;&gt;")=0,"",SUMIFS(Base!$W$3:$W$5001,Base!$B$3:$B$5001,E$127,Base!$A$3:$A$5001,_xlfn.MAXIFS(Base!$A$3:$A$5001,Base!$B$3:$B$5001,E$127,Base!$A$3:$A$5001,"&gt;="&amp;$C$7,Base!$A$3:$A$5001,"&lt;="&amp;$B134,Base!$W$3:$W$5001,"&lt;&gt;"))))</f>
        <v/>
      </c>
      <c r="F134" t="str">
        <f>IF($A134&gt;$B$9,"",IF(COUNTIFS(Base!$B$3:$B$5001,F$127,Base!$A$3:$A$5001,"&gt;="&amp;$C$7,Base!$A$3:$A$5001,"&lt;="&amp;$B134,Base!$W$3:$W$5001,"&lt;&gt;")=0,"",SUMIFS(Base!$W$3:$W$5001,Base!$B$3:$B$5001,F$127,Base!$A$3:$A$5001,_xlfn.MAXIFS(Base!$A$3:$A$5001,Base!$B$3:$B$5001,F$127,Base!$A$3:$A$5001,"&gt;="&amp;$C$7,Base!$A$3:$A$5001,"&lt;="&amp;$B134,Base!$W$3:$W$5001,"&lt;&gt;"))))</f>
        <v/>
      </c>
      <c r="G134" t="str">
        <f>IF($A134&gt;$B$9,"",IF(COUNTIFS(Base!$B$3:$B$5001,G$127,Base!$A$3:$A$5001,"&gt;="&amp;$C$7,Base!$A$3:$A$5001,"&lt;="&amp;$B134,Base!$W$3:$W$5001,"&lt;&gt;")=0,"",SUMIFS(Base!$W$3:$W$5001,Base!$B$3:$B$5001,G$127,Base!$A$3:$A$5001,_xlfn.MAXIFS(Base!$A$3:$A$5001,Base!$B$3:$B$5001,G$127,Base!$A$3:$A$5001,"&gt;="&amp;$C$7,Base!$A$3:$A$5001,"&lt;="&amp;$B134,Base!$W$3:$W$5001,"&lt;&gt;"))))</f>
        <v/>
      </c>
      <c r="H134" t="str">
        <f>IF($A134&gt;$B$9,"",IF(COUNTIFS(Base!$B$3:$B$5001,H$127,Base!$A$3:$A$5001,"&gt;="&amp;$C$7,Base!$A$3:$A$5001,"&lt;="&amp;$B134,Base!$W$3:$W$5001,"&lt;&gt;")=0,"",SUMIFS(Base!$W$3:$W$5001,Base!$B$3:$B$5001,H$127,Base!$A$3:$A$5001,_xlfn.MAXIFS(Base!$A$3:$A$5001,Base!$B$3:$B$5001,H$127,Base!$A$3:$A$5001,"&gt;="&amp;$C$7,Base!$A$3:$A$5001,"&lt;="&amp;$B134,Base!$W$3:$W$5001,"&lt;&gt;"))))</f>
        <v/>
      </c>
      <c r="I134" t="str">
        <f>IF($A134&gt;$B$9,"",IF(COUNTIFS(Base!$B$3:$B$5001,I$127,Base!$A$3:$A$5001,"&gt;="&amp;$C$7,Base!$A$3:$A$5001,"&lt;="&amp;$B134,Base!$W$3:$W$5001,"&lt;&gt;")=0,"",SUMIFS(Base!$W$3:$W$5001,Base!$B$3:$B$5001,I$127,Base!$A$3:$A$5001,_xlfn.MAXIFS(Base!$A$3:$A$5001,Base!$B$3:$B$5001,I$127,Base!$A$3:$A$5001,"&gt;="&amp;$C$7,Base!$A$3:$A$5001,"&lt;="&amp;$B134,Base!$W$3:$W$5001,"&lt;&gt;"))))</f>
        <v/>
      </c>
      <c r="J134" t="str">
        <f>IF($A134&gt;$B$9,"",IF(COUNTIFS(Base!$B$3:$B$5001,J$127,Base!$A$3:$A$5001,"&gt;="&amp;$C$7,Base!$A$3:$A$5001,"&lt;="&amp;$B134,Base!$W$3:$W$5001,"&lt;&gt;")=0,"",SUMIFS(Base!$W$3:$W$5001,Base!$B$3:$B$5001,J$127,Base!$A$3:$A$5001,_xlfn.MAXIFS(Base!$A$3:$A$5001,Base!$B$3:$B$5001,J$127,Base!$A$3:$A$5001,"&gt;="&amp;$C$7,Base!$A$3:$A$5001,"&lt;="&amp;$B134,Base!$W$3:$W$5001,"&lt;&gt;"))))</f>
        <v/>
      </c>
      <c r="K134" t="str">
        <f>IF($A134&gt;$B$9,"",IF(COUNTIFS(Base!$B$3:$B$5001,K$127,Base!$A$3:$A$5001,"&gt;="&amp;$C$7,Base!$A$3:$A$5001,"&lt;="&amp;$B134,Base!$W$3:$W$5001,"&lt;&gt;")=0,"",SUMIFS(Base!$W$3:$W$5001,Base!$B$3:$B$5001,K$127,Base!$A$3:$A$5001,_xlfn.MAXIFS(Base!$A$3:$A$5001,Base!$B$3:$B$5001,K$127,Base!$A$3:$A$5001,"&gt;="&amp;$C$7,Base!$A$3:$A$5001,"&lt;="&amp;$B134,Base!$W$3:$W$5001,"&lt;&gt;"))))</f>
        <v/>
      </c>
    </row>
    <row r="135">
      <c r="A135">
        <v>8</v>
      </c>
      <c r="B135" s="152">
        <f>$B$19</f>
        <v>46273</v>
      </c>
      <c r="C135" t="str">
        <f>IF($A135&gt;$B$9,"",IF(COUNTIFS(Base!$B$3:$B$5001,C$127,Base!$A$3:$A$5001,"&gt;="&amp;$C$7,Base!$A$3:$A$5001,"&lt;="&amp;$B135,Base!$W$3:$W$5001,"&lt;&gt;")=0,"",SUMIFS(Base!$W$3:$W$5001,Base!$B$3:$B$5001,C$127,Base!$A$3:$A$5001,_xlfn.MAXIFS(Base!$A$3:$A$5001,Base!$B$3:$B$5001,C$127,Base!$A$3:$A$5001,"&gt;="&amp;$C$7,Base!$A$3:$A$5001,"&lt;="&amp;$B135,Base!$W$3:$W$5001,"&lt;&gt;"))))</f>
        <v/>
      </c>
      <c r="D135" t="str">
        <f>IF($A135&gt;$B$9,"",IF(COUNTIFS(Base!$B$3:$B$5001,D$127,Base!$A$3:$A$5001,"&gt;="&amp;$C$7,Base!$A$3:$A$5001,"&lt;="&amp;$B135,Base!$W$3:$W$5001,"&lt;&gt;")=0,"",SUMIFS(Base!$W$3:$W$5001,Base!$B$3:$B$5001,D$127,Base!$A$3:$A$5001,_xlfn.MAXIFS(Base!$A$3:$A$5001,Base!$B$3:$B$5001,D$127,Base!$A$3:$A$5001,"&gt;="&amp;$C$7,Base!$A$3:$A$5001,"&lt;="&amp;$B135,Base!$W$3:$W$5001,"&lt;&gt;"))))</f>
        <v/>
      </c>
      <c r="E135" t="str">
        <f>IF($A135&gt;$B$9,"",IF(COUNTIFS(Base!$B$3:$B$5001,E$127,Base!$A$3:$A$5001,"&gt;="&amp;$C$7,Base!$A$3:$A$5001,"&lt;="&amp;$B135,Base!$W$3:$W$5001,"&lt;&gt;")=0,"",SUMIFS(Base!$W$3:$W$5001,Base!$B$3:$B$5001,E$127,Base!$A$3:$A$5001,_xlfn.MAXIFS(Base!$A$3:$A$5001,Base!$B$3:$B$5001,E$127,Base!$A$3:$A$5001,"&gt;="&amp;$C$7,Base!$A$3:$A$5001,"&lt;="&amp;$B135,Base!$W$3:$W$5001,"&lt;&gt;"))))</f>
        <v/>
      </c>
      <c r="F135" t="str">
        <f>IF($A135&gt;$B$9,"",IF(COUNTIFS(Base!$B$3:$B$5001,F$127,Base!$A$3:$A$5001,"&gt;="&amp;$C$7,Base!$A$3:$A$5001,"&lt;="&amp;$B135,Base!$W$3:$W$5001,"&lt;&gt;")=0,"",SUMIFS(Base!$W$3:$W$5001,Base!$B$3:$B$5001,F$127,Base!$A$3:$A$5001,_xlfn.MAXIFS(Base!$A$3:$A$5001,Base!$B$3:$B$5001,F$127,Base!$A$3:$A$5001,"&gt;="&amp;$C$7,Base!$A$3:$A$5001,"&lt;="&amp;$B135,Base!$W$3:$W$5001,"&lt;&gt;"))))</f>
        <v/>
      </c>
      <c r="G135" t="str">
        <f>IF($A135&gt;$B$9,"",IF(COUNTIFS(Base!$B$3:$B$5001,G$127,Base!$A$3:$A$5001,"&gt;="&amp;$C$7,Base!$A$3:$A$5001,"&lt;="&amp;$B135,Base!$W$3:$W$5001,"&lt;&gt;")=0,"",SUMIFS(Base!$W$3:$W$5001,Base!$B$3:$B$5001,G$127,Base!$A$3:$A$5001,_xlfn.MAXIFS(Base!$A$3:$A$5001,Base!$B$3:$B$5001,G$127,Base!$A$3:$A$5001,"&gt;="&amp;$C$7,Base!$A$3:$A$5001,"&lt;="&amp;$B135,Base!$W$3:$W$5001,"&lt;&gt;"))))</f>
        <v/>
      </c>
      <c r="H135" t="str">
        <f>IF($A135&gt;$B$9,"",IF(COUNTIFS(Base!$B$3:$B$5001,H$127,Base!$A$3:$A$5001,"&gt;="&amp;$C$7,Base!$A$3:$A$5001,"&lt;="&amp;$B135,Base!$W$3:$W$5001,"&lt;&gt;")=0,"",SUMIFS(Base!$W$3:$W$5001,Base!$B$3:$B$5001,H$127,Base!$A$3:$A$5001,_xlfn.MAXIFS(Base!$A$3:$A$5001,Base!$B$3:$B$5001,H$127,Base!$A$3:$A$5001,"&gt;="&amp;$C$7,Base!$A$3:$A$5001,"&lt;="&amp;$B135,Base!$W$3:$W$5001,"&lt;&gt;"))))</f>
        <v/>
      </c>
      <c r="I135" t="str">
        <f>IF($A135&gt;$B$9,"",IF(COUNTIFS(Base!$B$3:$B$5001,I$127,Base!$A$3:$A$5001,"&gt;="&amp;$C$7,Base!$A$3:$A$5001,"&lt;="&amp;$B135,Base!$W$3:$W$5001,"&lt;&gt;")=0,"",SUMIFS(Base!$W$3:$W$5001,Base!$B$3:$B$5001,I$127,Base!$A$3:$A$5001,_xlfn.MAXIFS(Base!$A$3:$A$5001,Base!$B$3:$B$5001,I$127,Base!$A$3:$A$5001,"&gt;="&amp;$C$7,Base!$A$3:$A$5001,"&lt;="&amp;$B135,Base!$W$3:$W$5001,"&lt;&gt;"))))</f>
        <v/>
      </c>
      <c r="J135" t="str">
        <f>IF($A135&gt;$B$9,"",IF(COUNTIFS(Base!$B$3:$B$5001,J$127,Base!$A$3:$A$5001,"&gt;="&amp;$C$7,Base!$A$3:$A$5001,"&lt;="&amp;$B135,Base!$W$3:$W$5001,"&lt;&gt;")=0,"",SUMIFS(Base!$W$3:$W$5001,Base!$B$3:$B$5001,J$127,Base!$A$3:$A$5001,_xlfn.MAXIFS(Base!$A$3:$A$5001,Base!$B$3:$B$5001,J$127,Base!$A$3:$A$5001,"&gt;="&amp;$C$7,Base!$A$3:$A$5001,"&lt;="&amp;$B135,Base!$W$3:$W$5001,"&lt;&gt;"))))</f>
        <v/>
      </c>
      <c r="K135" t="str">
        <f>IF($A135&gt;$B$9,"",IF(COUNTIFS(Base!$B$3:$B$5001,K$127,Base!$A$3:$A$5001,"&gt;="&amp;$C$7,Base!$A$3:$A$5001,"&lt;="&amp;$B135,Base!$W$3:$W$5001,"&lt;&gt;")=0,"",SUMIFS(Base!$W$3:$W$5001,Base!$B$3:$B$5001,K$127,Base!$A$3:$A$5001,_xlfn.MAXIFS(Base!$A$3:$A$5001,Base!$B$3:$B$5001,K$127,Base!$A$3:$A$5001,"&gt;="&amp;$C$7,Base!$A$3:$A$5001,"&lt;="&amp;$B135,Base!$W$3:$W$5001,"&lt;&gt;"))))</f>
        <v/>
      </c>
    </row>
    <row r="136">
      <c r="A136">
        <v>9</v>
      </c>
      <c r="B136" s="152">
        <f>$B$20</f>
        <v>46274</v>
      </c>
      <c r="C136" t="str">
        <f>IF($A136&gt;$B$9,"",IF(COUNTIFS(Base!$B$3:$B$5001,C$127,Base!$A$3:$A$5001,"&gt;="&amp;$C$7,Base!$A$3:$A$5001,"&lt;="&amp;$B136,Base!$W$3:$W$5001,"&lt;&gt;")=0,"",SUMIFS(Base!$W$3:$W$5001,Base!$B$3:$B$5001,C$127,Base!$A$3:$A$5001,_xlfn.MAXIFS(Base!$A$3:$A$5001,Base!$B$3:$B$5001,C$127,Base!$A$3:$A$5001,"&gt;="&amp;$C$7,Base!$A$3:$A$5001,"&lt;="&amp;$B136,Base!$W$3:$W$5001,"&lt;&gt;"))))</f>
        <v/>
      </c>
      <c r="D136" t="str">
        <f>IF($A136&gt;$B$9,"",IF(COUNTIFS(Base!$B$3:$B$5001,D$127,Base!$A$3:$A$5001,"&gt;="&amp;$C$7,Base!$A$3:$A$5001,"&lt;="&amp;$B136,Base!$W$3:$W$5001,"&lt;&gt;")=0,"",SUMIFS(Base!$W$3:$W$5001,Base!$B$3:$B$5001,D$127,Base!$A$3:$A$5001,_xlfn.MAXIFS(Base!$A$3:$A$5001,Base!$B$3:$B$5001,D$127,Base!$A$3:$A$5001,"&gt;="&amp;$C$7,Base!$A$3:$A$5001,"&lt;="&amp;$B136,Base!$W$3:$W$5001,"&lt;&gt;"))))</f>
        <v/>
      </c>
      <c r="E136" t="str">
        <f>IF($A136&gt;$B$9,"",IF(COUNTIFS(Base!$B$3:$B$5001,E$127,Base!$A$3:$A$5001,"&gt;="&amp;$C$7,Base!$A$3:$A$5001,"&lt;="&amp;$B136,Base!$W$3:$W$5001,"&lt;&gt;")=0,"",SUMIFS(Base!$W$3:$W$5001,Base!$B$3:$B$5001,E$127,Base!$A$3:$A$5001,_xlfn.MAXIFS(Base!$A$3:$A$5001,Base!$B$3:$B$5001,E$127,Base!$A$3:$A$5001,"&gt;="&amp;$C$7,Base!$A$3:$A$5001,"&lt;="&amp;$B136,Base!$W$3:$W$5001,"&lt;&gt;"))))</f>
        <v/>
      </c>
      <c r="F136" t="str">
        <f>IF($A136&gt;$B$9,"",IF(COUNTIFS(Base!$B$3:$B$5001,F$127,Base!$A$3:$A$5001,"&gt;="&amp;$C$7,Base!$A$3:$A$5001,"&lt;="&amp;$B136,Base!$W$3:$W$5001,"&lt;&gt;")=0,"",SUMIFS(Base!$W$3:$W$5001,Base!$B$3:$B$5001,F$127,Base!$A$3:$A$5001,_xlfn.MAXIFS(Base!$A$3:$A$5001,Base!$B$3:$B$5001,F$127,Base!$A$3:$A$5001,"&gt;="&amp;$C$7,Base!$A$3:$A$5001,"&lt;="&amp;$B136,Base!$W$3:$W$5001,"&lt;&gt;"))))</f>
        <v/>
      </c>
      <c r="G136" t="str">
        <f>IF($A136&gt;$B$9,"",IF(COUNTIFS(Base!$B$3:$B$5001,G$127,Base!$A$3:$A$5001,"&gt;="&amp;$C$7,Base!$A$3:$A$5001,"&lt;="&amp;$B136,Base!$W$3:$W$5001,"&lt;&gt;")=0,"",SUMIFS(Base!$W$3:$W$5001,Base!$B$3:$B$5001,G$127,Base!$A$3:$A$5001,_xlfn.MAXIFS(Base!$A$3:$A$5001,Base!$B$3:$B$5001,G$127,Base!$A$3:$A$5001,"&gt;="&amp;$C$7,Base!$A$3:$A$5001,"&lt;="&amp;$B136,Base!$W$3:$W$5001,"&lt;&gt;"))))</f>
        <v/>
      </c>
      <c r="H136" t="str">
        <f>IF($A136&gt;$B$9,"",IF(COUNTIFS(Base!$B$3:$B$5001,H$127,Base!$A$3:$A$5001,"&gt;="&amp;$C$7,Base!$A$3:$A$5001,"&lt;="&amp;$B136,Base!$W$3:$W$5001,"&lt;&gt;")=0,"",SUMIFS(Base!$W$3:$W$5001,Base!$B$3:$B$5001,H$127,Base!$A$3:$A$5001,_xlfn.MAXIFS(Base!$A$3:$A$5001,Base!$B$3:$B$5001,H$127,Base!$A$3:$A$5001,"&gt;="&amp;$C$7,Base!$A$3:$A$5001,"&lt;="&amp;$B136,Base!$W$3:$W$5001,"&lt;&gt;"))))</f>
        <v/>
      </c>
      <c r="I136" t="str">
        <f>IF($A136&gt;$B$9,"",IF(COUNTIFS(Base!$B$3:$B$5001,I$127,Base!$A$3:$A$5001,"&gt;="&amp;$C$7,Base!$A$3:$A$5001,"&lt;="&amp;$B136,Base!$W$3:$W$5001,"&lt;&gt;")=0,"",SUMIFS(Base!$W$3:$W$5001,Base!$B$3:$B$5001,I$127,Base!$A$3:$A$5001,_xlfn.MAXIFS(Base!$A$3:$A$5001,Base!$B$3:$B$5001,I$127,Base!$A$3:$A$5001,"&gt;="&amp;$C$7,Base!$A$3:$A$5001,"&lt;="&amp;$B136,Base!$W$3:$W$5001,"&lt;&gt;"))))</f>
        <v/>
      </c>
      <c r="J136" t="str">
        <f>IF($A136&gt;$B$9,"",IF(COUNTIFS(Base!$B$3:$B$5001,J$127,Base!$A$3:$A$5001,"&gt;="&amp;$C$7,Base!$A$3:$A$5001,"&lt;="&amp;$B136,Base!$W$3:$W$5001,"&lt;&gt;")=0,"",SUMIFS(Base!$W$3:$W$5001,Base!$B$3:$B$5001,J$127,Base!$A$3:$A$5001,_xlfn.MAXIFS(Base!$A$3:$A$5001,Base!$B$3:$B$5001,J$127,Base!$A$3:$A$5001,"&gt;="&amp;$C$7,Base!$A$3:$A$5001,"&lt;="&amp;$B136,Base!$W$3:$W$5001,"&lt;&gt;"))))</f>
        <v/>
      </c>
      <c r="K136" t="str">
        <f>IF($A136&gt;$B$9,"",IF(COUNTIFS(Base!$B$3:$B$5001,K$127,Base!$A$3:$A$5001,"&gt;="&amp;$C$7,Base!$A$3:$A$5001,"&lt;="&amp;$B136,Base!$W$3:$W$5001,"&lt;&gt;")=0,"",SUMIFS(Base!$W$3:$W$5001,Base!$B$3:$B$5001,K$127,Base!$A$3:$A$5001,_xlfn.MAXIFS(Base!$A$3:$A$5001,Base!$B$3:$B$5001,K$127,Base!$A$3:$A$5001,"&gt;="&amp;$C$7,Base!$A$3:$A$5001,"&lt;="&amp;$B136,Base!$W$3:$W$5001,"&lt;&gt;"))))</f>
        <v/>
      </c>
    </row>
    <row r="137">
      <c r="A137">
        <v>10</v>
      </c>
      <c r="B137" s="152">
        <f>$B$21</f>
        <v>46275</v>
      </c>
      <c r="C137" t="str">
        <f>IF($A137&gt;$B$9,"",IF(COUNTIFS(Base!$B$3:$B$5001,C$127,Base!$A$3:$A$5001,"&gt;="&amp;$C$7,Base!$A$3:$A$5001,"&lt;="&amp;$B137,Base!$W$3:$W$5001,"&lt;&gt;")=0,"",SUMIFS(Base!$W$3:$W$5001,Base!$B$3:$B$5001,C$127,Base!$A$3:$A$5001,_xlfn.MAXIFS(Base!$A$3:$A$5001,Base!$B$3:$B$5001,C$127,Base!$A$3:$A$5001,"&gt;="&amp;$C$7,Base!$A$3:$A$5001,"&lt;="&amp;$B137,Base!$W$3:$W$5001,"&lt;&gt;"))))</f>
        <v/>
      </c>
      <c r="D137" t="str">
        <f>IF($A137&gt;$B$9,"",IF(COUNTIFS(Base!$B$3:$B$5001,D$127,Base!$A$3:$A$5001,"&gt;="&amp;$C$7,Base!$A$3:$A$5001,"&lt;="&amp;$B137,Base!$W$3:$W$5001,"&lt;&gt;")=0,"",SUMIFS(Base!$W$3:$W$5001,Base!$B$3:$B$5001,D$127,Base!$A$3:$A$5001,_xlfn.MAXIFS(Base!$A$3:$A$5001,Base!$B$3:$B$5001,D$127,Base!$A$3:$A$5001,"&gt;="&amp;$C$7,Base!$A$3:$A$5001,"&lt;="&amp;$B137,Base!$W$3:$W$5001,"&lt;&gt;"))))</f>
        <v/>
      </c>
      <c r="E137" t="str">
        <f>IF($A137&gt;$B$9,"",IF(COUNTIFS(Base!$B$3:$B$5001,E$127,Base!$A$3:$A$5001,"&gt;="&amp;$C$7,Base!$A$3:$A$5001,"&lt;="&amp;$B137,Base!$W$3:$W$5001,"&lt;&gt;")=0,"",SUMIFS(Base!$W$3:$W$5001,Base!$B$3:$B$5001,E$127,Base!$A$3:$A$5001,_xlfn.MAXIFS(Base!$A$3:$A$5001,Base!$B$3:$B$5001,E$127,Base!$A$3:$A$5001,"&gt;="&amp;$C$7,Base!$A$3:$A$5001,"&lt;="&amp;$B137,Base!$W$3:$W$5001,"&lt;&gt;"))))</f>
        <v/>
      </c>
      <c r="F137" t="str">
        <f>IF($A137&gt;$B$9,"",IF(COUNTIFS(Base!$B$3:$B$5001,F$127,Base!$A$3:$A$5001,"&gt;="&amp;$C$7,Base!$A$3:$A$5001,"&lt;="&amp;$B137,Base!$W$3:$W$5001,"&lt;&gt;")=0,"",SUMIFS(Base!$W$3:$W$5001,Base!$B$3:$B$5001,F$127,Base!$A$3:$A$5001,_xlfn.MAXIFS(Base!$A$3:$A$5001,Base!$B$3:$B$5001,F$127,Base!$A$3:$A$5001,"&gt;="&amp;$C$7,Base!$A$3:$A$5001,"&lt;="&amp;$B137,Base!$W$3:$W$5001,"&lt;&gt;"))))</f>
        <v/>
      </c>
      <c r="G137" t="str">
        <f>IF($A137&gt;$B$9,"",IF(COUNTIFS(Base!$B$3:$B$5001,G$127,Base!$A$3:$A$5001,"&gt;="&amp;$C$7,Base!$A$3:$A$5001,"&lt;="&amp;$B137,Base!$W$3:$W$5001,"&lt;&gt;")=0,"",SUMIFS(Base!$W$3:$W$5001,Base!$B$3:$B$5001,G$127,Base!$A$3:$A$5001,_xlfn.MAXIFS(Base!$A$3:$A$5001,Base!$B$3:$B$5001,G$127,Base!$A$3:$A$5001,"&gt;="&amp;$C$7,Base!$A$3:$A$5001,"&lt;="&amp;$B137,Base!$W$3:$W$5001,"&lt;&gt;"))))</f>
        <v/>
      </c>
      <c r="H137" t="str">
        <f>IF($A137&gt;$B$9,"",IF(COUNTIFS(Base!$B$3:$B$5001,H$127,Base!$A$3:$A$5001,"&gt;="&amp;$C$7,Base!$A$3:$A$5001,"&lt;="&amp;$B137,Base!$W$3:$W$5001,"&lt;&gt;")=0,"",SUMIFS(Base!$W$3:$W$5001,Base!$B$3:$B$5001,H$127,Base!$A$3:$A$5001,_xlfn.MAXIFS(Base!$A$3:$A$5001,Base!$B$3:$B$5001,H$127,Base!$A$3:$A$5001,"&gt;="&amp;$C$7,Base!$A$3:$A$5001,"&lt;="&amp;$B137,Base!$W$3:$W$5001,"&lt;&gt;"))))</f>
        <v/>
      </c>
      <c r="I137" t="str">
        <f>IF($A137&gt;$B$9,"",IF(COUNTIFS(Base!$B$3:$B$5001,I$127,Base!$A$3:$A$5001,"&gt;="&amp;$C$7,Base!$A$3:$A$5001,"&lt;="&amp;$B137,Base!$W$3:$W$5001,"&lt;&gt;")=0,"",SUMIFS(Base!$W$3:$W$5001,Base!$B$3:$B$5001,I$127,Base!$A$3:$A$5001,_xlfn.MAXIFS(Base!$A$3:$A$5001,Base!$B$3:$B$5001,I$127,Base!$A$3:$A$5001,"&gt;="&amp;$C$7,Base!$A$3:$A$5001,"&lt;="&amp;$B137,Base!$W$3:$W$5001,"&lt;&gt;"))))</f>
        <v/>
      </c>
      <c r="J137" t="str">
        <f>IF($A137&gt;$B$9,"",IF(COUNTIFS(Base!$B$3:$B$5001,J$127,Base!$A$3:$A$5001,"&gt;="&amp;$C$7,Base!$A$3:$A$5001,"&lt;="&amp;$B137,Base!$W$3:$W$5001,"&lt;&gt;")=0,"",SUMIFS(Base!$W$3:$W$5001,Base!$B$3:$B$5001,J$127,Base!$A$3:$A$5001,_xlfn.MAXIFS(Base!$A$3:$A$5001,Base!$B$3:$B$5001,J$127,Base!$A$3:$A$5001,"&gt;="&amp;$C$7,Base!$A$3:$A$5001,"&lt;="&amp;$B137,Base!$W$3:$W$5001,"&lt;&gt;"))))</f>
        <v/>
      </c>
      <c r="K137" t="str">
        <f>IF($A137&gt;$B$9,"",IF(COUNTIFS(Base!$B$3:$B$5001,K$127,Base!$A$3:$A$5001,"&gt;="&amp;$C$7,Base!$A$3:$A$5001,"&lt;="&amp;$B137,Base!$W$3:$W$5001,"&lt;&gt;")=0,"",SUMIFS(Base!$W$3:$W$5001,Base!$B$3:$B$5001,K$127,Base!$A$3:$A$5001,_xlfn.MAXIFS(Base!$A$3:$A$5001,Base!$B$3:$B$5001,K$127,Base!$A$3:$A$5001,"&gt;="&amp;$C$7,Base!$A$3:$A$5001,"&lt;="&amp;$B137,Base!$W$3:$W$5001,"&lt;&gt;"))))</f>
        <v/>
      </c>
    </row>
    <row r="138">
      <c r="A138">
        <v>11</v>
      </c>
      <c r="B138" s="152">
        <f>$B$22</f>
        <v>46276</v>
      </c>
      <c r="C138" t="str">
        <f>IF($A138&gt;$B$9,"",IF(COUNTIFS(Base!$B$3:$B$5001,C$127,Base!$A$3:$A$5001,"&gt;="&amp;$C$7,Base!$A$3:$A$5001,"&lt;="&amp;$B138,Base!$W$3:$W$5001,"&lt;&gt;")=0,"",SUMIFS(Base!$W$3:$W$5001,Base!$B$3:$B$5001,C$127,Base!$A$3:$A$5001,_xlfn.MAXIFS(Base!$A$3:$A$5001,Base!$B$3:$B$5001,C$127,Base!$A$3:$A$5001,"&gt;="&amp;$C$7,Base!$A$3:$A$5001,"&lt;="&amp;$B138,Base!$W$3:$W$5001,"&lt;&gt;"))))</f>
        <v/>
      </c>
      <c r="D138" t="str">
        <f>IF($A138&gt;$B$9,"",IF(COUNTIFS(Base!$B$3:$B$5001,D$127,Base!$A$3:$A$5001,"&gt;="&amp;$C$7,Base!$A$3:$A$5001,"&lt;="&amp;$B138,Base!$W$3:$W$5001,"&lt;&gt;")=0,"",SUMIFS(Base!$W$3:$W$5001,Base!$B$3:$B$5001,D$127,Base!$A$3:$A$5001,_xlfn.MAXIFS(Base!$A$3:$A$5001,Base!$B$3:$B$5001,D$127,Base!$A$3:$A$5001,"&gt;="&amp;$C$7,Base!$A$3:$A$5001,"&lt;="&amp;$B138,Base!$W$3:$W$5001,"&lt;&gt;"))))</f>
        <v/>
      </c>
      <c r="E138" t="str">
        <f>IF($A138&gt;$B$9,"",IF(COUNTIFS(Base!$B$3:$B$5001,E$127,Base!$A$3:$A$5001,"&gt;="&amp;$C$7,Base!$A$3:$A$5001,"&lt;="&amp;$B138,Base!$W$3:$W$5001,"&lt;&gt;")=0,"",SUMIFS(Base!$W$3:$W$5001,Base!$B$3:$B$5001,E$127,Base!$A$3:$A$5001,_xlfn.MAXIFS(Base!$A$3:$A$5001,Base!$B$3:$B$5001,E$127,Base!$A$3:$A$5001,"&gt;="&amp;$C$7,Base!$A$3:$A$5001,"&lt;="&amp;$B138,Base!$W$3:$W$5001,"&lt;&gt;"))))</f>
        <v/>
      </c>
      <c r="F138" t="str">
        <f>IF($A138&gt;$B$9,"",IF(COUNTIFS(Base!$B$3:$B$5001,F$127,Base!$A$3:$A$5001,"&gt;="&amp;$C$7,Base!$A$3:$A$5001,"&lt;="&amp;$B138,Base!$W$3:$W$5001,"&lt;&gt;")=0,"",SUMIFS(Base!$W$3:$W$5001,Base!$B$3:$B$5001,F$127,Base!$A$3:$A$5001,_xlfn.MAXIFS(Base!$A$3:$A$5001,Base!$B$3:$B$5001,F$127,Base!$A$3:$A$5001,"&gt;="&amp;$C$7,Base!$A$3:$A$5001,"&lt;="&amp;$B138,Base!$W$3:$W$5001,"&lt;&gt;"))))</f>
        <v/>
      </c>
      <c r="G138" t="str">
        <f>IF($A138&gt;$B$9,"",IF(COUNTIFS(Base!$B$3:$B$5001,G$127,Base!$A$3:$A$5001,"&gt;="&amp;$C$7,Base!$A$3:$A$5001,"&lt;="&amp;$B138,Base!$W$3:$W$5001,"&lt;&gt;")=0,"",SUMIFS(Base!$W$3:$W$5001,Base!$B$3:$B$5001,G$127,Base!$A$3:$A$5001,_xlfn.MAXIFS(Base!$A$3:$A$5001,Base!$B$3:$B$5001,G$127,Base!$A$3:$A$5001,"&gt;="&amp;$C$7,Base!$A$3:$A$5001,"&lt;="&amp;$B138,Base!$W$3:$W$5001,"&lt;&gt;"))))</f>
        <v/>
      </c>
      <c r="H138" t="str">
        <f>IF($A138&gt;$B$9,"",IF(COUNTIFS(Base!$B$3:$B$5001,H$127,Base!$A$3:$A$5001,"&gt;="&amp;$C$7,Base!$A$3:$A$5001,"&lt;="&amp;$B138,Base!$W$3:$W$5001,"&lt;&gt;")=0,"",SUMIFS(Base!$W$3:$W$5001,Base!$B$3:$B$5001,H$127,Base!$A$3:$A$5001,_xlfn.MAXIFS(Base!$A$3:$A$5001,Base!$B$3:$B$5001,H$127,Base!$A$3:$A$5001,"&gt;="&amp;$C$7,Base!$A$3:$A$5001,"&lt;="&amp;$B138,Base!$W$3:$W$5001,"&lt;&gt;"))))</f>
        <v/>
      </c>
      <c r="I138" t="str">
        <f>IF($A138&gt;$B$9,"",IF(COUNTIFS(Base!$B$3:$B$5001,I$127,Base!$A$3:$A$5001,"&gt;="&amp;$C$7,Base!$A$3:$A$5001,"&lt;="&amp;$B138,Base!$W$3:$W$5001,"&lt;&gt;")=0,"",SUMIFS(Base!$W$3:$W$5001,Base!$B$3:$B$5001,I$127,Base!$A$3:$A$5001,_xlfn.MAXIFS(Base!$A$3:$A$5001,Base!$B$3:$B$5001,I$127,Base!$A$3:$A$5001,"&gt;="&amp;$C$7,Base!$A$3:$A$5001,"&lt;="&amp;$B138,Base!$W$3:$W$5001,"&lt;&gt;"))))</f>
        <v/>
      </c>
      <c r="J138" t="str">
        <f>IF($A138&gt;$B$9,"",IF(COUNTIFS(Base!$B$3:$B$5001,J$127,Base!$A$3:$A$5001,"&gt;="&amp;$C$7,Base!$A$3:$A$5001,"&lt;="&amp;$B138,Base!$W$3:$W$5001,"&lt;&gt;")=0,"",SUMIFS(Base!$W$3:$W$5001,Base!$B$3:$B$5001,J$127,Base!$A$3:$A$5001,_xlfn.MAXIFS(Base!$A$3:$A$5001,Base!$B$3:$B$5001,J$127,Base!$A$3:$A$5001,"&gt;="&amp;$C$7,Base!$A$3:$A$5001,"&lt;="&amp;$B138,Base!$W$3:$W$5001,"&lt;&gt;"))))</f>
        <v/>
      </c>
      <c r="K138" t="str">
        <f>IF($A138&gt;$B$9,"",IF(COUNTIFS(Base!$B$3:$B$5001,K$127,Base!$A$3:$A$5001,"&gt;="&amp;$C$7,Base!$A$3:$A$5001,"&lt;="&amp;$B138,Base!$W$3:$W$5001,"&lt;&gt;")=0,"",SUMIFS(Base!$W$3:$W$5001,Base!$B$3:$B$5001,K$127,Base!$A$3:$A$5001,_xlfn.MAXIFS(Base!$A$3:$A$5001,Base!$B$3:$B$5001,K$127,Base!$A$3:$A$5001,"&gt;="&amp;$C$7,Base!$A$3:$A$5001,"&lt;="&amp;$B138,Base!$W$3:$W$5001,"&lt;&gt;"))))</f>
        <v/>
      </c>
    </row>
    <row r="139">
      <c r="A139">
        <v>12</v>
      </c>
      <c r="B139" s="152">
        <f>$B$23</f>
        <v>46277</v>
      </c>
      <c r="C139" t="str">
        <f>IF($A139&gt;$B$9,"",IF(COUNTIFS(Base!$B$3:$B$5001,C$127,Base!$A$3:$A$5001,"&gt;="&amp;$C$7,Base!$A$3:$A$5001,"&lt;="&amp;$B139,Base!$W$3:$W$5001,"&lt;&gt;")=0,"",SUMIFS(Base!$W$3:$W$5001,Base!$B$3:$B$5001,C$127,Base!$A$3:$A$5001,_xlfn.MAXIFS(Base!$A$3:$A$5001,Base!$B$3:$B$5001,C$127,Base!$A$3:$A$5001,"&gt;="&amp;$C$7,Base!$A$3:$A$5001,"&lt;="&amp;$B139,Base!$W$3:$W$5001,"&lt;&gt;"))))</f>
        <v/>
      </c>
      <c r="D139" t="str">
        <f>IF($A139&gt;$B$9,"",IF(COUNTIFS(Base!$B$3:$B$5001,D$127,Base!$A$3:$A$5001,"&gt;="&amp;$C$7,Base!$A$3:$A$5001,"&lt;="&amp;$B139,Base!$W$3:$W$5001,"&lt;&gt;")=0,"",SUMIFS(Base!$W$3:$W$5001,Base!$B$3:$B$5001,D$127,Base!$A$3:$A$5001,_xlfn.MAXIFS(Base!$A$3:$A$5001,Base!$B$3:$B$5001,D$127,Base!$A$3:$A$5001,"&gt;="&amp;$C$7,Base!$A$3:$A$5001,"&lt;="&amp;$B139,Base!$W$3:$W$5001,"&lt;&gt;"))))</f>
        <v/>
      </c>
      <c r="E139" t="str">
        <f>IF($A139&gt;$B$9,"",IF(COUNTIFS(Base!$B$3:$B$5001,E$127,Base!$A$3:$A$5001,"&gt;="&amp;$C$7,Base!$A$3:$A$5001,"&lt;="&amp;$B139,Base!$W$3:$W$5001,"&lt;&gt;")=0,"",SUMIFS(Base!$W$3:$W$5001,Base!$B$3:$B$5001,E$127,Base!$A$3:$A$5001,_xlfn.MAXIFS(Base!$A$3:$A$5001,Base!$B$3:$B$5001,E$127,Base!$A$3:$A$5001,"&gt;="&amp;$C$7,Base!$A$3:$A$5001,"&lt;="&amp;$B139,Base!$W$3:$W$5001,"&lt;&gt;"))))</f>
        <v/>
      </c>
      <c r="F139" t="str">
        <f>IF($A139&gt;$B$9,"",IF(COUNTIFS(Base!$B$3:$B$5001,F$127,Base!$A$3:$A$5001,"&gt;="&amp;$C$7,Base!$A$3:$A$5001,"&lt;="&amp;$B139,Base!$W$3:$W$5001,"&lt;&gt;")=0,"",SUMIFS(Base!$W$3:$W$5001,Base!$B$3:$B$5001,F$127,Base!$A$3:$A$5001,_xlfn.MAXIFS(Base!$A$3:$A$5001,Base!$B$3:$B$5001,F$127,Base!$A$3:$A$5001,"&gt;="&amp;$C$7,Base!$A$3:$A$5001,"&lt;="&amp;$B139,Base!$W$3:$W$5001,"&lt;&gt;"))))</f>
        <v/>
      </c>
      <c r="G139" t="str">
        <f>IF($A139&gt;$B$9,"",IF(COUNTIFS(Base!$B$3:$B$5001,G$127,Base!$A$3:$A$5001,"&gt;="&amp;$C$7,Base!$A$3:$A$5001,"&lt;="&amp;$B139,Base!$W$3:$W$5001,"&lt;&gt;")=0,"",SUMIFS(Base!$W$3:$W$5001,Base!$B$3:$B$5001,G$127,Base!$A$3:$A$5001,_xlfn.MAXIFS(Base!$A$3:$A$5001,Base!$B$3:$B$5001,G$127,Base!$A$3:$A$5001,"&gt;="&amp;$C$7,Base!$A$3:$A$5001,"&lt;="&amp;$B139,Base!$W$3:$W$5001,"&lt;&gt;"))))</f>
        <v/>
      </c>
      <c r="H139" t="str">
        <f>IF($A139&gt;$B$9,"",IF(COUNTIFS(Base!$B$3:$B$5001,H$127,Base!$A$3:$A$5001,"&gt;="&amp;$C$7,Base!$A$3:$A$5001,"&lt;="&amp;$B139,Base!$W$3:$W$5001,"&lt;&gt;")=0,"",SUMIFS(Base!$W$3:$W$5001,Base!$B$3:$B$5001,H$127,Base!$A$3:$A$5001,_xlfn.MAXIFS(Base!$A$3:$A$5001,Base!$B$3:$B$5001,H$127,Base!$A$3:$A$5001,"&gt;="&amp;$C$7,Base!$A$3:$A$5001,"&lt;="&amp;$B139,Base!$W$3:$W$5001,"&lt;&gt;"))))</f>
        <v/>
      </c>
      <c r="I139" t="str">
        <f>IF($A139&gt;$B$9,"",IF(COUNTIFS(Base!$B$3:$B$5001,I$127,Base!$A$3:$A$5001,"&gt;="&amp;$C$7,Base!$A$3:$A$5001,"&lt;="&amp;$B139,Base!$W$3:$W$5001,"&lt;&gt;")=0,"",SUMIFS(Base!$W$3:$W$5001,Base!$B$3:$B$5001,I$127,Base!$A$3:$A$5001,_xlfn.MAXIFS(Base!$A$3:$A$5001,Base!$B$3:$B$5001,I$127,Base!$A$3:$A$5001,"&gt;="&amp;$C$7,Base!$A$3:$A$5001,"&lt;="&amp;$B139,Base!$W$3:$W$5001,"&lt;&gt;"))))</f>
        <v/>
      </c>
      <c r="J139" t="str">
        <f>IF($A139&gt;$B$9,"",IF(COUNTIFS(Base!$B$3:$B$5001,J$127,Base!$A$3:$A$5001,"&gt;="&amp;$C$7,Base!$A$3:$A$5001,"&lt;="&amp;$B139,Base!$W$3:$W$5001,"&lt;&gt;")=0,"",SUMIFS(Base!$W$3:$W$5001,Base!$B$3:$B$5001,J$127,Base!$A$3:$A$5001,_xlfn.MAXIFS(Base!$A$3:$A$5001,Base!$B$3:$B$5001,J$127,Base!$A$3:$A$5001,"&gt;="&amp;$C$7,Base!$A$3:$A$5001,"&lt;="&amp;$B139,Base!$W$3:$W$5001,"&lt;&gt;"))))</f>
        <v/>
      </c>
      <c r="K139" t="str">
        <f>IF($A139&gt;$B$9,"",IF(COUNTIFS(Base!$B$3:$B$5001,K$127,Base!$A$3:$A$5001,"&gt;="&amp;$C$7,Base!$A$3:$A$5001,"&lt;="&amp;$B139,Base!$W$3:$W$5001,"&lt;&gt;")=0,"",SUMIFS(Base!$W$3:$W$5001,Base!$B$3:$B$5001,K$127,Base!$A$3:$A$5001,_xlfn.MAXIFS(Base!$A$3:$A$5001,Base!$B$3:$B$5001,K$127,Base!$A$3:$A$5001,"&gt;="&amp;$C$7,Base!$A$3:$A$5001,"&lt;="&amp;$B139,Base!$W$3:$W$5001,"&lt;&gt;"))))</f>
        <v/>
      </c>
    </row>
    <row r="140">
      <c r="A140">
        <v>13</v>
      </c>
      <c r="B140" s="152">
        <f>$B$24</f>
        <v>46278</v>
      </c>
      <c r="C140" t="str">
        <f>IF($A140&gt;$B$9,"",IF(COUNTIFS(Base!$B$3:$B$5001,C$127,Base!$A$3:$A$5001,"&gt;="&amp;$C$7,Base!$A$3:$A$5001,"&lt;="&amp;$B140,Base!$W$3:$W$5001,"&lt;&gt;")=0,"",SUMIFS(Base!$W$3:$W$5001,Base!$B$3:$B$5001,C$127,Base!$A$3:$A$5001,_xlfn.MAXIFS(Base!$A$3:$A$5001,Base!$B$3:$B$5001,C$127,Base!$A$3:$A$5001,"&gt;="&amp;$C$7,Base!$A$3:$A$5001,"&lt;="&amp;$B140,Base!$W$3:$W$5001,"&lt;&gt;"))))</f>
        <v/>
      </c>
      <c r="D140" t="str">
        <f>IF($A140&gt;$B$9,"",IF(COUNTIFS(Base!$B$3:$B$5001,D$127,Base!$A$3:$A$5001,"&gt;="&amp;$C$7,Base!$A$3:$A$5001,"&lt;="&amp;$B140,Base!$W$3:$W$5001,"&lt;&gt;")=0,"",SUMIFS(Base!$W$3:$W$5001,Base!$B$3:$B$5001,D$127,Base!$A$3:$A$5001,_xlfn.MAXIFS(Base!$A$3:$A$5001,Base!$B$3:$B$5001,D$127,Base!$A$3:$A$5001,"&gt;="&amp;$C$7,Base!$A$3:$A$5001,"&lt;="&amp;$B140,Base!$W$3:$W$5001,"&lt;&gt;"))))</f>
        <v/>
      </c>
      <c r="E140" t="str">
        <f>IF($A140&gt;$B$9,"",IF(COUNTIFS(Base!$B$3:$B$5001,E$127,Base!$A$3:$A$5001,"&gt;="&amp;$C$7,Base!$A$3:$A$5001,"&lt;="&amp;$B140,Base!$W$3:$W$5001,"&lt;&gt;")=0,"",SUMIFS(Base!$W$3:$W$5001,Base!$B$3:$B$5001,E$127,Base!$A$3:$A$5001,_xlfn.MAXIFS(Base!$A$3:$A$5001,Base!$B$3:$B$5001,E$127,Base!$A$3:$A$5001,"&gt;="&amp;$C$7,Base!$A$3:$A$5001,"&lt;="&amp;$B140,Base!$W$3:$W$5001,"&lt;&gt;"))))</f>
        <v/>
      </c>
      <c r="F140" t="str">
        <f>IF($A140&gt;$B$9,"",IF(COUNTIFS(Base!$B$3:$B$5001,F$127,Base!$A$3:$A$5001,"&gt;="&amp;$C$7,Base!$A$3:$A$5001,"&lt;="&amp;$B140,Base!$W$3:$W$5001,"&lt;&gt;")=0,"",SUMIFS(Base!$W$3:$W$5001,Base!$B$3:$B$5001,F$127,Base!$A$3:$A$5001,_xlfn.MAXIFS(Base!$A$3:$A$5001,Base!$B$3:$B$5001,F$127,Base!$A$3:$A$5001,"&gt;="&amp;$C$7,Base!$A$3:$A$5001,"&lt;="&amp;$B140,Base!$W$3:$W$5001,"&lt;&gt;"))))</f>
        <v/>
      </c>
      <c r="G140" t="str">
        <f>IF($A140&gt;$B$9,"",IF(COUNTIFS(Base!$B$3:$B$5001,G$127,Base!$A$3:$A$5001,"&gt;="&amp;$C$7,Base!$A$3:$A$5001,"&lt;="&amp;$B140,Base!$W$3:$W$5001,"&lt;&gt;")=0,"",SUMIFS(Base!$W$3:$W$5001,Base!$B$3:$B$5001,G$127,Base!$A$3:$A$5001,_xlfn.MAXIFS(Base!$A$3:$A$5001,Base!$B$3:$B$5001,G$127,Base!$A$3:$A$5001,"&gt;="&amp;$C$7,Base!$A$3:$A$5001,"&lt;="&amp;$B140,Base!$W$3:$W$5001,"&lt;&gt;"))))</f>
        <v/>
      </c>
      <c r="H140" t="str">
        <f>IF($A140&gt;$B$9,"",IF(COUNTIFS(Base!$B$3:$B$5001,H$127,Base!$A$3:$A$5001,"&gt;="&amp;$C$7,Base!$A$3:$A$5001,"&lt;="&amp;$B140,Base!$W$3:$W$5001,"&lt;&gt;")=0,"",SUMIFS(Base!$W$3:$W$5001,Base!$B$3:$B$5001,H$127,Base!$A$3:$A$5001,_xlfn.MAXIFS(Base!$A$3:$A$5001,Base!$B$3:$B$5001,H$127,Base!$A$3:$A$5001,"&gt;="&amp;$C$7,Base!$A$3:$A$5001,"&lt;="&amp;$B140,Base!$W$3:$W$5001,"&lt;&gt;"))))</f>
        <v/>
      </c>
      <c r="I140" t="str">
        <f>IF($A140&gt;$B$9,"",IF(COUNTIFS(Base!$B$3:$B$5001,I$127,Base!$A$3:$A$5001,"&gt;="&amp;$C$7,Base!$A$3:$A$5001,"&lt;="&amp;$B140,Base!$W$3:$W$5001,"&lt;&gt;")=0,"",SUMIFS(Base!$W$3:$W$5001,Base!$B$3:$B$5001,I$127,Base!$A$3:$A$5001,_xlfn.MAXIFS(Base!$A$3:$A$5001,Base!$B$3:$B$5001,I$127,Base!$A$3:$A$5001,"&gt;="&amp;$C$7,Base!$A$3:$A$5001,"&lt;="&amp;$B140,Base!$W$3:$W$5001,"&lt;&gt;"))))</f>
        <v/>
      </c>
      <c r="J140" t="str">
        <f>IF($A140&gt;$B$9,"",IF(COUNTIFS(Base!$B$3:$B$5001,J$127,Base!$A$3:$A$5001,"&gt;="&amp;$C$7,Base!$A$3:$A$5001,"&lt;="&amp;$B140,Base!$W$3:$W$5001,"&lt;&gt;")=0,"",SUMIFS(Base!$W$3:$W$5001,Base!$B$3:$B$5001,J$127,Base!$A$3:$A$5001,_xlfn.MAXIFS(Base!$A$3:$A$5001,Base!$B$3:$B$5001,J$127,Base!$A$3:$A$5001,"&gt;="&amp;$C$7,Base!$A$3:$A$5001,"&lt;="&amp;$B140,Base!$W$3:$W$5001,"&lt;&gt;"))))</f>
        <v/>
      </c>
      <c r="K140" t="str">
        <f>IF($A140&gt;$B$9,"",IF(COUNTIFS(Base!$B$3:$B$5001,K$127,Base!$A$3:$A$5001,"&gt;="&amp;$C$7,Base!$A$3:$A$5001,"&lt;="&amp;$B140,Base!$W$3:$W$5001,"&lt;&gt;")=0,"",SUMIFS(Base!$W$3:$W$5001,Base!$B$3:$B$5001,K$127,Base!$A$3:$A$5001,_xlfn.MAXIFS(Base!$A$3:$A$5001,Base!$B$3:$B$5001,K$127,Base!$A$3:$A$5001,"&gt;="&amp;$C$7,Base!$A$3:$A$5001,"&lt;="&amp;$B140,Base!$W$3:$W$5001,"&lt;&gt;"))))</f>
        <v/>
      </c>
    </row>
    <row r="141">
      <c r="A141">
        <v>14</v>
      </c>
      <c r="B141" s="152">
        <f>$B$25</f>
        <v>46279</v>
      </c>
      <c r="C141" t="str">
        <f>IF($A141&gt;$B$9,"",IF(COUNTIFS(Base!$B$3:$B$5001,C$127,Base!$A$3:$A$5001,"&gt;="&amp;$C$7,Base!$A$3:$A$5001,"&lt;="&amp;$B141,Base!$W$3:$W$5001,"&lt;&gt;")=0,"",SUMIFS(Base!$W$3:$W$5001,Base!$B$3:$B$5001,C$127,Base!$A$3:$A$5001,_xlfn.MAXIFS(Base!$A$3:$A$5001,Base!$B$3:$B$5001,C$127,Base!$A$3:$A$5001,"&gt;="&amp;$C$7,Base!$A$3:$A$5001,"&lt;="&amp;$B141,Base!$W$3:$W$5001,"&lt;&gt;"))))</f>
        <v/>
      </c>
      <c r="D141" t="str">
        <f>IF($A141&gt;$B$9,"",IF(COUNTIFS(Base!$B$3:$B$5001,D$127,Base!$A$3:$A$5001,"&gt;="&amp;$C$7,Base!$A$3:$A$5001,"&lt;="&amp;$B141,Base!$W$3:$W$5001,"&lt;&gt;")=0,"",SUMIFS(Base!$W$3:$W$5001,Base!$B$3:$B$5001,D$127,Base!$A$3:$A$5001,_xlfn.MAXIFS(Base!$A$3:$A$5001,Base!$B$3:$B$5001,D$127,Base!$A$3:$A$5001,"&gt;="&amp;$C$7,Base!$A$3:$A$5001,"&lt;="&amp;$B141,Base!$W$3:$W$5001,"&lt;&gt;"))))</f>
        <v/>
      </c>
      <c r="E141" t="str">
        <f>IF($A141&gt;$B$9,"",IF(COUNTIFS(Base!$B$3:$B$5001,E$127,Base!$A$3:$A$5001,"&gt;="&amp;$C$7,Base!$A$3:$A$5001,"&lt;="&amp;$B141,Base!$W$3:$W$5001,"&lt;&gt;")=0,"",SUMIFS(Base!$W$3:$W$5001,Base!$B$3:$B$5001,E$127,Base!$A$3:$A$5001,_xlfn.MAXIFS(Base!$A$3:$A$5001,Base!$B$3:$B$5001,E$127,Base!$A$3:$A$5001,"&gt;="&amp;$C$7,Base!$A$3:$A$5001,"&lt;="&amp;$B141,Base!$W$3:$W$5001,"&lt;&gt;"))))</f>
        <v/>
      </c>
      <c r="F141" t="str">
        <f>IF($A141&gt;$B$9,"",IF(COUNTIFS(Base!$B$3:$B$5001,F$127,Base!$A$3:$A$5001,"&gt;="&amp;$C$7,Base!$A$3:$A$5001,"&lt;="&amp;$B141,Base!$W$3:$W$5001,"&lt;&gt;")=0,"",SUMIFS(Base!$W$3:$W$5001,Base!$B$3:$B$5001,F$127,Base!$A$3:$A$5001,_xlfn.MAXIFS(Base!$A$3:$A$5001,Base!$B$3:$B$5001,F$127,Base!$A$3:$A$5001,"&gt;="&amp;$C$7,Base!$A$3:$A$5001,"&lt;="&amp;$B141,Base!$W$3:$W$5001,"&lt;&gt;"))))</f>
        <v/>
      </c>
      <c r="G141" t="str">
        <f>IF($A141&gt;$B$9,"",IF(COUNTIFS(Base!$B$3:$B$5001,G$127,Base!$A$3:$A$5001,"&gt;="&amp;$C$7,Base!$A$3:$A$5001,"&lt;="&amp;$B141,Base!$W$3:$W$5001,"&lt;&gt;")=0,"",SUMIFS(Base!$W$3:$W$5001,Base!$B$3:$B$5001,G$127,Base!$A$3:$A$5001,_xlfn.MAXIFS(Base!$A$3:$A$5001,Base!$B$3:$B$5001,G$127,Base!$A$3:$A$5001,"&gt;="&amp;$C$7,Base!$A$3:$A$5001,"&lt;="&amp;$B141,Base!$W$3:$W$5001,"&lt;&gt;"))))</f>
        <v/>
      </c>
      <c r="H141" t="str">
        <f>IF($A141&gt;$B$9,"",IF(COUNTIFS(Base!$B$3:$B$5001,H$127,Base!$A$3:$A$5001,"&gt;="&amp;$C$7,Base!$A$3:$A$5001,"&lt;="&amp;$B141,Base!$W$3:$W$5001,"&lt;&gt;")=0,"",SUMIFS(Base!$W$3:$W$5001,Base!$B$3:$B$5001,H$127,Base!$A$3:$A$5001,_xlfn.MAXIFS(Base!$A$3:$A$5001,Base!$B$3:$B$5001,H$127,Base!$A$3:$A$5001,"&gt;="&amp;$C$7,Base!$A$3:$A$5001,"&lt;="&amp;$B141,Base!$W$3:$W$5001,"&lt;&gt;"))))</f>
        <v/>
      </c>
      <c r="I141" t="str">
        <f>IF($A141&gt;$B$9,"",IF(COUNTIFS(Base!$B$3:$B$5001,I$127,Base!$A$3:$A$5001,"&gt;="&amp;$C$7,Base!$A$3:$A$5001,"&lt;="&amp;$B141,Base!$W$3:$W$5001,"&lt;&gt;")=0,"",SUMIFS(Base!$W$3:$W$5001,Base!$B$3:$B$5001,I$127,Base!$A$3:$A$5001,_xlfn.MAXIFS(Base!$A$3:$A$5001,Base!$B$3:$B$5001,I$127,Base!$A$3:$A$5001,"&gt;="&amp;$C$7,Base!$A$3:$A$5001,"&lt;="&amp;$B141,Base!$W$3:$W$5001,"&lt;&gt;"))))</f>
        <v/>
      </c>
      <c r="J141" t="str">
        <f>IF($A141&gt;$B$9,"",IF(COUNTIFS(Base!$B$3:$B$5001,J$127,Base!$A$3:$A$5001,"&gt;="&amp;$C$7,Base!$A$3:$A$5001,"&lt;="&amp;$B141,Base!$W$3:$W$5001,"&lt;&gt;")=0,"",SUMIFS(Base!$W$3:$W$5001,Base!$B$3:$B$5001,J$127,Base!$A$3:$A$5001,_xlfn.MAXIFS(Base!$A$3:$A$5001,Base!$B$3:$B$5001,J$127,Base!$A$3:$A$5001,"&gt;="&amp;$C$7,Base!$A$3:$A$5001,"&lt;="&amp;$B141,Base!$W$3:$W$5001,"&lt;&gt;"))))</f>
        <v/>
      </c>
      <c r="K141" t="str">
        <f>IF($A141&gt;$B$9,"",IF(COUNTIFS(Base!$B$3:$B$5001,K$127,Base!$A$3:$A$5001,"&gt;="&amp;$C$7,Base!$A$3:$A$5001,"&lt;="&amp;$B141,Base!$W$3:$W$5001,"&lt;&gt;")=0,"",SUMIFS(Base!$W$3:$W$5001,Base!$B$3:$B$5001,K$127,Base!$A$3:$A$5001,_xlfn.MAXIFS(Base!$A$3:$A$5001,Base!$B$3:$B$5001,K$127,Base!$A$3:$A$5001,"&gt;="&amp;$C$7,Base!$A$3:$A$5001,"&lt;="&amp;$B141,Base!$W$3:$W$5001,"&lt;&gt;"))))</f>
        <v/>
      </c>
    </row>
    <row r="142">
      <c r="A142">
        <v>15</v>
      </c>
      <c r="B142" s="152">
        <f>$B$26</f>
        <v>46280</v>
      </c>
      <c r="C142" t="str">
        <f>IF($A142&gt;$B$9,"",IF(COUNTIFS(Base!$B$3:$B$5001,C$127,Base!$A$3:$A$5001,"&gt;="&amp;$C$7,Base!$A$3:$A$5001,"&lt;="&amp;$B142,Base!$W$3:$W$5001,"&lt;&gt;")=0,"",SUMIFS(Base!$W$3:$W$5001,Base!$B$3:$B$5001,C$127,Base!$A$3:$A$5001,_xlfn.MAXIFS(Base!$A$3:$A$5001,Base!$B$3:$B$5001,C$127,Base!$A$3:$A$5001,"&gt;="&amp;$C$7,Base!$A$3:$A$5001,"&lt;="&amp;$B142,Base!$W$3:$W$5001,"&lt;&gt;"))))</f>
        <v/>
      </c>
      <c r="D142" t="str">
        <f>IF($A142&gt;$B$9,"",IF(COUNTIFS(Base!$B$3:$B$5001,D$127,Base!$A$3:$A$5001,"&gt;="&amp;$C$7,Base!$A$3:$A$5001,"&lt;="&amp;$B142,Base!$W$3:$W$5001,"&lt;&gt;")=0,"",SUMIFS(Base!$W$3:$W$5001,Base!$B$3:$B$5001,D$127,Base!$A$3:$A$5001,_xlfn.MAXIFS(Base!$A$3:$A$5001,Base!$B$3:$B$5001,D$127,Base!$A$3:$A$5001,"&gt;="&amp;$C$7,Base!$A$3:$A$5001,"&lt;="&amp;$B142,Base!$W$3:$W$5001,"&lt;&gt;"))))</f>
        <v/>
      </c>
      <c r="E142" t="str">
        <f>IF($A142&gt;$B$9,"",IF(COUNTIFS(Base!$B$3:$B$5001,E$127,Base!$A$3:$A$5001,"&gt;="&amp;$C$7,Base!$A$3:$A$5001,"&lt;="&amp;$B142,Base!$W$3:$W$5001,"&lt;&gt;")=0,"",SUMIFS(Base!$W$3:$W$5001,Base!$B$3:$B$5001,E$127,Base!$A$3:$A$5001,_xlfn.MAXIFS(Base!$A$3:$A$5001,Base!$B$3:$B$5001,E$127,Base!$A$3:$A$5001,"&gt;="&amp;$C$7,Base!$A$3:$A$5001,"&lt;="&amp;$B142,Base!$W$3:$W$5001,"&lt;&gt;"))))</f>
        <v/>
      </c>
      <c r="F142" t="str">
        <f>IF($A142&gt;$B$9,"",IF(COUNTIFS(Base!$B$3:$B$5001,F$127,Base!$A$3:$A$5001,"&gt;="&amp;$C$7,Base!$A$3:$A$5001,"&lt;="&amp;$B142,Base!$W$3:$W$5001,"&lt;&gt;")=0,"",SUMIFS(Base!$W$3:$W$5001,Base!$B$3:$B$5001,F$127,Base!$A$3:$A$5001,_xlfn.MAXIFS(Base!$A$3:$A$5001,Base!$B$3:$B$5001,F$127,Base!$A$3:$A$5001,"&gt;="&amp;$C$7,Base!$A$3:$A$5001,"&lt;="&amp;$B142,Base!$W$3:$W$5001,"&lt;&gt;"))))</f>
        <v/>
      </c>
      <c r="G142" t="str">
        <f>IF($A142&gt;$B$9,"",IF(COUNTIFS(Base!$B$3:$B$5001,G$127,Base!$A$3:$A$5001,"&gt;="&amp;$C$7,Base!$A$3:$A$5001,"&lt;="&amp;$B142,Base!$W$3:$W$5001,"&lt;&gt;")=0,"",SUMIFS(Base!$W$3:$W$5001,Base!$B$3:$B$5001,G$127,Base!$A$3:$A$5001,_xlfn.MAXIFS(Base!$A$3:$A$5001,Base!$B$3:$B$5001,G$127,Base!$A$3:$A$5001,"&gt;="&amp;$C$7,Base!$A$3:$A$5001,"&lt;="&amp;$B142,Base!$W$3:$W$5001,"&lt;&gt;"))))</f>
        <v/>
      </c>
      <c r="H142" t="str">
        <f>IF($A142&gt;$B$9,"",IF(COUNTIFS(Base!$B$3:$B$5001,H$127,Base!$A$3:$A$5001,"&gt;="&amp;$C$7,Base!$A$3:$A$5001,"&lt;="&amp;$B142,Base!$W$3:$W$5001,"&lt;&gt;")=0,"",SUMIFS(Base!$W$3:$W$5001,Base!$B$3:$B$5001,H$127,Base!$A$3:$A$5001,_xlfn.MAXIFS(Base!$A$3:$A$5001,Base!$B$3:$B$5001,H$127,Base!$A$3:$A$5001,"&gt;="&amp;$C$7,Base!$A$3:$A$5001,"&lt;="&amp;$B142,Base!$W$3:$W$5001,"&lt;&gt;"))))</f>
        <v/>
      </c>
      <c r="I142" t="str">
        <f>IF($A142&gt;$B$9,"",IF(COUNTIFS(Base!$B$3:$B$5001,I$127,Base!$A$3:$A$5001,"&gt;="&amp;$C$7,Base!$A$3:$A$5001,"&lt;="&amp;$B142,Base!$W$3:$W$5001,"&lt;&gt;")=0,"",SUMIFS(Base!$W$3:$W$5001,Base!$B$3:$B$5001,I$127,Base!$A$3:$A$5001,_xlfn.MAXIFS(Base!$A$3:$A$5001,Base!$B$3:$B$5001,I$127,Base!$A$3:$A$5001,"&gt;="&amp;$C$7,Base!$A$3:$A$5001,"&lt;="&amp;$B142,Base!$W$3:$W$5001,"&lt;&gt;"))))</f>
        <v/>
      </c>
      <c r="J142" t="str">
        <f>IF($A142&gt;$B$9,"",IF(COUNTIFS(Base!$B$3:$B$5001,J$127,Base!$A$3:$A$5001,"&gt;="&amp;$C$7,Base!$A$3:$A$5001,"&lt;="&amp;$B142,Base!$W$3:$W$5001,"&lt;&gt;")=0,"",SUMIFS(Base!$W$3:$W$5001,Base!$B$3:$B$5001,J$127,Base!$A$3:$A$5001,_xlfn.MAXIFS(Base!$A$3:$A$5001,Base!$B$3:$B$5001,J$127,Base!$A$3:$A$5001,"&gt;="&amp;$C$7,Base!$A$3:$A$5001,"&lt;="&amp;$B142,Base!$W$3:$W$5001,"&lt;&gt;"))))</f>
        <v/>
      </c>
      <c r="K142" t="str">
        <f>IF($A142&gt;$B$9,"",IF(COUNTIFS(Base!$B$3:$B$5001,K$127,Base!$A$3:$A$5001,"&gt;="&amp;$C$7,Base!$A$3:$A$5001,"&lt;="&amp;$B142,Base!$W$3:$W$5001,"&lt;&gt;")=0,"",SUMIFS(Base!$W$3:$W$5001,Base!$B$3:$B$5001,K$127,Base!$A$3:$A$5001,_xlfn.MAXIFS(Base!$A$3:$A$5001,Base!$B$3:$B$5001,K$127,Base!$A$3:$A$5001,"&gt;="&amp;$C$7,Base!$A$3:$A$5001,"&lt;="&amp;$B142,Base!$W$3:$W$5001,"&lt;&gt;"))))</f>
        <v/>
      </c>
    </row>
    <row r="143">
      <c r="A143">
        <v>16</v>
      </c>
      <c r="B143" s="152">
        <f>$B$27</f>
        <v>46281</v>
      </c>
      <c r="C143" t="str">
        <f>IF($A143&gt;$B$9,"",IF(COUNTIFS(Base!$B$3:$B$5001,C$127,Base!$A$3:$A$5001,"&gt;="&amp;$C$7,Base!$A$3:$A$5001,"&lt;="&amp;$B143,Base!$W$3:$W$5001,"&lt;&gt;")=0,"",SUMIFS(Base!$W$3:$W$5001,Base!$B$3:$B$5001,C$127,Base!$A$3:$A$5001,_xlfn.MAXIFS(Base!$A$3:$A$5001,Base!$B$3:$B$5001,C$127,Base!$A$3:$A$5001,"&gt;="&amp;$C$7,Base!$A$3:$A$5001,"&lt;="&amp;$B143,Base!$W$3:$W$5001,"&lt;&gt;"))))</f>
        <v/>
      </c>
      <c r="D143" t="str">
        <f>IF($A143&gt;$B$9,"",IF(COUNTIFS(Base!$B$3:$B$5001,D$127,Base!$A$3:$A$5001,"&gt;="&amp;$C$7,Base!$A$3:$A$5001,"&lt;="&amp;$B143,Base!$W$3:$W$5001,"&lt;&gt;")=0,"",SUMIFS(Base!$W$3:$W$5001,Base!$B$3:$B$5001,D$127,Base!$A$3:$A$5001,_xlfn.MAXIFS(Base!$A$3:$A$5001,Base!$B$3:$B$5001,D$127,Base!$A$3:$A$5001,"&gt;="&amp;$C$7,Base!$A$3:$A$5001,"&lt;="&amp;$B143,Base!$W$3:$W$5001,"&lt;&gt;"))))</f>
        <v/>
      </c>
      <c r="E143" t="str">
        <f>IF($A143&gt;$B$9,"",IF(COUNTIFS(Base!$B$3:$B$5001,E$127,Base!$A$3:$A$5001,"&gt;="&amp;$C$7,Base!$A$3:$A$5001,"&lt;="&amp;$B143,Base!$W$3:$W$5001,"&lt;&gt;")=0,"",SUMIFS(Base!$W$3:$W$5001,Base!$B$3:$B$5001,E$127,Base!$A$3:$A$5001,_xlfn.MAXIFS(Base!$A$3:$A$5001,Base!$B$3:$B$5001,E$127,Base!$A$3:$A$5001,"&gt;="&amp;$C$7,Base!$A$3:$A$5001,"&lt;="&amp;$B143,Base!$W$3:$W$5001,"&lt;&gt;"))))</f>
        <v/>
      </c>
      <c r="F143" t="str">
        <f>IF($A143&gt;$B$9,"",IF(COUNTIFS(Base!$B$3:$B$5001,F$127,Base!$A$3:$A$5001,"&gt;="&amp;$C$7,Base!$A$3:$A$5001,"&lt;="&amp;$B143,Base!$W$3:$W$5001,"&lt;&gt;")=0,"",SUMIFS(Base!$W$3:$W$5001,Base!$B$3:$B$5001,F$127,Base!$A$3:$A$5001,_xlfn.MAXIFS(Base!$A$3:$A$5001,Base!$B$3:$B$5001,F$127,Base!$A$3:$A$5001,"&gt;="&amp;$C$7,Base!$A$3:$A$5001,"&lt;="&amp;$B143,Base!$W$3:$W$5001,"&lt;&gt;"))))</f>
        <v/>
      </c>
      <c r="G143" t="str">
        <f>IF($A143&gt;$B$9,"",IF(COUNTIFS(Base!$B$3:$B$5001,G$127,Base!$A$3:$A$5001,"&gt;="&amp;$C$7,Base!$A$3:$A$5001,"&lt;="&amp;$B143,Base!$W$3:$W$5001,"&lt;&gt;")=0,"",SUMIFS(Base!$W$3:$W$5001,Base!$B$3:$B$5001,G$127,Base!$A$3:$A$5001,_xlfn.MAXIFS(Base!$A$3:$A$5001,Base!$B$3:$B$5001,G$127,Base!$A$3:$A$5001,"&gt;="&amp;$C$7,Base!$A$3:$A$5001,"&lt;="&amp;$B143,Base!$W$3:$W$5001,"&lt;&gt;"))))</f>
        <v/>
      </c>
      <c r="H143" t="str">
        <f>IF($A143&gt;$B$9,"",IF(COUNTIFS(Base!$B$3:$B$5001,H$127,Base!$A$3:$A$5001,"&gt;="&amp;$C$7,Base!$A$3:$A$5001,"&lt;="&amp;$B143,Base!$W$3:$W$5001,"&lt;&gt;")=0,"",SUMIFS(Base!$W$3:$W$5001,Base!$B$3:$B$5001,H$127,Base!$A$3:$A$5001,_xlfn.MAXIFS(Base!$A$3:$A$5001,Base!$B$3:$B$5001,H$127,Base!$A$3:$A$5001,"&gt;="&amp;$C$7,Base!$A$3:$A$5001,"&lt;="&amp;$B143,Base!$W$3:$W$5001,"&lt;&gt;"))))</f>
        <v/>
      </c>
      <c r="I143" t="str">
        <f>IF($A143&gt;$B$9,"",IF(COUNTIFS(Base!$B$3:$B$5001,I$127,Base!$A$3:$A$5001,"&gt;="&amp;$C$7,Base!$A$3:$A$5001,"&lt;="&amp;$B143,Base!$W$3:$W$5001,"&lt;&gt;")=0,"",SUMIFS(Base!$W$3:$W$5001,Base!$B$3:$B$5001,I$127,Base!$A$3:$A$5001,_xlfn.MAXIFS(Base!$A$3:$A$5001,Base!$B$3:$B$5001,I$127,Base!$A$3:$A$5001,"&gt;="&amp;$C$7,Base!$A$3:$A$5001,"&lt;="&amp;$B143,Base!$W$3:$W$5001,"&lt;&gt;"))))</f>
        <v/>
      </c>
      <c r="J143" t="str">
        <f>IF($A143&gt;$B$9,"",IF(COUNTIFS(Base!$B$3:$B$5001,J$127,Base!$A$3:$A$5001,"&gt;="&amp;$C$7,Base!$A$3:$A$5001,"&lt;="&amp;$B143,Base!$W$3:$W$5001,"&lt;&gt;")=0,"",SUMIFS(Base!$W$3:$W$5001,Base!$B$3:$B$5001,J$127,Base!$A$3:$A$5001,_xlfn.MAXIFS(Base!$A$3:$A$5001,Base!$B$3:$B$5001,J$127,Base!$A$3:$A$5001,"&gt;="&amp;$C$7,Base!$A$3:$A$5001,"&lt;="&amp;$B143,Base!$W$3:$W$5001,"&lt;&gt;"))))</f>
        <v/>
      </c>
      <c r="K143" t="str">
        <f>IF($A143&gt;$B$9,"",IF(COUNTIFS(Base!$B$3:$B$5001,K$127,Base!$A$3:$A$5001,"&gt;="&amp;$C$7,Base!$A$3:$A$5001,"&lt;="&amp;$B143,Base!$W$3:$W$5001,"&lt;&gt;")=0,"",SUMIFS(Base!$W$3:$W$5001,Base!$B$3:$B$5001,K$127,Base!$A$3:$A$5001,_xlfn.MAXIFS(Base!$A$3:$A$5001,Base!$B$3:$B$5001,K$127,Base!$A$3:$A$5001,"&gt;="&amp;$C$7,Base!$A$3:$A$5001,"&lt;="&amp;$B143,Base!$W$3:$W$5001,"&lt;&gt;"))))</f>
        <v/>
      </c>
    </row>
    <row r="144">
      <c r="A144">
        <v>17</v>
      </c>
      <c r="B144" s="152">
        <f>$B$28</f>
        <v>46282</v>
      </c>
      <c r="C144" t="str">
        <f>IF($A144&gt;$B$9,"",IF(COUNTIFS(Base!$B$3:$B$5001,C$127,Base!$A$3:$A$5001,"&gt;="&amp;$C$7,Base!$A$3:$A$5001,"&lt;="&amp;$B144,Base!$W$3:$W$5001,"&lt;&gt;")=0,"",SUMIFS(Base!$W$3:$W$5001,Base!$B$3:$B$5001,C$127,Base!$A$3:$A$5001,_xlfn.MAXIFS(Base!$A$3:$A$5001,Base!$B$3:$B$5001,C$127,Base!$A$3:$A$5001,"&gt;="&amp;$C$7,Base!$A$3:$A$5001,"&lt;="&amp;$B144,Base!$W$3:$W$5001,"&lt;&gt;"))))</f>
        <v/>
      </c>
      <c r="D144" t="str">
        <f>IF($A144&gt;$B$9,"",IF(COUNTIFS(Base!$B$3:$B$5001,D$127,Base!$A$3:$A$5001,"&gt;="&amp;$C$7,Base!$A$3:$A$5001,"&lt;="&amp;$B144,Base!$W$3:$W$5001,"&lt;&gt;")=0,"",SUMIFS(Base!$W$3:$W$5001,Base!$B$3:$B$5001,D$127,Base!$A$3:$A$5001,_xlfn.MAXIFS(Base!$A$3:$A$5001,Base!$B$3:$B$5001,D$127,Base!$A$3:$A$5001,"&gt;="&amp;$C$7,Base!$A$3:$A$5001,"&lt;="&amp;$B144,Base!$W$3:$W$5001,"&lt;&gt;"))))</f>
        <v/>
      </c>
      <c r="E144" t="str">
        <f>IF($A144&gt;$B$9,"",IF(COUNTIFS(Base!$B$3:$B$5001,E$127,Base!$A$3:$A$5001,"&gt;="&amp;$C$7,Base!$A$3:$A$5001,"&lt;="&amp;$B144,Base!$W$3:$W$5001,"&lt;&gt;")=0,"",SUMIFS(Base!$W$3:$W$5001,Base!$B$3:$B$5001,E$127,Base!$A$3:$A$5001,_xlfn.MAXIFS(Base!$A$3:$A$5001,Base!$B$3:$B$5001,E$127,Base!$A$3:$A$5001,"&gt;="&amp;$C$7,Base!$A$3:$A$5001,"&lt;="&amp;$B144,Base!$W$3:$W$5001,"&lt;&gt;"))))</f>
        <v/>
      </c>
      <c r="F144" t="str">
        <f>IF($A144&gt;$B$9,"",IF(COUNTIFS(Base!$B$3:$B$5001,F$127,Base!$A$3:$A$5001,"&gt;="&amp;$C$7,Base!$A$3:$A$5001,"&lt;="&amp;$B144,Base!$W$3:$W$5001,"&lt;&gt;")=0,"",SUMIFS(Base!$W$3:$W$5001,Base!$B$3:$B$5001,F$127,Base!$A$3:$A$5001,_xlfn.MAXIFS(Base!$A$3:$A$5001,Base!$B$3:$B$5001,F$127,Base!$A$3:$A$5001,"&gt;="&amp;$C$7,Base!$A$3:$A$5001,"&lt;="&amp;$B144,Base!$W$3:$W$5001,"&lt;&gt;"))))</f>
        <v/>
      </c>
      <c r="G144" t="str">
        <f>IF($A144&gt;$B$9,"",IF(COUNTIFS(Base!$B$3:$B$5001,G$127,Base!$A$3:$A$5001,"&gt;="&amp;$C$7,Base!$A$3:$A$5001,"&lt;="&amp;$B144,Base!$W$3:$W$5001,"&lt;&gt;")=0,"",SUMIFS(Base!$W$3:$W$5001,Base!$B$3:$B$5001,G$127,Base!$A$3:$A$5001,_xlfn.MAXIFS(Base!$A$3:$A$5001,Base!$B$3:$B$5001,G$127,Base!$A$3:$A$5001,"&gt;="&amp;$C$7,Base!$A$3:$A$5001,"&lt;="&amp;$B144,Base!$W$3:$W$5001,"&lt;&gt;"))))</f>
        <v/>
      </c>
      <c r="H144" t="str">
        <f>IF($A144&gt;$B$9,"",IF(COUNTIFS(Base!$B$3:$B$5001,H$127,Base!$A$3:$A$5001,"&gt;="&amp;$C$7,Base!$A$3:$A$5001,"&lt;="&amp;$B144,Base!$W$3:$W$5001,"&lt;&gt;")=0,"",SUMIFS(Base!$W$3:$W$5001,Base!$B$3:$B$5001,H$127,Base!$A$3:$A$5001,_xlfn.MAXIFS(Base!$A$3:$A$5001,Base!$B$3:$B$5001,H$127,Base!$A$3:$A$5001,"&gt;="&amp;$C$7,Base!$A$3:$A$5001,"&lt;="&amp;$B144,Base!$W$3:$W$5001,"&lt;&gt;"))))</f>
        <v/>
      </c>
      <c r="I144" t="str">
        <f>IF($A144&gt;$B$9,"",IF(COUNTIFS(Base!$B$3:$B$5001,I$127,Base!$A$3:$A$5001,"&gt;="&amp;$C$7,Base!$A$3:$A$5001,"&lt;="&amp;$B144,Base!$W$3:$W$5001,"&lt;&gt;")=0,"",SUMIFS(Base!$W$3:$W$5001,Base!$B$3:$B$5001,I$127,Base!$A$3:$A$5001,_xlfn.MAXIFS(Base!$A$3:$A$5001,Base!$B$3:$B$5001,I$127,Base!$A$3:$A$5001,"&gt;="&amp;$C$7,Base!$A$3:$A$5001,"&lt;="&amp;$B144,Base!$W$3:$W$5001,"&lt;&gt;"))))</f>
        <v/>
      </c>
      <c r="J144" t="str">
        <f>IF($A144&gt;$B$9,"",IF(COUNTIFS(Base!$B$3:$B$5001,J$127,Base!$A$3:$A$5001,"&gt;="&amp;$C$7,Base!$A$3:$A$5001,"&lt;="&amp;$B144,Base!$W$3:$W$5001,"&lt;&gt;")=0,"",SUMIFS(Base!$W$3:$W$5001,Base!$B$3:$B$5001,J$127,Base!$A$3:$A$5001,_xlfn.MAXIFS(Base!$A$3:$A$5001,Base!$B$3:$B$5001,J$127,Base!$A$3:$A$5001,"&gt;="&amp;$C$7,Base!$A$3:$A$5001,"&lt;="&amp;$B144,Base!$W$3:$W$5001,"&lt;&gt;"))))</f>
        <v/>
      </c>
      <c r="K144" t="str">
        <f>IF($A144&gt;$B$9,"",IF(COUNTIFS(Base!$B$3:$B$5001,K$127,Base!$A$3:$A$5001,"&gt;="&amp;$C$7,Base!$A$3:$A$5001,"&lt;="&amp;$B144,Base!$W$3:$W$5001,"&lt;&gt;")=0,"",SUMIFS(Base!$W$3:$W$5001,Base!$B$3:$B$5001,K$127,Base!$A$3:$A$5001,_xlfn.MAXIFS(Base!$A$3:$A$5001,Base!$B$3:$B$5001,K$127,Base!$A$3:$A$5001,"&gt;="&amp;$C$7,Base!$A$3:$A$5001,"&lt;="&amp;$B144,Base!$W$3:$W$5001,"&lt;&gt;"))))</f>
        <v/>
      </c>
    </row>
    <row r="145">
      <c r="A145">
        <v>18</v>
      </c>
      <c r="B145" s="152">
        <f>$B$29</f>
        <v>46283</v>
      </c>
      <c r="C145" t="str">
        <f>IF($A145&gt;$B$9,"",IF(COUNTIFS(Base!$B$3:$B$5001,C$127,Base!$A$3:$A$5001,"&gt;="&amp;$C$7,Base!$A$3:$A$5001,"&lt;="&amp;$B145,Base!$W$3:$W$5001,"&lt;&gt;")=0,"",SUMIFS(Base!$W$3:$W$5001,Base!$B$3:$B$5001,C$127,Base!$A$3:$A$5001,_xlfn.MAXIFS(Base!$A$3:$A$5001,Base!$B$3:$B$5001,C$127,Base!$A$3:$A$5001,"&gt;="&amp;$C$7,Base!$A$3:$A$5001,"&lt;="&amp;$B145,Base!$W$3:$W$5001,"&lt;&gt;"))))</f>
        <v/>
      </c>
      <c r="D145" t="str">
        <f>IF($A145&gt;$B$9,"",IF(COUNTIFS(Base!$B$3:$B$5001,D$127,Base!$A$3:$A$5001,"&gt;="&amp;$C$7,Base!$A$3:$A$5001,"&lt;="&amp;$B145,Base!$W$3:$W$5001,"&lt;&gt;")=0,"",SUMIFS(Base!$W$3:$W$5001,Base!$B$3:$B$5001,D$127,Base!$A$3:$A$5001,_xlfn.MAXIFS(Base!$A$3:$A$5001,Base!$B$3:$B$5001,D$127,Base!$A$3:$A$5001,"&gt;="&amp;$C$7,Base!$A$3:$A$5001,"&lt;="&amp;$B145,Base!$W$3:$W$5001,"&lt;&gt;"))))</f>
        <v/>
      </c>
      <c r="E145" t="str">
        <f>IF($A145&gt;$B$9,"",IF(COUNTIFS(Base!$B$3:$B$5001,E$127,Base!$A$3:$A$5001,"&gt;="&amp;$C$7,Base!$A$3:$A$5001,"&lt;="&amp;$B145,Base!$W$3:$W$5001,"&lt;&gt;")=0,"",SUMIFS(Base!$W$3:$W$5001,Base!$B$3:$B$5001,E$127,Base!$A$3:$A$5001,_xlfn.MAXIFS(Base!$A$3:$A$5001,Base!$B$3:$B$5001,E$127,Base!$A$3:$A$5001,"&gt;="&amp;$C$7,Base!$A$3:$A$5001,"&lt;="&amp;$B145,Base!$W$3:$W$5001,"&lt;&gt;"))))</f>
        <v/>
      </c>
      <c r="F145" t="str">
        <f>IF($A145&gt;$B$9,"",IF(COUNTIFS(Base!$B$3:$B$5001,F$127,Base!$A$3:$A$5001,"&gt;="&amp;$C$7,Base!$A$3:$A$5001,"&lt;="&amp;$B145,Base!$W$3:$W$5001,"&lt;&gt;")=0,"",SUMIFS(Base!$W$3:$W$5001,Base!$B$3:$B$5001,F$127,Base!$A$3:$A$5001,_xlfn.MAXIFS(Base!$A$3:$A$5001,Base!$B$3:$B$5001,F$127,Base!$A$3:$A$5001,"&gt;="&amp;$C$7,Base!$A$3:$A$5001,"&lt;="&amp;$B145,Base!$W$3:$W$5001,"&lt;&gt;"))))</f>
        <v/>
      </c>
      <c r="G145" t="str">
        <f>IF($A145&gt;$B$9,"",IF(COUNTIFS(Base!$B$3:$B$5001,G$127,Base!$A$3:$A$5001,"&gt;="&amp;$C$7,Base!$A$3:$A$5001,"&lt;="&amp;$B145,Base!$W$3:$W$5001,"&lt;&gt;")=0,"",SUMIFS(Base!$W$3:$W$5001,Base!$B$3:$B$5001,G$127,Base!$A$3:$A$5001,_xlfn.MAXIFS(Base!$A$3:$A$5001,Base!$B$3:$B$5001,G$127,Base!$A$3:$A$5001,"&gt;="&amp;$C$7,Base!$A$3:$A$5001,"&lt;="&amp;$B145,Base!$W$3:$W$5001,"&lt;&gt;"))))</f>
        <v/>
      </c>
      <c r="H145" t="str">
        <f>IF($A145&gt;$B$9,"",IF(COUNTIFS(Base!$B$3:$B$5001,H$127,Base!$A$3:$A$5001,"&gt;="&amp;$C$7,Base!$A$3:$A$5001,"&lt;="&amp;$B145,Base!$W$3:$W$5001,"&lt;&gt;")=0,"",SUMIFS(Base!$W$3:$W$5001,Base!$B$3:$B$5001,H$127,Base!$A$3:$A$5001,_xlfn.MAXIFS(Base!$A$3:$A$5001,Base!$B$3:$B$5001,H$127,Base!$A$3:$A$5001,"&gt;="&amp;$C$7,Base!$A$3:$A$5001,"&lt;="&amp;$B145,Base!$W$3:$W$5001,"&lt;&gt;"))))</f>
        <v/>
      </c>
      <c r="I145" t="str">
        <f>IF($A145&gt;$B$9,"",IF(COUNTIFS(Base!$B$3:$B$5001,I$127,Base!$A$3:$A$5001,"&gt;="&amp;$C$7,Base!$A$3:$A$5001,"&lt;="&amp;$B145,Base!$W$3:$W$5001,"&lt;&gt;")=0,"",SUMIFS(Base!$W$3:$W$5001,Base!$B$3:$B$5001,I$127,Base!$A$3:$A$5001,_xlfn.MAXIFS(Base!$A$3:$A$5001,Base!$B$3:$B$5001,I$127,Base!$A$3:$A$5001,"&gt;="&amp;$C$7,Base!$A$3:$A$5001,"&lt;="&amp;$B145,Base!$W$3:$W$5001,"&lt;&gt;"))))</f>
        <v/>
      </c>
      <c r="J145" t="str">
        <f>IF($A145&gt;$B$9,"",IF(COUNTIFS(Base!$B$3:$B$5001,J$127,Base!$A$3:$A$5001,"&gt;="&amp;$C$7,Base!$A$3:$A$5001,"&lt;="&amp;$B145,Base!$W$3:$W$5001,"&lt;&gt;")=0,"",SUMIFS(Base!$W$3:$W$5001,Base!$B$3:$B$5001,J$127,Base!$A$3:$A$5001,_xlfn.MAXIFS(Base!$A$3:$A$5001,Base!$B$3:$B$5001,J$127,Base!$A$3:$A$5001,"&gt;="&amp;$C$7,Base!$A$3:$A$5001,"&lt;="&amp;$B145,Base!$W$3:$W$5001,"&lt;&gt;"))))</f>
        <v/>
      </c>
      <c r="K145" t="str">
        <f>IF($A145&gt;$B$9,"",IF(COUNTIFS(Base!$B$3:$B$5001,K$127,Base!$A$3:$A$5001,"&gt;="&amp;$C$7,Base!$A$3:$A$5001,"&lt;="&amp;$B145,Base!$W$3:$W$5001,"&lt;&gt;")=0,"",SUMIFS(Base!$W$3:$W$5001,Base!$B$3:$B$5001,K$127,Base!$A$3:$A$5001,_xlfn.MAXIFS(Base!$A$3:$A$5001,Base!$B$3:$B$5001,K$127,Base!$A$3:$A$5001,"&gt;="&amp;$C$7,Base!$A$3:$A$5001,"&lt;="&amp;$B145,Base!$W$3:$W$5001,"&lt;&gt;"))))</f>
        <v/>
      </c>
    </row>
    <row r="146">
      <c r="A146">
        <v>19</v>
      </c>
      <c r="B146" s="152">
        <f>$B$30</f>
        <v>46284</v>
      </c>
      <c r="C146" t="str">
        <f>IF($A146&gt;$B$9,"",IF(COUNTIFS(Base!$B$3:$B$5001,C$127,Base!$A$3:$A$5001,"&gt;="&amp;$C$7,Base!$A$3:$A$5001,"&lt;="&amp;$B146,Base!$W$3:$W$5001,"&lt;&gt;")=0,"",SUMIFS(Base!$W$3:$W$5001,Base!$B$3:$B$5001,C$127,Base!$A$3:$A$5001,_xlfn.MAXIFS(Base!$A$3:$A$5001,Base!$B$3:$B$5001,C$127,Base!$A$3:$A$5001,"&gt;="&amp;$C$7,Base!$A$3:$A$5001,"&lt;="&amp;$B146,Base!$W$3:$W$5001,"&lt;&gt;"))))</f>
        <v/>
      </c>
      <c r="D146" t="str">
        <f>IF($A146&gt;$B$9,"",IF(COUNTIFS(Base!$B$3:$B$5001,D$127,Base!$A$3:$A$5001,"&gt;="&amp;$C$7,Base!$A$3:$A$5001,"&lt;="&amp;$B146,Base!$W$3:$W$5001,"&lt;&gt;")=0,"",SUMIFS(Base!$W$3:$W$5001,Base!$B$3:$B$5001,D$127,Base!$A$3:$A$5001,_xlfn.MAXIFS(Base!$A$3:$A$5001,Base!$B$3:$B$5001,D$127,Base!$A$3:$A$5001,"&gt;="&amp;$C$7,Base!$A$3:$A$5001,"&lt;="&amp;$B146,Base!$W$3:$W$5001,"&lt;&gt;"))))</f>
        <v/>
      </c>
      <c r="E146" t="str">
        <f>IF($A146&gt;$B$9,"",IF(COUNTIFS(Base!$B$3:$B$5001,E$127,Base!$A$3:$A$5001,"&gt;="&amp;$C$7,Base!$A$3:$A$5001,"&lt;="&amp;$B146,Base!$W$3:$W$5001,"&lt;&gt;")=0,"",SUMIFS(Base!$W$3:$W$5001,Base!$B$3:$B$5001,E$127,Base!$A$3:$A$5001,_xlfn.MAXIFS(Base!$A$3:$A$5001,Base!$B$3:$B$5001,E$127,Base!$A$3:$A$5001,"&gt;="&amp;$C$7,Base!$A$3:$A$5001,"&lt;="&amp;$B146,Base!$W$3:$W$5001,"&lt;&gt;"))))</f>
        <v/>
      </c>
      <c r="F146" t="str">
        <f>IF($A146&gt;$B$9,"",IF(COUNTIFS(Base!$B$3:$B$5001,F$127,Base!$A$3:$A$5001,"&gt;="&amp;$C$7,Base!$A$3:$A$5001,"&lt;="&amp;$B146,Base!$W$3:$W$5001,"&lt;&gt;")=0,"",SUMIFS(Base!$W$3:$W$5001,Base!$B$3:$B$5001,F$127,Base!$A$3:$A$5001,_xlfn.MAXIFS(Base!$A$3:$A$5001,Base!$B$3:$B$5001,F$127,Base!$A$3:$A$5001,"&gt;="&amp;$C$7,Base!$A$3:$A$5001,"&lt;="&amp;$B146,Base!$W$3:$W$5001,"&lt;&gt;"))))</f>
        <v/>
      </c>
      <c r="G146" t="str">
        <f>IF($A146&gt;$B$9,"",IF(COUNTIFS(Base!$B$3:$B$5001,G$127,Base!$A$3:$A$5001,"&gt;="&amp;$C$7,Base!$A$3:$A$5001,"&lt;="&amp;$B146,Base!$W$3:$W$5001,"&lt;&gt;")=0,"",SUMIFS(Base!$W$3:$W$5001,Base!$B$3:$B$5001,G$127,Base!$A$3:$A$5001,_xlfn.MAXIFS(Base!$A$3:$A$5001,Base!$B$3:$B$5001,G$127,Base!$A$3:$A$5001,"&gt;="&amp;$C$7,Base!$A$3:$A$5001,"&lt;="&amp;$B146,Base!$W$3:$W$5001,"&lt;&gt;"))))</f>
        <v/>
      </c>
      <c r="H146" t="str">
        <f>IF($A146&gt;$B$9,"",IF(COUNTIFS(Base!$B$3:$B$5001,H$127,Base!$A$3:$A$5001,"&gt;="&amp;$C$7,Base!$A$3:$A$5001,"&lt;="&amp;$B146,Base!$W$3:$W$5001,"&lt;&gt;")=0,"",SUMIFS(Base!$W$3:$W$5001,Base!$B$3:$B$5001,H$127,Base!$A$3:$A$5001,_xlfn.MAXIFS(Base!$A$3:$A$5001,Base!$B$3:$B$5001,H$127,Base!$A$3:$A$5001,"&gt;="&amp;$C$7,Base!$A$3:$A$5001,"&lt;="&amp;$B146,Base!$W$3:$W$5001,"&lt;&gt;"))))</f>
        <v/>
      </c>
      <c r="I146" t="str">
        <f>IF($A146&gt;$B$9,"",IF(COUNTIFS(Base!$B$3:$B$5001,I$127,Base!$A$3:$A$5001,"&gt;="&amp;$C$7,Base!$A$3:$A$5001,"&lt;="&amp;$B146,Base!$W$3:$W$5001,"&lt;&gt;")=0,"",SUMIFS(Base!$W$3:$W$5001,Base!$B$3:$B$5001,I$127,Base!$A$3:$A$5001,_xlfn.MAXIFS(Base!$A$3:$A$5001,Base!$B$3:$B$5001,I$127,Base!$A$3:$A$5001,"&gt;="&amp;$C$7,Base!$A$3:$A$5001,"&lt;="&amp;$B146,Base!$W$3:$W$5001,"&lt;&gt;"))))</f>
        <v/>
      </c>
      <c r="J146" t="str">
        <f>IF($A146&gt;$B$9,"",IF(COUNTIFS(Base!$B$3:$B$5001,J$127,Base!$A$3:$A$5001,"&gt;="&amp;$C$7,Base!$A$3:$A$5001,"&lt;="&amp;$B146,Base!$W$3:$W$5001,"&lt;&gt;")=0,"",SUMIFS(Base!$W$3:$W$5001,Base!$B$3:$B$5001,J$127,Base!$A$3:$A$5001,_xlfn.MAXIFS(Base!$A$3:$A$5001,Base!$B$3:$B$5001,J$127,Base!$A$3:$A$5001,"&gt;="&amp;$C$7,Base!$A$3:$A$5001,"&lt;="&amp;$B146,Base!$W$3:$W$5001,"&lt;&gt;"))))</f>
        <v/>
      </c>
      <c r="K146" t="str">
        <f>IF($A146&gt;$B$9,"",IF(COUNTIFS(Base!$B$3:$B$5001,K$127,Base!$A$3:$A$5001,"&gt;="&amp;$C$7,Base!$A$3:$A$5001,"&lt;="&amp;$B146,Base!$W$3:$W$5001,"&lt;&gt;")=0,"",SUMIFS(Base!$W$3:$W$5001,Base!$B$3:$B$5001,K$127,Base!$A$3:$A$5001,_xlfn.MAXIFS(Base!$A$3:$A$5001,Base!$B$3:$B$5001,K$127,Base!$A$3:$A$5001,"&gt;="&amp;$C$7,Base!$A$3:$A$5001,"&lt;="&amp;$B146,Base!$W$3:$W$5001,"&lt;&gt;"))))</f>
        <v/>
      </c>
    </row>
    <row r="147">
      <c r="A147">
        <v>20</v>
      </c>
      <c r="B147" s="152">
        <f>$B$31</f>
        <v>46285</v>
      </c>
      <c r="C147" t="str">
        <f>IF($A147&gt;$B$9,"",IF(COUNTIFS(Base!$B$3:$B$5001,C$127,Base!$A$3:$A$5001,"&gt;="&amp;$C$7,Base!$A$3:$A$5001,"&lt;="&amp;$B147,Base!$W$3:$W$5001,"&lt;&gt;")=0,"",SUMIFS(Base!$W$3:$W$5001,Base!$B$3:$B$5001,C$127,Base!$A$3:$A$5001,_xlfn.MAXIFS(Base!$A$3:$A$5001,Base!$B$3:$B$5001,C$127,Base!$A$3:$A$5001,"&gt;="&amp;$C$7,Base!$A$3:$A$5001,"&lt;="&amp;$B147,Base!$W$3:$W$5001,"&lt;&gt;"))))</f>
        <v/>
      </c>
      <c r="D147" t="str">
        <f>IF($A147&gt;$B$9,"",IF(COUNTIFS(Base!$B$3:$B$5001,D$127,Base!$A$3:$A$5001,"&gt;="&amp;$C$7,Base!$A$3:$A$5001,"&lt;="&amp;$B147,Base!$W$3:$W$5001,"&lt;&gt;")=0,"",SUMIFS(Base!$W$3:$W$5001,Base!$B$3:$B$5001,D$127,Base!$A$3:$A$5001,_xlfn.MAXIFS(Base!$A$3:$A$5001,Base!$B$3:$B$5001,D$127,Base!$A$3:$A$5001,"&gt;="&amp;$C$7,Base!$A$3:$A$5001,"&lt;="&amp;$B147,Base!$W$3:$W$5001,"&lt;&gt;"))))</f>
        <v/>
      </c>
      <c r="E147" t="str">
        <f>IF($A147&gt;$B$9,"",IF(COUNTIFS(Base!$B$3:$B$5001,E$127,Base!$A$3:$A$5001,"&gt;="&amp;$C$7,Base!$A$3:$A$5001,"&lt;="&amp;$B147,Base!$W$3:$W$5001,"&lt;&gt;")=0,"",SUMIFS(Base!$W$3:$W$5001,Base!$B$3:$B$5001,E$127,Base!$A$3:$A$5001,_xlfn.MAXIFS(Base!$A$3:$A$5001,Base!$B$3:$B$5001,E$127,Base!$A$3:$A$5001,"&gt;="&amp;$C$7,Base!$A$3:$A$5001,"&lt;="&amp;$B147,Base!$W$3:$W$5001,"&lt;&gt;"))))</f>
        <v/>
      </c>
      <c r="F147" t="str">
        <f>IF($A147&gt;$B$9,"",IF(COUNTIFS(Base!$B$3:$B$5001,F$127,Base!$A$3:$A$5001,"&gt;="&amp;$C$7,Base!$A$3:$A$5001,"&lt;="&amp;$B147,Base!$W$3:$W$5001,"&lt;&gt;")=0,"",SUMIFS(Base!$W$3:$W$5001,Base!$B$3:$B$5001,F$127,Base!$A$3:$A$5001,_xlfn.MAXIFS(Base!$A$3:$A$5001,Base!$B$3:$B$5001,F$127,Base!$A$3:$A$5001,"&gt;="&amp;$C$7,Base!$A$3:$A$5001,"&lt;="&amp;$B147,Base!$W$3:$W$5001,"&lt;&gt;"))))</f>
        <v/>
      </c>
      <c r="G147" t="str">
        <f>IF($A147&gt;$B$9,"",IF(COUNTIFS(Base!$B$3:$B$5001,G$127,Base!$A$3:$A$5001,"&gt;="&amp;$C$7,Base!$A$3:$A$5001,"&lt;="&amp;$B147,Base!$W$3:$W$5001,"&lt;&gt;")=0,"",SUMIFS(Base!$W$3:$W$5001,Base!$B$3:$B$5001,G$127,Base!$A$3:$A$5001,_xlfn.MAXIFS(Base!$A$3:$A$5001,Base!$B$3:$B$5001,G$127,Base!$A$3:$A$5001,"&gt;="&amp;$C$7,Base!$A$3:$A$5001,"&lt;="&amp;$B147,Base!$W$3:$W$5001,"&lt;&gt;"))))</f>
        <v/>
      </c>
      <c r="H147" t="str">
        <f>IF($A147&gt;$B$9,"",IF(COUNTIFS(Base!$B$3:$B$5001,H$127,Base!$A$3:$A$5001,"&gt;="&amp;$C$7,Base!$A$3:$A$5001,"&lt;="&amp;$B147,Base!$W$3:$W$5001,"&lt;&gt;")=0,"",SUMIFS(Base!$W$3:$W$5001,Base!$B$3:$B$5001,H$127,Base!$A$3:$A$5001,_xlfn.MAXIFS(Base!$A$3:$A$5001,Base!$B$3:$B$5001,H$127,Base!$A$3:$A$5001,"&gt;="&amp;$C$7,Base!$A$3:$A$5001,"&lt;="&amp;$B147,Base!$W$3:$W$5001,"&lt;&gt;"))))</f>
        <v/>
      </c>
      <c r="I147" t="str">
        <f>IF($A147&gt;$B$9,"",IF(COUNTIFS(Base!$B$3:$B$5001,I$127,Base!$A$3:$A$5001,"&gt;="&amp;$C$7,Base!$A$3:$A$5001,"&lt;="&amp;$B147,Base!$W$3:$W$5001,"&lt;&gt;")=0,"",SUMIFS(Base!$W$3:$W$5001,Base!$B$3:$B$5001,I$127,Base!$A$3:$A$5001,_xlfn.MAXIFS(Base!$A$3:$A$5001,Base!$B$3:$B$5001,I$127,Base!$A$3:$A$5001,"&gt;="&amp;$C$7,Base!$A$3:$A$5001,"&lt;="&amp;$B147,Base!$W$3:$W$5001,"&lt;&gt;"))))</f>
        <v/>
      </c>
      <c r="J147" t="str">
        <f>IF($A147&gt;$B$9,"",IF(COUNTIFS(Base!$B$3:$B$5001,J$127,Base!$A$3:$A$5001,"&gt;="&amp;$C$7,Base!$A$3:$A$5001,"&lt;="&amp;$B147,Base!$W$3:$W$5001,"&lt;&gt;")=0,"",SUMIFS(Base!$W$3:$W$5001,Base!$B$3:$B$5001,J$127,Base!$A$3:$A$5001,_xlfn.MAXIFS(Base!$A$3:$A$5001,Base!$B$3:$B$5001,J$127,Base!$A$3:$A$5001,"&gt;="&amp;$C$7,Base!$A$3:$A$5001,"&lt;="&amp;$B147,Base!$W$3:$W$5001,"&lt;&gt;"))))</f>
        <v/>
      </c>
      <c r="K147" t="str">
        <f>IF($A147&gt;$B$9,"",IF(COUNTIFS(Base!$B$3:$B$5001,K$127,Base!$A$3:$A$5001,"&gt;="&amp;$C$7,Base!$A$3:$A$5001,"&lt;="&amp;$B147,Base!$W$3:$W$5001,"&lt;&gt;")=0,"",SUMIFS(Base!$W$3:$W$5001,Base!$B$3:$B$5001,K$127,Base!$A$3:$A$5001,_xlfn.MAXIFS(Base!$A$3:$A$5001,Base!$B$3:$B$5001,K$127,Base!$A$3:$A$5001,"&gt;="&amp;$C$7,Base!$A$3:$A$5001,"&lt;="&amp;$B147,Base!$W$3:$W$5001,"&lt;&gt;"))))</f>
        <v/>
      </c>
    </row>
    <row r="148">
      <c r="A148">
        <v>21</v>
      </c>
      <c r="B148" s="152">
        <f>$B$32</f>
        <v>46286</v>
      </c>
      <c r="C148" t="str">
        <f>IF($A148&gt;$B$9,"",IF(COUNTIFS(Base!$B$3:$B$5001,C$127,Base!$A$3:$A$5001,"&gt;="&amp;$C$7,Base!$A$3:$A$5001,"&lt;="&amp;$B148,Base!$W$3:$W$5001,"&lt;&gt;")=0,"",SUMIFS(Base!$W$3:$W$5001,Base!$B$3:$B$5001,C$127,Base!$A$3:$A$5001,_xlfn.MAXIFS(Base!$A$3:$A$5001,Base!$B$3:$B$5001,C$127,Base!$A$3:$A$5001,"&gt;="&amp;$C$7,Base!$A$3:$A$5001,"&lt;="&amp;$B148,Base!$W$3:$W$5001,"&lt;&gt;"))))</f>
        <v/>
      </c>
      <c r="D148" t="str">
        <f>IF($A148&gt;$B$9,"",IF(COUNTIFS(Base!$B$3:$B$5001,D$127,Base!$A$3:$A$5001,"&gt;="&amp;$C$7,Base!$A$3:$A$5001,"&lt;="&amp;$B148,Base!$W$3:$W$5001,"&lt;&gt;")=0,"",SUMIFS(Base!$W$3:$W$5001,Base!$B$3:$B$5001,D$127,Base!$A$3:$A$5001,_xlfn.MAXIFS(Base!$A$3:$A$5001,Base!$B$3:$B$5001,D$127,Base!$A$3:$A$5001,"&gt;="&amp;$C$7,Base!$A$3:$A$5001,"&lt;="&amp;$B148,Base!$W$3:$W$5001,"&lt;&gt;"))))</f>
        <v/>
      </c>
      <c r="E148" t="str">
        <f>IF($A148&gt;$B$9,"",IF(COUNTIFS(Base!$B$3:$B$5001,E$127,Base!$A$3:$A$5001,"&gt;="&amp;$C$7,Base!$A$3:$A$5001,"&lt;="&amp;$B148,Base!$W$3:$W$5001,"&lt;&gt;")=0,"",SUMIFS(Base!$W$3:$W$5001,Base!$B$3:$B$5001,E$127,Base!$A$3:$A$5001,_xlfn.MAXIFS(Base!$A$3:$A$5001,Base!$B$3:$B$5001,E$127,Base!$A$3:$A$5001,"&gt;="&amp;$C$7,Base!$A$3:$A$5001,"&lt;="&amp;$B148,Base!$W$3:$W$5001,"&lt;&gt;"))))</f>
        <v/>
      </c>
      <c r="F148" t="str">
        <f>IF($A148&gt;$B$9,"",IF(COUNTIFS(Base!$B$3:$B$5001,F$127,Base!$A$3:$A$5001,"&gt;="&amp;$C$7,Base!$A$3:$A$5001,"&lt;="&amp;$B148,Base!$W$3:$W$5001,"&lt;&gt;")=0,"",SUMIFS(Base!$W$3:$W$5001,Base!$B$3:$B$5001,F$127,Base!$A$3:$A$5001,_xlfn.MAXIFS(Base!$A$3:$A$5001,Base!$B$3:$B$5001,F$127,Base!$A$3:$A$5001,"&gt;="&amp;$C$7,Base!$A$3:$A$5001,"&lt;="&amp;$B148,Base!$W$3:$W$5001,"&lt;&gt;"))))</f>
        <v/>
      </c>
      <c r="G148" t="str">
        <f>IF($A148&gt;$B$9,"",IF(COUNTIFS(Base!$B$3:$B$5001,G$127,Base!$A$3:$A$5001,"&gt;="&amp;$C$7,Base!$A$3:$A$5001,"&lt;="&amp;$B148,Base!$W$3:$W$5001,"&lt;&gt;")=0,"",SUMIFS(Base!$W$3:$W$5001,Base!$B$3:$B$5001,G$127,Base!$A$3:$A$5001,_xlfn.MAXIFS(Base!$A$3:$A$5001,Base!$B$3:$B$5001,G$127,Base!$A$3:$A$5001,"&gt;="&amp;$C$7,Base!$A$3:$A$5001,"&lt;="&amp;$B148,Base!$W$3:$W$5001,"&lt;&gt;"))))</f>
        <v/>
      </c>
      <c r="H148" t="str">
        <f>IF($A148&gt;$B$9,"",IF(COUNTIFS(Base!$B$3:$B$5001,H$127,Base!$A$3:$A$5001,"&gt;="&amp;$C$7,Base!$A$3:$A$5001,"&lt;="&amp;$B148,Base!$W$3:$W$5001,"&lt;&gt;")=0,"",SUMIFS(Base!$W$3:$W$5001,Base!$B$3:$B$5001,H$127,Base!$A$3:$A$5001,_xlfn.MAXIFS(Base!$A$3:$A$5001,Base!$B$3:$B$5001,H$127,Base!$A$3:$A$5001,"&gt;="&amp;$C$7,Base!$A$3:$A$5001,"&lt;="&amp;$B148,Base!$W$3:$W$5001,"&lt;&gt;"))))</f>
        <v/>
      </c>
      <c r="I148" t="str">
        <f>IF($A148&gt;$B$9,"",IF(COUNTIFS(Base!$B$3:$B$5001,I$127,Base!$A$3:$A$5001,"&gt;="&amp;$C$7,Base!$A$3:$A$5001,"&lt;="&amp;$B148,Base!$W$3:$W$5001,"&lt;&gt;")=0,"",SUMIFS(Base!$W$3:$W$5001,Base!$B$3:$B$5001,I$127,Base!$A$3:$A$5001,_xlfn.MAXIFS(Base!$A$3:$A$5001,Base!$B$3:$B$5001,I$127,Base!$A$3:$A$5001,"&gt;="&amp;$C$7,Base!$A$3:$A$5001,"&lt;="&amp;$B148,Base!$W$3:$W$5001,"&lt;&gt;"))))</f>
        <v/>
      </c>
      <c r="J148" t="str">
        <f>IF($A148&gt;$B$9,"",IF(COUNTIFS(Base!$B$3:$B$5001,J$127,Base!$A$3:$A$5001,"&gt;="&amp;$C$7,Base!$A$3:$A$5001,"&lt;="&amp;$B148,Base!$W$3:$W$5001,"&lt;&gt;")=0,"",SUMIFS(Base!$W$3:$W$5001,Base!$B$3:$B$5001,J$127,Base!$A$3:$A$5001,_xlfn.MAXIFS(Base!$A$3:$A$5001,Base!$B$3:$B$5001,J$127,Base!$A$3:$A$5001,"&gt;="&amp;$C$7,Base!$A$3:$A$5001,"&lt;="&amp;$B148,Base!$W$3:$W$5001,"&lt;&gt;"))))</f>
        <v/>
      </c>
      <c r="K148" t="str">
        <f>IF($A148&gt;$B$9,"",IF(COUNTIFS(Base!$B$3:$B$5001,K$127,Base!$A$3:$A$5001,"&gt;="&amp;$C$7,Base!$A$3:$A$5001,"&lt;="&amp;$B148,Base!$W$3:$W$5001,"&lt;&gt;")=0,"",SUMIFS(Base!$W$3:$W$5001,Base!$B$3:$B$5001,K$127,Base!$A$3:$A$5001,_xlfn.MAXIFS(Base!$A$3:$A$5001,Base!$B$3:$B$5001,K$127,Base!$A$3:$A$5001,"&gt;="&amp;$C$7,Base!$A$3:$A$5001,"&lt;="&amp;$B148,Base!$W$3:$W$5001,"&lt;&gt;"))))</f>
        <v/>
      </c>
    </row>
    <row r="149">
      <c r="A149">
        <v>22</v>
      </c>
      <c r="B149" s="152">
        <f>$B$33</f>
        <v>46287</v>
      </c>
      <c r="C149" t="str">
        <f>IF($A149&gt;$B$9,"",IF(COUNTIFS(Base!$B$3:$B$5001,C$127,Base!$A$3:$A$5001,"&gt;="&amp;$C$7,Base!$A$3:$A$5001,"&lt;="&amp;$B149,Base!$W$3:$W$5001,"&lt;&gt;")=0,"",SUMIFS(Base!$W$3:$W$5001,Base!$B$3:$B$5001,C$127,Base!$A$3:$A$5001,_xlfn.MAXIFS(Base!$A$3:$A$5001,Base!$B$3:$B$5001,C$127,Base!$A$3:$A$5001,"&gt;="&amp;$C$7,Base!$A$3:$A$5001,"&lt;="&amp;$B149,Base!$W$3:$W$5001,"&lt;&gt;"))))</f>
        <v/>
      </c>
      <c r="D149" t="str">
        <f>IF($A149&gt;$B$9,"",IF(COUNTIFS(Base!$B$3:$B$5001,D$127,Base!$A$3:$A$5001,"&gt;="&amp;$C$7,Base!$A$3:$A$5001,"&lt;="&amp;$B149,Base!$W$3:$W$5001,"&lt;&gt;")=0,"",SUMIFS(Base!$W$3:$W$5001,Base!$B$3:$B$5001,D$127,Base!$A$3:$A$5001,_xlfn.MAXIFS(Base!$A$3:$A$5001,Base!$B$3:$B$5001,D$127,Base!$A$3:$A$5001,"&gt;="&amp;$C$7,Base!$A$3:$A$5001,"&lt;="&amp;$B149,Base!$W$3:$W$5001,"&lt;&gt;"))))</f>
        <v/>
      </c>
      <c r="E149" t="str">
        <f>IF($A149&gt;$B$9,"",IF(COUNTIFS(Base!$B$3:$B$5001,E$127,Base!$A$3:$A$5001,"&gt;="&amp;$C$7,Base!$A$3:$A$5001,"&lt;="&amp;$B149,Base!$W$3:$W$5001,"&lt;&gt;")=0,"",SUMIFS(Base!$W$3:$W$5001,Base!$B$3:$B$5001,E$127,Base!$A$3:$A$5001,_xlfn.MAXIFS(Base!$A$3:$A$5001,Base!$B$3:$B$5001,E$127,Base!$A$3:$A$5001,"&gt;="&amp;$C$7,Base!$A$3:$A$5001,"&lt;="&amp;$B149,Base!$W$3:$W$5001,"&lt;&gt;"))))</f>
        <v/>
      </c>
      <c r="F149" t="str">
        <f>IF($A149&gt;$B$9,"",IF(COUNTIFS(Base!$B$3:$B$5001,F$127,Base!$A$3:$A$5001,"&gt;="&amp;$C$7,Base!$A$3:$A$5001,"&lt;="&amp;$B149,Base!$W$3:$W$5001,"&lt;&gt;")=0,"",SUMIFS(Base!$W$3:$W$5001,Base!$B$3:$B$5001,F$127,Base!$A$3:$A$5001,_xlfn.MAXIFS(Base!$A$3:$A$5001,Base!$B$3:$B$5001,F$127,Base!$A$3:$A$5001,"&gt;="&amp;$C$7,Base!$A$3:$A$5001,"&lt;="&amp;$B149,Base!$W$3:$W$5001,"&lt;&gt;"))))</f>
        <v/>
      </c>
      <c r="G149" t="str">
        <f>IF($A149&gt;$B$9,"",IF(COUNTIFS(Base!$B$3:$B$5001,G$127,Base!$A$3:$A$5001,"&gt;="&amp;$C$7,Base!$A$3:$A$5001,"&lt;="&amp;$B149,Base!$W$3:$W$5001,"&lt;&gt;")=0,"",SUMIFS(Base!$W$3:$W$5001,Base!$B$3:$B$5001,G$127,Base!$A$3:$A$5001,_xlfn.MAXIFS(Base!$A$3:$A$5001,Base!$B$3:$B$5001,G$127,Base!$A$3:$A$5001,"&gt;="&amp;$C$7,Base!$A$3:$A$5001,"&lt;="&amp;$B149,Base!$W$3:$W$5001,"&lt;&gt;"))))</f>
        <v/>
      </c>
      <c r="H149" t="str">
        <f>IF($A149&gt;$B$9,"",IF(COUNTIFS(Base!$B$3:$B$5001,H$127,Base!$A$3:$A$5001,"&gt;="&amp;$C$7,Base!$A$3:$A$5001,"&lt;="&amp;$B149,Base!$W$3:$W$5001,"&lt;&gt;")=0,"",SUMIFS(Base!$W$3:$W$5001,Base!$B$3:$B$5001,H$127,Base!$A$3:$A$5001,_xlfn.MAXIFS(Base!$A$3:$A$5001,Base!$B$3:$B$5001,H$127,Base!$A$3:$A$5001,"&gt;="&amp;$C$7,Base!$A$3:$A$5001,"&lt;="&amp;$B149,Base!$W$3:$W$5001,"&lt;&gt;"))))</f>
        <v/>
      </c>
      <c r="I149" t="str">
        <f>IF($A149&gt;$B$9,"",IF(COUNTIFS(Base!$B$3:$B$5001,I$127,Base!$A$3:$A$5001,"&gt;="&amp;$C$7,Base!$A$3:$A$5001,"&lt;="&amp;$B149,Base!$W$3:$W$5001,"&lt;&gt;")=0,"",SUMIFS(Base!$W$3:$W$5001,Base!$B$3:$B$5001,I$127,Base!$A$3:$A$5001,_xlfn.MAXIFS(Base!$A$3:$A$5001,Base!$B$3:$B$5001,I$127,Base!$A$3:$A$5001,"&gt;="&amp;$C$7,Base!$A$3:$A$5001,"&lt;="&amp;$B149,Base!$W$3:$W$5001,"&lt;&gt;"))))</f>
        <v/>
      </c>
      <c r="J149" t="str">
        <f>IF($A149&gt;$B$9,"",IF(COUNTIFS(Base!$B$3:$B$5001,J$127,Base!$A$3:$A$5001,"&gt;="&amp;$C$7,Base!$A$3:$A$5001,"&lt;="&amp;$B149,Base!$W$3:$W$5001,"&lt;&gt;")=0,"",SUMIFS(Base!$W$3:$W$5001,Base!$B$3:$B$5001,J$127,Base!$A$3:$A$5001,_xlfn.MAXIFS(Base!$A$3:$A$5001,Base!$B$3:$B$5001,J$127,Base!$A$3:$A$5001,"&gt;="&amp;$C$7,Base!$A$3:$A$5001,"&lt;="&amp;$B149,Base!$W$3:$W$5001,"&lt;&gt;"))))</f>
        <v/>
      </c>
      <c r="K149" t="str">
        <f>IF($A149&gt;$B$9,"",IF(COUNTIFS(Base!$B$3:$B$5001,K$127,Base!$A$3:$A$5001,"&gt;="&amp;$C$7,Base!$A$3:$A$5001,"&lt;="&amp;$B149,Base!$W$3:$W$5001,"&lt;&gt;")=0,"",SUMIFS(Base!$W$3:$W$5001,Base!$B$3:$B$5001,K$127,Base!$A$3:$A$5001,_xlfn.MAXIFS(Base!$A$3:$A$5001,Base!$B$3:$B$5001,K$127,Base!$A$3:$A$5001,"&gt;="&amp;$C$7,Base!$A$3:$A$5001,"&lt;="&amp;$B149,Base!$W$3:$W$5001,"&lt;&gt;"))))</f>
        <v/>
      </c>
    </row>
    <row r="150">
      <c r="A150">
        <v>23</v>
      </c>
      <c r="B150" s="152">
        <f>$B$34</f>
        <v>46288</v>
      </c>
      <c r="C150" t="str">
        <f>IF($A150&gt;$B$9,"",IF(COUNTIFS(Base!$B$3:$B$5001,C$127,Base!$A$3:$A$5001,"&gt;="&amp;$C$7,Base!$A$3:$A$5001,"&lt;="&amp;$B150,Base!$W$3:$W$5001,"&lt;&gt;")=0,"",SUMIFS(Base!$W$3:$W$5001,Base!$B$3:$B$5001,C$127,Base!$A$3:$A$5001,_xlfn.MAXIFS(Base!$A$3:$A$5001,Base!$B$3:$B$5001,C$127,Base!$A$3:$A$5001,"&gt;="&amp;$C$7,Base!$A$3:$A$5001,"&lt;="&amp;$B150,Base!$W$3:$W$5001,"&lt;&gt;"))))</f>
        <v/>
      </c>
      <c r="D150" t="str">
        <f>IF($A150&gt;$B$9,"",IF(COUNTIFS(Base!$B$3:$B$5001,D$127,Base!$A$3:$A$5001,"&gt;="&amp;$C$7,Base!$A$3:$A$5001,"&lt;="&amp;$B150,Base!$W$3:$W$5001,"&lt;&gt;")=0,"",SUMIFS(Base!$W$3:$W$5001,Base!$B$3:$B$5001,D$127,Base!$A$3:$A$5001,_xlfn.MAXIFS(Base!$A$3:$A$5001,Base!$B$3:$B$5001,D$127,Base!$A$3:$A$5001,"&gt;="&amp;$C$7,Base!$A$3:$A$5001,"&lt;="&amp;$B150,Base!$W$3:$W$5001,"&lt;&gt;"))))</f>
        <v/>
      </c>
      <c r="E150" t="str">
        <f>IF($A150&gt;$B$9,"",IF(COUNTIFS(Base!$B$3:$B$5001,E$127,Base!$A$3:$A$5001,"&gt;="&amp;$C$7,Base!$A$3:$A$5001,"&lt;="&amp;$B150,Base!$W$3:$W$5001,"&lt;&gt;")=0,"",SUMIFS(Base!$W$3:$W$5001,Base!$B$3:$B$5001,E$127,Base!$A$3:$A$5001,_xlfn.MAXIFS(Base!$A$3:$A$5001,Base!$B$3:$B$5001,E$127,Base!$A$3:$A$5001,"&gt;="&amp;$C$7,Base!$A$3:$A$5001,"&lt;="&amp;$B150,Base!$W$3:$W$5001,"&lt;&gt;"))))</f>
        <v/>
      </c>
      <c r="F150" t="str">
        <f>IF($A150&gt;$B$9,"",IF(COUNTIFS(Base!$B$3:$B$5001,F$127,Base!$A$3:$A$5001,"&gt;="&amp;$C$7,Base!$A$3:$A$5001,"&lt;="&amp;$B150,Base!$W$3:$W$5001,"&lt;&gt;")=0,"",SUMIFS(Base!$W$3:$W$5001,Base!$B$3:$B$5001,F$127,Base!$A$3:$A$5001,_xlfn.MAXIFS(Base!$A$3:$A$5001,Base!$B$3:$B$5001,F$127,Base!$A$3:$A$5001,"&gt;="&amp;$C$7,Base!$A$3:$A$5001,"&lt;="&amp;$B150,Base!$W$3:$W$5001,"&lt;&gt;"))))</f>
        <v/>
      </c>
      <c r="G150" t="str">
        <f>IF($A150&gt;$B$9,"",IF(COUNTIFS(Base!$B$3:$B$5001,G$127,Base!$A$3:$A$5001,"&gt;="&amp;$C$7,Base!$A$3:$A$5001,"&lt;="&amp;$B150,Base!$W$3:$W$5001,"&lt;&gt;")=0,"",SUMIFS(Base!$W$3:$W$5001,Base!$B$3:$B$5001,G$127,Base!$A$3:$A$5001,_xlfn.MAXIFS(Base!$A$3:$A$5001,Base!$B$3:$B$5001,G$127,Base!$A$3:$A$5001,"&gt;="&amp;$C$7,Base!$A$3:$A$5001,"&lt;="&amp;$B150,Base!$W$3:$W$5001,"&lt;&gt;"))))</f>
        <v/>
      </c>
      <c r="H150" t="str">
        <f>IF($A150&gt;$B$9,"",IF(COUNTIFS(Base!$B$3:$B$5001,H$127,Base!$A$3:$A$5001,"&gt;="&amp;$C$7,Base!$A$3:$A$5001,"&lt;="&amp;$B150,Base!$W$3:$W$5001,"&lt;&gt;")=0,"",SUMIFS(Base!$W$3:$W$5001,Base!$B$3:$B$5001,H$127,Base!$A$3:$A$5001,_xlfn.MAXIFS(Base!$A$3:$A$5001,Base!$B$3:$B$5001,H$127,Base!$A$3:$A$5001,"&gt;="&amp;$C$7,Base!$A$3:$A$5001,"&lt;="&amp;$B150,Base!$W$3:$W$5001,"&lt;&gt;"))))</f>
        <v/>
      </c>
      <c r="I150" t="str">
        <f>IF($A150&gt;$B$9,"",IF(COUNTIFS(Base!$B$3:$B$5001,I$127,Base!$A$3:$A$5001,"&gt;="&amp;$C$7,Base!$A$3:$A$5001,"&lt;="&amp;$B150,Base!$W$3:$W$5001,"&lt;&gt;")=0,"",SUMIFS(Base!$W$3:$W$5001,Base!$B$3:$B$5001,I$127,Base!$A$3:$A$5001,_xlfn.MAXIFS(Base!$A$3:$A$5001,Base!$B$3:$B$5001,I$127,Base!$A$3:$A$5001,"&gt;="&amp;$C$7,Base!$A$3:$A$5001,"&lt;="&amp;$B150,Base!$W$3:$W$5001,"&lt;&gt;"))))</f>
        <v/>
      </c>
      <c r="J150" t="str">
        <f>IF($A150&gt;$B$9,"",IF(COUNTIFS(Base!$B$3:$B$5001,J$127,Base!$A$3:$A$5001,"&gt;="&amp;$C$7,Base!$A$3:$A$5001,"&lt;="&amp;$B150,Base!$W$3:$W$5001,"&lt;&gt;")=0,"",SUMIFS(Base!$W$3:$W$5001,Base!$B$3:$B$5001,J$127,Base!$A$3:$A$5001,_xlfn.MAXIFS(Base!$A$3:$A$5001,Base!$B$3:$B$5001,J$127,Base!$A$3:$A$5001,"&gt;="&amp;$C$7,Base!$A$3:$A$5001,"&lt;="&amp;$B150,Base!$W$3:$W$5001,"&lt;&gt;"))))</f>
        <v/>
      </c>
      <c r="K150" t="str">
        <f>IF($A150&gt;$B$9,"",IF(COUNTIFS(Base!$B$3:$B$5001,K$127,Base!$A$3:$A$5001,"&gt;="&amp;$C$7,Base!$A$3:$A$5001,"&lt;="&amp;$B150,Base!$W$3:$W$5001,"&lt;&gt;")=0,"",SUMIFS(Base!$W$3:$W$5001,Base!$B$3:$B$5001,K$127,Base!$A$3:$A$5001,_xlfn.MAXIFS(Base!$A$3:$A$5001,Base!$B$3:$B$5001,K$127,Base!$A$3:$A$5001,"&gt;="&amp;$C$7,Base!$A$3:$A$5001,"&lt;="&amp;$B150,Base!$W$3:$W$5001,"&lt;&gt;"))))</f>
        <v/>
      </c>
    </row>
    <row r="151">
      <c r="A151">
        <v>24</v>
      </c>
      <c r="B151" s="152">
        <f>$B$35</f>
        <v>46289</v>
      </c>
      <c r="C151" t="str">
        <f>IF($A151&gt;$B$9,"",IF(COUNTIFS(Base!$B$3:$B$5001,C$127,Base!$A$3:$A$5001,"&gt;="&amp;$C$7,Base!$A$3:$A$5001,"&lt;="&amp;$B151,Base!$W$3:$W$5001,"&lt;&gt;")=0,"",SUMIFS(Base!$W$3:$W$5001,Base!$B$3:$B$5001,C$127,Base!$A$3:$A$5001,_xlfn.MAXIFS(Base!$A$3:$A$5001,Base!$B$3:$B$5001,C$127,Base!$A$3:$A$5001,"&gt;="&amp;$C$7,Base!$A$3:$A$5001,"&lt;="&amp;$B151,Base!$W$3:$W$5001,"&lt;&gt;"))))</f>
        <v/>
      </c>
      <c r="D151" t="str">
        <f>IF($A151&gt;$B$9,"",IF(COUNTIFS(Base!$B$3:$B$5001,D$127,Base!$A$3:$A$5001,"&gt;="&amp;$C$7,Base!$A$3:$A$5001,"&lt;="&amp;$B151,Base!$W$3:$W$5001,"&lt;&gt;")=0,"",SUMIFS(Base!$W$3:$W$5001,Base!$B$3:$B$5001,D$127,Base!$A$3:$A$5001,_xlfn.MAXIFS(Base!$A$3:$A$5001,Base!$B$3:$B$5001,D$127,Base!$A$3:$A$5001,"&gt;="&amp;$C$7,Base!$A$3:$A$5001,"&lt;="&amp;$B151,Base!$W$3:$W$5001,"&lt;&gt;"))))</f>
        <v/>
      </c>
      <c r="E151" t="str">
        <f>IF($A151&gt;$B$9,"",IF(COUNTIFS(Base!$B$3:$B$5001,E$127,Base!$A$3:$A$5001,"&gt;="&amp;$C$7,Base!$A$3:$A$5001,"&lt;="&amp;$B151,Base!$W$3:$W$5001,"&lt;&gt;")=0,"",SUMIFS(Base!$W$3:$W$5001,Base!$B$3:$B$5001,E$127,Base!$A$3:$A$5001,_xlfn.MAXIFS(Base!$A$3:$A$5001,Base!$B$3:$B$5001,E$127,Base!$A$3:$A$5001,"&gt;="&amp;$C$7,Base!$A$3:$A$5001,"&lt;="&amp;$B151,Base!$W$3:$W$5001,"&lt;&gt;"))))</f>
        <v/>
      </c>
      <c r="F151" t="str">
        <f>IF($A151&gt;$B$9,"",IF(COUNTIFS(Base!$B$3:$B$5001,F$127,Base!$A$3:$A$5001,"&gt;="&amp;$C$7,Base!$A$3:$A$5001,"&lt;="&amp;$B151,Base!$W$3:$W$5001,"&lt;&gt;")=0,"",SUMIFS(Base!$W$3:$W$5001,Base!$B$3:$B$5001,F$127,Base!$A$3:$A$5001,_xlfn.MAXIFS(Base!$A$3:$A$5001,Base!$B$3:$B$5001,F$127,Base!$A$3:$A$5001,"&gt;="&amp;$C$7,Base!$A$3:$A$5001,"&lt;="&amp;$B151,Base!$W$3:$W$5001,"&lt;&gt;"))))</f>
        <v/>
      </c>
      <c r="G151" t="str">
        <f>IF($A151&gt;$B$9,"",IF(COUNTIFS(Base!$B$3:$B$5001,G$127,Base!$A$3:$A$5001,"&gt;="&amp;$C$7,Base!$A$3:$A$5001,"&lt;="&amp;$B151,Base!$W$3:$W$5001,"&lt;&gt;")=0,"",SUMIFS(Base!$W$3:$W$5001,Base!$B$3:$B$5001,G$127,Base!$A$3:$A$5001,_xlfn.MAXIFS(Base!$A$3:$A$5001,Base!$B$3:$B$5001,G$127,Base!$A$3:$A$5001,"&gt;="&amp;$C$7,Base!$A$3:$A$5001,"&lt;="&amp;$B151,Base!$W$3:$W$5001,"&lt;&gt;"))))</f>
        <v/>
      </c>
      <c r="H151" t="str">
        <f>IF($A151&gt;$B$9,"",IF(COUNTIFS(Base!$B$3:$B$5001,H$127,Base!$A$3:$A$5001,"&gt;="&amp;$C$7,Base!$A$3:$A$5001,"&lt;="&amp;$B151,Base!$W$3:$W$5001,"&lt;&gt;")=0,"",SUMIFS(Base!$W$3:$W$5001,Base!$B$3:$B$5001,H$127,Base!$A$3:$A$5001,_xlfn.MAXIFS(Base!$A$3:$A$5001,Base!$B$3:$B$5001,H$127,Base!$A$3:$A$5001,"&gt;="&amp;$C$7,Base!$A$3:$A$5001,"&lt;="&amp;$B151,Base!$W$3:$W$5001,"&lt;&gt;"))))</f>
        <v/>
      </c>
      <c r="I151" t="str">
        <f>IF($A151&gt;$B$9,"",IF(COUNTIFS(Base!$B$3:$B$5001,I$127,Base!$A$3:$A$5001,"&gt;="&amp;$C$7,Base!$A$3:$A$5001,"&lt;="&amp;$B151,Base!$W$3:$W$5001,"&lt;&gt;")=0,"",SUMIFS(Base!$W$3:$W$5001,Base!$B$3:$B$5001,I$127,Base!$A$3:$A$5001,_xlfn.MAXIFS(Base!$A$3:$A$5001,Base!$B$3:$B$5001,I$127,Base!$A$3:$A$5001,"&gt;="&amp;$C$7,Base!$A$3:$A$5001,"&lt;="&amp;$B151,Base!$W$3:$W$5001,"&lt;&gt;"))))</f>
        <v/>
      </c>
      <c r="J151" t="str">
        <f>IF($A151&gt;$B$9,"",IF(COUNTIFS(Base!$B$3:$B$5001,J$127,Base!$A$3:$A$5001,"&gt;="&amp;$C$7,Base!$A$3:$A$5001,"&lt;="&amp;$B151,Base!$W$3:$W$5001,"&lt;&gt;")=0,"",SUMIFS(Base!$W$3:$W$5001,Base!$B$3:$B$5001,J$127,Base!$A$3:$A$5001,_xlfn.MAXIFS(Base!$A$3:$A$5001,Base!$B$3:$B$5001,J$127,Base!$A$3:$A$5001,"&gt;="&amp;$C$7,Base!$A$3:$A$5001,"&lt;="&amp;$B151,Base!$W$3:$W$5001,"&lt;&gt;"))))</f>
        <v/>
      </c>
      <c r="K151" t="str">
        <f>IF($A151&gt;$B$9,"",IF(COUNTIFS(Base!$B$3:$B$5001,K$127,Base!$A$3:$A$5001,"&gt;="&amp;$C$7,Base!$A$3:$A$5001,"&lt;="&amp;$B151,Base!$W$3:$W$5001,"&lt;&gt;")=0,"",SUMIFS(Base!$W$3:$W$5001,Base!$B$3:$B$5001,K$127,Base!$A$3:$A$5001,_xlfn.MAXIFS(Base!$A$3:$A$5001,Base!$B$3:$B$5001,K$127,Base!$A$3:$A$5001,"&gt;="&amp;$C$7,Base!$A$3:$A$5001,"&lt;="&amp;$B151,Base!$W$3:$W$5001,"&lt;&gt;"))))</f>
        <v/>
      </c>
    </row>
    <row r="152">
      <c r="A152">
        <v>25</v>
      </c>
      <c r="B152" s="152">
        <f>$B$36</f>
        <v>46290</v>
      </c>
      <c r="C152" t="str">
        <f>IF($A152&gt;$B$9,"",IF(COUNTIFS(Base!$B$3:$B$5001,C$127,Base!$A$3:$A$5001,"&gt;="&amp;$C$7,Base!$A$3:$A$5001,"&lt;="&amp;$B152,Base!$W$3:$W$5001,"&lt;&gt;")=0,"",SUMIFS(Base!$W$3:$W$5001,Base!$B$3:$B$5001,C$127,Base!$A$3:$A$5001,_xlfn.MAXIFS(Base!$A$3:$A$5001,Base!$B$3:$B$5001,C$127,Base!$A$3:$A$5001,"&gt;="&amp;$C$7,Base!$A$3:$A$5001,"&lt;="&amp;$B152,Base!$W$3:$W$5001,"&lt;&gt;"))))</f>
        <v/>
      </c>
      <c r="D152" t="str">
        <f>IF($A152&gt;$B$9,"",IF(COUNTIFS(Base!$B$3:$B$5001,D$127,Base!$A$3:$A$5001,"&gt;="&amp;$C$7,Base!$A$3:$A$5001,"&lt;="&amp;$B152,Base!$W$3:$W$5001,"&lt;&gt;")=0,"",SUMIFS(Base!$W$3:$W$5001,Base!$B$3:$B$5001,D$127,Base!$A$3:$A$5001,_xlfn.MAXIFS(Base!$A$3:$A$5001,Base!$B$3:$B$5001,D$127,Base!$A$3:$A$5001,"&gt;="&amp;$C$7,Base!$A$3:$A$5001,"&lt;="&amp;$B152,Base!$W$3:$W$5001,"&lt;&gt;"))))</f>
        <v/>
      </c>
      <c r="E152" t="str">
        <f>IF($A152&gt;$B$9,"",IF(COUNTIFS(Base!$B$3:$B$5001,E$127,Base!$A$3:$A$5001,"&gt;="&amp;$C$7,Base!$A$3:$A$5001,"&lt;="&amp;$B152,Base!$W$3:$W$5001,"&lt;&gt;")=0,"",SUMIFS(Base!$W$3:$W$5001,Base!$B$3:$B$5001,E$127,Base!$A$3:$A$5001,_xlfn.MAXIFS(Base!$A$3:$A$5001,Base!$B$3:$B$5001,E$127,Base!$A$3:$A$5001,"&gt;="&amp;$C$7,Base!$A$3:$A$5001,"&lt;="&amp;$B152,Base!$W$3:$W$5001,"&lt;&gt;"))))</f>
        <v/>
      </c>
      <c r="F152" t="str">
        <f>IF($A152&gt;$B$9,"",IF(COUNTIFS(Base!$B$3:$B$5001,F$127,Base!$A$3:$A$5001,"&gt;="&amp;$C$7,Base!$A$3:$A$5001,"&lt;="&amp;$B152,Base!$W$3:$W$5001,"&lt;&gt;")=0,"",SUMIFS(Base!$W$3:$W$5001,Base!$B$3:$B$5001,F$127,Base!$A$3:$A$5001,_xlfn.MAXIFS(Base!$A$3:$A$5001,Base!$B$3:$B$5001,F$127,Base!$A$3:$A$5001,"&gt;="&amp;$C$7,Base!$A$3:$A$5001,"&lt;="&amp;$B152,Base!$W$3:$W$5001,"&lt;&gt;"))))</f>
        <v/>
      </c>
      <c r="G152" t="str">
        <f>IF($A152&gt;$B$9,"",IF(COUNTIFS(Base!$B$3:$B$5001,G$127,Base!$A$3:$A$5001,"&gt;="&amp;$C$7,Base!$A$3:$A$5001,"&lt;="&amp;$B152,Base!$W$3:$W$5001,"&lt;&gt;")=0,"",SUMIFS(Base!$W$3:$W$5001,Base!$B$3:$B$5001,G$127,Base!$A$3:$A$5001,_xlfn.MAXIFS(Base!$A$3:$A$5001,Base!$B$3:$B$5001,G$127,Base!$A$3:$A$5001,"&gt;="&amp;$C$7,Base!$A$3:$A$5001,"&lt;="&amp;$B152,Base!$W$3:$W$5001,"&lt;&gt;"))))</f>
        <v/>
      </c>
      <c r="H152" t="str">
        <f>IF($A152&gt;$B$9,"",IF(COUNTIFS(Base!$B$3:$B$5001,H$127,Base!$A$3:$A$5001,"&gt;="&amp;$C$7,Base!$A$3:$A$5001,"&lt;="&amp;$B152,Base!$W$3:$W$5001,"&lt;&gt;")=0,"",SUMIFS(Base!$W$3:$W$5001,Base!$B$3:$B$5001,H$127,Base!$A$3:$A$5001,_xlfn.MAXIFS(Base!$A$3:$A$5001,Base!$B$3:$B$5001,H$127,Base!$A$3:$A$5001,"&gt;="&amp;$C$7,Base!$A$3:$A$5001,"&lt;="&amp;$B152,Base!$W$3:$W$5001,"&lt;&gt;"))))</f>
        <v/>
      </c>
      <c r="I152" t="str">
        <f>IF($A152&gt;$B$9,"",IF(COUNTIFS(Base!$B$3:$B$5001,I$127,Base!$A$3:$A$5001,"&gt;="&amp;$C$7,Base!$A$3:$A$5001,"&lt;="&amp;$B152,Base!$W$3:$W$5001,"&lt;&gt;")=0,"",SUMIFS(Base!$W$3:$W$5001,Base!$B$3:$B$5001,I$127,Base!$A$3:$A$5001,_xlfn.MAXIFS(Base!$A$3:$A$5001,Base!$B$3:$B$5001,I$127,Base!$A$3:$A$5001,"&gt;="&amp;$C$7,Base!$A$3:$A$5001,"&lt;="&amp;$B152,Base!$W$3:$W$5001,"&lt;&gt;"))))</f>
        <v/>
      </c>
      <c r="J152" t="str">
        <f>IF($A152&gt;$B$9,"",IF(COUNTIFS(Base!$B$3:$B$5001,J$127,Base!$A$3:$A$5001,"&gt;="&amp;$C$7,Base!$A$3:$A$5001,"&lt;="&amp;$B152,Base!$W$3:$W$5001,"&lt;&gt;")=0,"",SUMIFS(Base!$W$3:$W$5001,Base!$B$3:$B$5001,J$127,Base!$A$3:$A$5001,_xlfn.MAXIFS(Base!$A$3:$A$5001,Base!$B$3:$B$5001,J$127,Base!$A$3:$A$5001,"&gt;="&amp;$C$7,Base!$A$3:$A$5001,"&lt;="&amp;$B152,Base!$W$3:$W$5001,"&lt;&gt;"))))</f>
        <v/>
      </c>
      <c r="K152" t="str">
        <f>IF($A152&gt;$B$9,"",IF(COUNTIFS(Base!$B$3:$B$5001,K$127,Base!$A$3:$A$5001,"&gt;="&amp;$C$7,Base!$A$3:$A$5001,"&lt;="&amp;$B152,Base!$W$3:$W$5001,"&lt;&gt;")=0,"",SUMIFS(Base!$W$3:$W$5001,Base!$B$3:$B$5001,K$127,Base!$A$3:$A$5001,_xlfn.MAXIFS(Base!$A$3:$A$5001,Base!$B$3:$B$5001,K$127,Base!$A$3:$A$5001,"&gt;="&amp;$C$7,Base!$A$3:$A$5001,"&lt;="&amp;$B152,Base!$W$3:$W$5001,"&lt;&gt;"))))</f>
        <v/>
      </c>
    </row>
    <row r="153">
      <c r="A153">
        <v>26</v>
      </c>
      <c r="B153" s="152">
        <f>$B$37</f>
        <v>46291</v>
      </c>
      <c r="C153" t="str">
        <f>IF($A153&gt;$B$9,"",IF(COUNTIFS(Base!$B$3:$B$5001,C$127,Base!$A$3:$A$5001,"&gt;="&amp;$C$7,Base!$A$3:$A$5001,"&lt;="&amp;$B153,Base!$W$3:$W$5001,"&lt;&gt;")=0,"",SUMIFS(Base!$W$3:$W$5001,Base!$B$3:$B$5001,C$127,Base!$A$3:$A$5001,_xlfn.MAXIFS(Base!$A$3:$A$5001,Base!$B$3:$B$5001,C$127,Base!$A$3:$A$5001,"&gt;="&amp;$C$7,Base!$A$3:$A$5001,"&lt;="&amp;$B153,Base!$W$3:$W$5001,"&lt;&gt;"))))</f>
        <v/>
      </c>
      <c r="D153" t="str">
        <f>IF($A153&gt;$B$9,"",IF(COUNTIFS(Base!$B$3:$B$5001,D$127,Base!$A$3:$A$5001,"&gt;="&amp;$C$7,Base!$A$3:$A$5001,"&lt;="&amp;$B153,Base!$W$3:$W$5001,"&lt;&gt;")=0,"",SUMIFS(Base!$W$3:$W$5001,Base!$B$3:$B$5001,D$127,Base!$A$3:$A$5001,_xlfn.MAXIFS(Base!$A$3:$A$5001,Base!$B$3:$B$5001,D$127,Base!$A$3:$A$5001,"&gt;="&amp;$C$7,Base!$A$3:$A$5001,"&lt;="&amp;$B153,Base!$W$3:$W$5001,"&lt;&gt;"))))</f>
        <v/>
      </c>
      <c r="E153" t="str">
        <f>IF($A153&gt;$B$9,"",IF(COUNTIFS(Base!$B$3:$B$5001,E$127,Base!$A$3:$A$5001,"&gt;="&amp;$C$7,Base!$A$3:$A$5001,"&lt;="&amp;$B153,Base!$W$3:$W$5001,"&lt;&gt;")=0,"",SUMIFS(Base!$W$3:$W$5001,Base!$B$3:$B$5001,E$127,Base!$A$3:$A$5001,_xlfn.MAXIFS(Base!$A$3:$A$5001,Base!$B$3:$B$5001,E$127,Base!$A$3:$A$5001,"&gt;="&amp;$C$7,Base!$A$3:$A$5001,"&lt;="&amp;$B153,Base!$W$3:$W$5001,"&lt;&gt;"))))</f>
        <v/>
      </c>
      <c r="F153" t="str">
        <f>IF($A153&gt;$B$9,"",IF(COUNTIFS(Base!$B$3:$B$5001,F$127,Base!$A$3:$A$5001,"&gt;="&amp;$C$7,Base!$A$3:$A$5001,"&lt;="&amp;$B153,Base!$W$3:$W$5001,"&lt;&gt;")=0,"",SUMIFS(Base!$W$3:$W$5001,Base!$B$3:$B$5001,F$127,Base!$A$3:$A$5001,_xlfn.MAXIFS(Base!$A$3:$A$5001,Base!$B$3:$B$5001,F$127,Base!$A$3:$A$5001,"&gt;="&amp;$C$7,Base!$A$3:$A$5001,"&lt;="&amp;$B153,Base!$W$3:$W$5001,"&lt;&gt;"))))</f>
        <v/>
      </c>
      <c r="G153" t="str">
        <f>IF($A153&gt;$B$9,"",IF(COUNTIFS(Base!$B$3:$B$5001,G$127,Base!$A$3:$A$5001,"&gt;="&amp;$C$7,Base!$A$3:$A$5001,"&lt;="&amp;$B153,Base!$W$3:$W$5001,"&lt;&gt;")=0,"",SUMIFS(Base!$W$3:$W$5001,Base!$B$3:$B$5001,G$127,Base!$A$3:$A$5001,_xlfn.MAXIFS(Base!$A$3:$A$5001,Base!$B$3:$B$5001,G$127,Base!$A$3:$A$5001,"&gt;="&amp;$C$7,Base!$A$3:$A$5001,"&lt;="&amp;$B153,Base!$W$3:$W$5001,"&lt;&gt;"))))</f>
        <v/>
      </c>
      <c r="H153" t="str">
        <f>IF($A153&gt;$B$9,"",IF(COUNTIFS(Base!$B$3:$B$5001,H$127,Base!$A$3:$A$5001,"&gt;="&amp;$C$7,Base!$A$3:$A$5001,"&lt;="&amp;$B153,Base!$W$3:$W$5001,"&lt;&gt;")=0,"",SUMIFS(Base!$W$3:$W$5001,Base!$B$3:$B$5001,H$127,Base!$A$3:$A$5001,_xlfn.MAXIFS(Base!$A$3:$A$5001,Base!$B$3:$B$5001,H$127,Base!$A$3:$A$5001,"&gt;="&amp;$C$7,Base!$A$3:$A$5001,"&lt;="&amp;$B153,Base!$W$3:$W$5001,"&lt;&gt;"))))</f>
        <v/>
      </c>
      <c r="I153" t="str">
        <f>IF($A153&gt;$B$9,"",IF(COUNTIFS(Base!$B$3:$B$5001,I$127,Base!$A$3:$A$5001,"&gt;="&amp;$C$7,Base!$A$3:$A$5001,"&lt;="&amp;$B153,Base!$W$3:$W$5001,"&lt;&gt;")=0,"",SUMIFS(Base!$W$3:$W$5001,Base!$B$3:$B$5001,I$127,Base!$A$3:$A$5001,_xlfn.MAXIFS(Base!$A$3:$A$5001,Base!$B$3:$B$5001,I$127,Base!$A$3:$A$5001,"&gt;="&amp;$C$7,Base!$A$3:$A$5001,"&lt;="&amp;$B153,Base!$W$3:$W$5001,"&lt;&gt;"))))</f>
        <v/>
      </c>
      <c r="J153" t="str">
        <f>IF($A153&gt;$B$9,"",IF(COUNTIFS(Base!$B$3:$B$5001,J$127,Base!$A$3:$A$5001,"&gt;="&amp;$C$7,Base!$A$3:$A$5001,"&lt;="&amp;$B153,Base!$W$3:$W$5001,"&lt;&gt;")=0,"",SUMIFS(Base!$W$3:$W$5001,Base!$B$3:$B$5001,J$127,Base!$A$3:$A$5001,_xlfn.MAXIFS(Base!$A$3:$A$5001,Base!$B$3:$B$5001,J$127,Base!$A$3:$A$5001,"&gt;="&amp;$C$7,Base!$A$3:$A$5001,"&lt;="&amp;$B153,Base!$W$3:$W$5001,"&lt;&gt;"))))</f>
        <v/>
      </c>
      <c r="K153" t="str">
        <f>IF($A153&gt;$B$9,"",IF(COUNTIFS(Base!$B$3:$B$5001,K$127,Base!$A$3:$A$5001,"&gt;="&amp;$C$7,Base!$A$3:$A$5001,"&lt;="&amp;$B153,Base!$W$3:$W$5001,"&lt;&gt;")=0,"",SUMIFS(Base!$W$3:$W$5001,Base!$B$3:$B$5001,K$127,Base!$A$3:$A$5001,_xlfn.MAXIFS(Base!$A$3:$A$5001,Base!$B$3:$B$5001,K$127,Base!$A$3:$A$5001,"&gt;="&amp;$C$7,Base!$A$3:$A$5001,"&lt;="&amp;$B153,Base!$W$3:$W$5001,"&lt;&gt;"))))</f>
        <v/>
      </c>
    </row>
    <row r="154">
      <c r="A154">
        <v>27</v>
      </c>
      <c r="B154" s="152">
        <f>$B$38</f>
        <v>46292</v>
      </c>
      <c r="C154" t="str">
        <f>IF($A154&gt;$B$9,"",IF(COUNTIFS(Base!$B$3:$B$5001,C$127,Base!$A$3:$A$5001,"&gt;="&amp;$C$7,Base!$A$3:$A$5001,"&lt;="&amp;$B154,Base!$W$3:$W$5001,"&lt;&gt;")=0,"",SUMIFS(Base!$W$3:$W$5001,Base!$B$3:$B$5001,C$127,Base!$A$3:$A$5001,_xlfn.MAXIFS(Base!$A$3:$A$5001,Base!$B$3:$B$5001,C$127,Base!$A$3:$A$5001,"&gt;="&amp;$C$7,Base!$A$3:$A$5001,"&lt;="&amp;$B154,Base!$W$3:$W$5001,"&lt;&gt;"))))</f>
        <v/>
      </c>
      <c r="D154" t="str">
        <f>IF($A154&gt;$B$9,"",IF(COUNTIFS(Base!$B$3:$B$5001,D$127,Base!$A$3:$A$5001,"&gt;="&amp;$C$7,Base!$A$3:$A$5001,"&lt;="&amp;$B154,Base!$W$3:$W$5001,"&lt;&gt;")=0,"",SUMIFS(Base!$W$3:$W$5001,Base!$B$3:$B$5001,D$127,Base!$A$3:$A$5001,_xlfn.MAXIFS(Base!$A$3:$A$5001,Base!$B$3:$B$5001,D$127,Base!$A$3:$A$5001,"&gt;="&amp;$C$7,Base!$A$3:$A$5001,"&lt;="&amp;$B154,Base!$W$3:$W$5001,"&lt;&gt;"))))</f>
        <v/>
      </c>
      <c r="E154" t="str">
        <f>IF($A154&gt;$B$9,"",IF(COUNTIFS(Base!$B$3:$B$5001,E$127,Base!$A$3:$A$5001,"&gt;="&amp;$C$7,Base!$A$3:$A$5001,"&lt;="&amp;$B154,Base!$W$3:$W$5001,"&lt;&gt;")=0,"",SUMIFS(Base!$W$3:$W$5001,Base!$B$3:$B$5001,E$127,Base!$A$3:$A$5001,_xlfn.MAXIFS(Base!$A$3:$A$5001,Base!$B$3:$B$5001,E$127,Base!$A$3:$A$5001,"&gt;="&amp;$C$7,Base!$A$3:$A$5001,"&lt;="&amp;$B154,Base!$W$3:$W$5001,"&lt;&gt;"))))</f>
        <v/>
      </c>
      <c r="F154" t="str">
        <f>IF($A154&gt;$B$9,"",IF(COUNTIFS(Base!$B$3:$B$5001,F$127,Base!$A$3:$A$5001,"&gt;="&amp;$C$7,Base!$A$3:$A$5001,"&lt;="&amp;$B154,Base!$W$3:$W$5001,"&lt;&gt;")=0,"",SUMIFS(Base!$W$3:$W$5001,Base!$B$3:$B$5001,F$127,Base!$A$3:$A$5001,_xlfn.MAXIFS(Base!$A$3:$A$5001,Base!$B$3:$B$5001,F$127,Base!$A$3:$A$5001,"&gt;="&amp;$C$7,Base!$A$3:$A$5001,"&lt;="&amp;$B154,Base!$W$3:$W$5001,"&lt;&gt;"))))</f>
        <v/>
      </c>
      <c r="G154" t="str">
        <f>IF($A154&gt;$B$9,"",IF(COUNTIFS(Base!$B$3:$B$5001,G$127,Base!$A$3:$A$5001,"&gt;="&amp;$C$7,Base!$A$3:$A$5001,"&lt;="&amp;$B154,Base!$W$3:$W$5001,"&lt;&gt;")=0,"",SUMIFS(Base!$W$3:$W$5001,Base!$B$3:$B$5001,G$127,Base!$A$3:$A$5001,_xlfn.MAXIFS(Base!$A$3:$A$5001,Base!$B$3:$B$5001,G$127,Base!$A$3:$A$5001,"&gt;="&amp;$C$7,Base!$A$3:$A$5001,"&lt;="&amp;$B154,Base!$W$3:$W$5001,"&lt;&gt;"))))</f>
        <v/>
      </c>
      <c r="H154" t="str">
        <f>IF($A154&gt;$B$9,"",IF(COUNTIFS(Base!$B$3:$B$5001,H$127,Base!$A$3:$A$5001,"&gt;="&amp;$C$7,Base!$A$3:$A$5001,"&lt;="&amp;$B154,Base!$W$3:$W$5001,"&lt;&gt;")=0,"",SUMIFS(Base!$W$3:$W$5001,Base!$B$3:$B$5001,H$127,Base!$A$3:$A$5001,_xlfn.MAXIFS(Base!$A$3:$A$5001,Base!$B$3:$B$5001,H$127,Base!$A$3:$A$5001,"&gt;="&amp;$C$7,Base!$A$3:$A$5001,"&lt;="&amp;$B154,Base!$W$3:$W$5001,"&lt;&gt;"))))</f>
        <v/>
      </c>
      <c r="I154" t="str">
        <f>IF($A154&gt;$B$9,"",IF(COUNTIFS(Base!$B$3:$B$5001,I$127,Base!$A$3:$A$5001,"&gt;="&amp;$C$7,Base!$A$3:$A$5001,"&lt;="&amp;$B154,Base!$W$3:$W$5001,"&lt;&gt;")=0,"",SUMIFS(Base!$W$3:$W$5001,Base!$B$3:$B$5001,I$127,Base!$A$3:$A$5001,_xlfn.MAXIFS(Base!$A$3:$A$5001,Base!$B$3:$B$5001,I$127,Base!$A$3:$A$5001,"&gt;="&amp;$C$7,Base!$A$3:$A$5001,"&lt;="&amp;$B154,Base!$W$3:$W$5001,"&lt;&gt;"))))</f>
        <v/>
      </c>
      <c r="J154" t="str">
        <f>IF($A154&gt;$B$9,"",IF(COUNTIFS(Base!$B$3:$B$5001,J$127,Base!$A$3:$A$5001,"&gt;="&amp;$C$7,Base!$A$3:$A$5001,"&lt;="&amp;$B154,Base!$W$3:$W$5001,"&lt;&gt;")=0,"",SUMIFS(Base!$W$3:$W$5001,Base!$B$3:$B$5001,J$127,Base!$A$3:$A$5001,_xlfn.MAXIFS(Base!$A$3:$A$5001,Base!$B$3:$B$5001,J$127,Base!$A$3:$A$5001,"&gt;="&amp;$C$7,Base!$A$3:$A$5001,"&lt;="&amp;$B154,Base!$W$3:$W$5001,"&lt;&gt;"))))</f>
        <v/>
      </c>
      <c r="K154" t="str">
        <f>IF($A154&gt;$B$9,"",IF(COUNTIFS(Base!$B$3:$B$5001,K$127,Base!$A$3:$A$5001,"&gt;="&amp;$C$7,Base!$A$3:$A$5001,"&lt;="&amp;$B154,Base!$W$3:$W$5001,"&lt;&gt;")=0,"",SUMIFS(Base!$W$3:$W$5001,Base!$B$3:$B$5001,K$127,Base!$A$3:$A$5001,_xlfn.MAXIFS(Base!$A$3:$A$5001,Base!$B$3:$B$5001,K$127,Base!$A$3:$A$5001,"&gt;="&amp;$C$7,Base!$A$3:$A$5001,"&lt;="&amp;$B154,Base!$W$3:$W$5001,"&lt;&gt;"))))</f>
        <v/>
      </c>
    </row>
    <row r="155">
      <c r="A155">
        <v>28</v>
      </c>
      <c r="B155" s="152">
        <f>$B$39</f>
        <v>46293</v>
      </c>
      <c r="C155" t="str">
        <f>IF($A155&gt;$B$9,"",IF(COUNTIFS(Base!$B$3:$B$5001,C$127,Base!$A$3:$A$5001,"&gt;="&amp;$C$7,Base!$A$3:$A$5001,"&lt;="&amp;$B155,Base!$W$3:$W$5001,"&lt;&gt;")=0,"",SUMIFS(Base!$W$3:$W$5001,Base!$B$3:$B$5001,C$127,Base!$A$3:$A$5001,_xlfn.MAXIFS(Base!$A$3:$A$5001,Base!$B$3:$B$5001,C$127,Base!$A$3:$A$5001,"&gt;="&amp;$C$7,Base!$A$3:$A$5001,"&lt;="&amp;$B155,Base!$W$3:$W$5001,"&lt;&gt;"))))</f>
        <v/>
      </c>
      <c r="D155" t="str">
        <f>IF($A155&gt;$B$9,"",IF(COUNTIFS(Base!$B$3:$B$5001,D$127,Base!$A$3:$A$5001,"&gt;="&amp;$C$7,Base!$A$3:$A$5001,"&lt;="&amp;$B155,Base!$W$3:$W$5001,"&lt;&gt;")=0,"",SUMIFS(Base!$W$3:$W$5001,Base!$B$3:$B$5001,D$127,Base!$A$3:$A$5001,_xlfn.MAXIFS(Base!$A$3:$A$5001,Base!$B$3:$B$5001,D$127,Base!$A$3:$A$5001,"&gt;="&amp;$C$7,Base!$A$3:$A$5001,"&lt;="&amp;$B155,Base!$W$3:$W$5001,"&lt;&gt;"))))</f>
        <v/>
      </c>
      <c r="E155" t="str">
        <f>IF($A155&gt;$B$9,"",IF(COUNTIFS(Base!$B$3:$B$5001,E$127,Base!$A$3:$A$5001,"&gt;="&amp;$C$7,Base!$A$3:$A$5001,"&lt;="&amp;$B155,Base!$W$3:$W$5001,"&lt;&gt;")=0,"",SUMIFS(Base!$W$3:$W$5001,Base!$B$3:$B$5001,E$127,Base!$A$3:$A$5001,_xlfn.MAXIFS(Base!$A$3:$A$5001,Base!$B$3:$B$5001,E$127,Base!$A$3:$A$5001,"&gt;="&amp;$C$7,Base!$A$3:$A$5001,"&lt;="&amp;$B155,Base!$W$3:$W$5001,"&lt;&gt;"))))</f>
        <v/>
      </c>
      <c r="F155" t="str">
        <f>IF($A155&gt;$B$9,"",IF(COUNTIFS(Base!$B$3:$B$5001,F$127,Base!$A$3:$A$5001,"&gt;="&amp;$C$7,Base!$A$3:$A$5001,"&lt;="&amp;$B155,Base!$W$3:$W$5001,"&lt;&gt;")=0,"",SUMIFS(Base!$W$3:$W$5001,Base!$B$3:$B$5001,F$127,Base!$A$3:$A$5001,_xlfn.MAXIFS(Base!$A$3:$A$5001,Base!$B$3:$B$5001,F$127,Base!$A$3:$A$5001,"&gt;="&amp;$C$7,Base!$A$3:$A$5001,"&lt;="&amp;$B155,Base!$W$3:$W$5001,"&lt;&gt;"))))</f>
        <v/>
      </c>
      <c r="G155" t="str">
        <f>IF($A155&gt;$B$9,"",IF(COUNTIFS(Base!$B$3:$B$5001,G$127,Base!$A$3:$A$5001,"&gt;="&amp;$C$7,Base!$A$3:$A$5001,"&lt;="&amp;$B155,Base!$W$3:$W$5001,"&lt;&gt;")=0,"",SUMIFS(Base!$W$3:$W$5001,Base!$B$3:$B$5001,G$127,Base!$A$3:$A$5001,_xlfn.MAXIFS(Base!$A$3:$A$5001,Base!$B$3:$B$5001,G$127,Base!$A$3:$A$5001,"&gt;="&amp;$C$7,Base!$A$3:$A$5001,"&lt;="&amp;$B155,Base!$W$3:$W$5001,"&lt;&gt;"))))</f>
        <v/>
      </c>
      <c r="H155" t="str">
        <f>IF($A155&gt;$B$9,"",IF(COUNTIFS(Base!$B$3:$B$5001,H$127,Base!$A$3:$A$5001,"&gt;="&amp;$C$7,Base!$A$3:$A$5001,"&lt;="&amp;$B155,Base!$W$3:$W$5001,"&lt;&gt;")=0,"",SUMIFS(Base!$W$3:$W$5001,Base!$B$3:$B$5001,H$127,Base!$A$3:$A$5001,_xlfn.MAXIFS(Base!$A$3:$A$5001,Base!$B$3:$B$5001,H$127,Base!$A$3:$A$5001,"&gt;="&amp;$C$7,Base!$A$3:$A$5001,"&lt;="&amp;$B155,Base!$W$3:$W$5001,"&lt;&gt;"))))</f>
        <v/>
      </c>
      <c r="I155" t="str">
        <f>IF($A155&gt;$B$9,"",IF(COUNTIFS(Base!$B$3:$B$5001,I$127,Base!$A$3:$A$5001,"&gt;="&amp;$C$7,Base!$A$3:$A$5001,"&lt;="&amp;$B155,Base!$W$3:$W$5001,"&lt;&gt;")=0,"",SUMIFS(Base!$W$3:$W$5001,Base!$B$3:$B$5001,I$127,Base!$A$3:$A$5001,_xlfn.MAXIFS(Base!$A$3:$A$5001,Base!$B$3:$B$5001,I$127,Base!$A$3:$A$5001,"&gt;="&amp;$C$7,Base!$A$3:$A$5001,"&lt;="&amp;$B155,Base!$W$3:$W$5001,"&lt;&gt;"))))</f>
        <v/>
      </c>
      <c r="J155" t="str">
        <f>IF($A155&gt;$B$9,"",IF(COUNTIFS(Base!$B$3:$B$5001,J$127,Base!$A$3:$A$5001,"&gt;="&amp;$C$7,Base!$A$3:$A$5001,"&lt;="&amp;$B155,Base!$W$3:$W$5001,"&lt;&gt;")=0,"",SUMIFS(Base!$W$3:$W$5001,Base!$B$3:$B$5001,J$127,Base!$A$3:$A$5001,_xlfn.MAXIFS(Base!$A$3:$A$5001,Base!$B$3:$B$5001,J$127,Base!$A$3:$A$5001,"&gt;="&amp;$C$7,Base!$A$3:$A$5001,"&lt;="&amp;$B155,Base!$W$3:$W$5001,"&lt;&gt;"))))</f>
        <v/>
      </c>
      <c r="K155" t="str">
        <f>IF($A155&gt;$B$9,"",IF(COUNTIFS(Base!$B$3:$B$5001,K$127,Base!$A$3:$A$5001,"&gt;="&amp;$C$7,Base!$A$3:$A$5001,"&lt;="&amp;$B155,Base!$W$3:$W$5001,"&lt;&gt;")=0,"",SUMIFS(Base!$W$3:$W$5001,Base!$B$3:$B$5001,K$127,Base!$A$3:$A$5001,_xlfn.MAXIFS(Base!$A$3:$A$5001,Base!$B$3:$B$5001,K$127,Base!$A$3:$A$5001,"&gt;="&amp;$C$7,Base!$A$3:$A$5001,"&lt;="&amp;$B155,Base!$W$3:$W$5001,"&lt;&gt;"))))</f>
        <v/>
      </c>
    </row>
    <row r="156">
      <c r="A156">
        <v>29</v>
      </c>
      <c r="B156" s="152">
        <f>$B$40</f>
        <v>46294</v>
      </c>
      <c r="C156" t="str">
        <f>IF($A156&gt;$B$9,"",IF(COUNTIFS(Base!$B$3:$B$5001,C$127,Base!$A$3:$A$5001,"&gt;="&amp;$C$7,Base!$A$3:$A$5001,"&lt;="&amp;$B156,Base!$W$3:$W$5001,"&lt;&gt;")=0,"",SUMIFS(Base!$W$3:$W$5001,Base!$B$3:$B$5001,C$127,Base!$A$3:$A$5001,_xlfn.MAXIFS(Base!$A$3:$A$5001,Base!$B$3:$B$5001,C$127,Base!$A$3:$A$5001,"&gt;="&amp;$C$7,Base!$A$3:$A$5001,"&lt;="&amp;$B156,Base!$W$3:$W$5001,"&lt;&gt;"))))</f>
        <v/>
      </c>
      <c r="D156" t="str">
        <f>IF($A156&gt;$B$9,"",IF(COUNTIFS(Base!$B$3:$B$5001,D$127,Base!$A$3:$A$5001,"&gt;="&amp;$C$7,Base!$A$3:$A$5001,"&lt;="&amp;$B156,Base!$W$3:$W$5001,"&lt;&gt;")=0,"",SUMIFS(Base!$W$3:$W$5001,Base!$B$3:$B$5001,D$127,Base!$A$3:$A$5001,_xlfn.MAXIFS(Base!$A$3:$A$5001,Base!$B$3:$B$5001,D$127,Base!$A$3:$A$5001,"&gt;="&amp;$C$7,Base!$A$3:$A$5001,"&lt;="&amp;$B156,Base!$W$3:$W$5001,"&lt;&gt;"))))</f>
        <v/>
      </c>
      <c r="E156" t="str">
        <f>IF($A156&gt;$B$9,"",IF(COUNTIFS(Base!$B$3:$B$5001,E$127,Base!$A$3:$A$5001,"&gt;="&amp;$C$7,Base!$A$3:$A$5001,"&lt;="&amp;$B156,Base!$W$3:$W$5001,"&lt;&gt;")=0,"",SUMIFS(Base!$W$3:$W$5001,Base!$B$3:$B$5001,E$127,Base!$A$3:$A$5001,_xlfn.MAXIFS(Base!$A$3:$A$5001,Base!$B$3:$B$5001,E$127,Base!$A$3:$A$5001,"&gt;="&amp;$C$7,Base!$A$3:$A$5001,"&lt;="&amp;$B156,Base!$W$3:$W$5001,"&lt;&gt;"))))</f>
        <v/>
      </c>
      <c r="F156" t="str">
        <f>IF($A156&gt;$B$9,"",IF(COUNTIFS(Base!$B$3:$B$5001,F$127,Base!$A$3:$A$5001,"&gt;="&amp;$C$7,Base!$A$3:$A$5001,"&lt;="&amp;$B156,Base!$W$3:$W$5001,"&lt;&gt;")=0,"",SUMIFS(Base!$W$3:$W$5001,Base!$B$3:$B$5001,F$127,Base!$A$3:$A$5001,_xlfn.MAXIFS(Base!$A$3:$A$5001,Base!$B$3:$B$5001,F$127,Base!$A$3:$A$5001,"&gt;="&amp;$C$7,Base!$A$3:$A$5001,"&lt;="&amp;$B156,Base!$W$3:$W$5001,"&lt;&gt;"))))</f>
        <v/>
      </c>
      <c r="G156" t="str">
        <f>IF($A156&gt;$B$9,"",IF(COUNTIFS(Base!$B$3:$B$5001,G$127,Base!$A$3:$A$5001,"&gt;="&amp;$C$7,Base!$A$3:$A$5001,"&lt;="&amp;$B156,Base!$W$3:$W$5001,"&lt;&gt;")=0,"",SUMIFS(Base!$W$3:$W$5001,Base!$B$3:$B$5001,G$127,Base!$A$3:$A$5001,_xlfn.MAXIFS(Base!$A$3:$A$5001,Base!$B$3:$B$5001,G$127,Base!$A$3:$A$5001,"&gt;="&amp;$C$7,Base!$A$3:$A$5001,"&lt;="&amp;$B156,Base!$W$3:$W$5001,"&lt;&gt;"))))</f>
        <v/>
      </c>
      <c r="H156" t="str">
        <f>IF($A156&gt;$B$9,"",IF(COUNTIFS(Base!$B$3:$B$5001,H$127,Base!$A$3:$A$5001,"&gt;="&amp;$C$7,Base!$A$3:$A$5001,"&lt;="&amp;$B156,Base!$W$3:$W$5001,"&lt;&gt;")=0,"",SUMIFS(Base!$W$3:$W$5001,Base!$B$3:$B$5001,H$127,Base!$A$3:$A$5001,_xlfn.MAXIFS(Base!$A$3:$A$5001,Base!$B$3:$B$5001,H$127,Base!$A$3:$A$5001,"&gt;="&amp;$C$7,Base!$A$3:$A$5001,"&lt;="&amp;$B156,Base!$W$3:$W$5001,"&lt;&gt;"))))</f>
        <v/>
      </c>
      <c r="I156" t="str">
        <f>IF($A156&gt;$B$9,"",IF(COUNTIFS(Base!$B$3:$B$5001,I$127,Base!$A$3:$A$5001,"&gt;="&amp;$C$7,Base!$A$3:$A$5001,"&lt;="&amp;$B156,Base!$W$3:$W$5001,"&lt;&gt;")=0,"",SUMIFS(Base!$W$3:$W$5001,Base!$B$3:$B$5001,I$127,Base!$A$3:$A$5001,_xlfn.MAXIFS(Base!$A$3:$A$5001,Base!$B$3:$B$5001,I$127,Base!$A$3:$A$5001,"&gt;="&amp;$C$7,Base!$A$3:$A$5001,"&lt;="&amp;$B156,Base!$W$3:$W$5001,"&lt;&gt;"))))</f>
        <v/>
      </c>
      <c r="J156" t="str">
        <f>IF($A156&gt;$B$9,"",IF(COUNTIFS(Base!$B$3:$B$5001,J$127,Base!$A$3:$A$5001,"&gt;="&amp;$C$7,Base!$A$3:$A$5001,"&lt;="&amp;$B156,Base!$W$3:$W$5001,"&lt;&gt;")=0,"",SUMIFS(Base!$W$3:$W$5001,Base!$B$3:$B$5001,J$127,Base!$A$3:$A$5001,_xlfn.MAXIFS(Base!$A$3:$A$5001,Base!$B$3:$B$5001,J$127,Base!$A$3:$A$5001,"&gt;="&amp;$C$7,Base!$A$3:$A$5001,"&lt;="&amp;$B156,Base!$W$3:$W$5001,"&lt;&gt;"))))</f>
        <v/>
      </c>
      <c r="K156" t="str">
        <f>IF($A156&gt;$B$9,"",IF(COUNTIFS(Base!$B$3:$B$5001,K$127,Base!$A$3:$A$5001,"&gt;="&amp;$C$7,Base!$A$3:$A$5001,"&lt;="&amp;$B156,Base!$W$3:$W$5001,"&lt;&gt;")=0,"",SUMIFS(Base!$W$3:$W$5001,Base!$B$3:$B$5001,K$127,Base!$A$3:$A$5001,_xlfn.MAXIFS(Base!$A$3:$A$5001,Base!$B$3:$B$5001,K$127,Base!$A$3:$A$5001,"&gt;="&amp;$C$7,Base!$A$3:$A$5001,"&lt;="&amp;$B156,Base!$W$3:$W$5001,"&lt;&gt;"))))</f>
        <v/>
      </c>
    </row>
    <row r="157">
      <c r="A157">
        <v>30</v>
      </c>
      <c r="B157" s="152">
        <f>$B$41</f>
        <v>46295</v>
      </c>
      <c r="C157" t="str">
        <f>IF($A157&gt;$B$9,"",IF(COUNTIFS(Base!$B$3:$B$5001,C$127,Base!$A$3:$A$5001,"&gt;="&amp;$C$7,Base!$A$3:$A$5001,"&lt;="&amp;$B157,Base!$W$3:$W$5001,"&lt;&gt;")=0,"",SUMIFS(Base!$W$3:$W$5001,Base!$B$3:$B$5001,C$127,Base!$A$3:$A$5001,_xlfn.MAXIFS(Base!$A$3:$A$5001,Base!$B$3:$B$5001,C$127,Base!$A$3:$A$5001,"&gt;="&amp;$C$7,Base!$A$3:$A$5001,"&lt;="&amp;$B157,Base!$W$3:$W$5001,"&lt;&gt;"))))</f>
        <v/>
      </c>
      <c r="D157" t="str">
        <f>IF($A157&gt;$B$9,"",IF(COUNTIFS(Base!$B$3:$B$5001,D$127,Base!$A$3:$A$5001,"&gt;="&amp;$C$7,Base!$A$3:$A$5001,"&lt;="&amp;$B157,Base!$W$3:$W$5001,"&lt;&gt;")=0,"",SUMIFS(Base!$W$3:$W$5001,Base!$B$3:$B$5001,D$127,Base!$A$3:$A$5001,_xlfn.MAXIFS(Base!$A$3:$A$5001,Base!$B$3:$B$5001,D$127,Base!$A$3:$A$5001,"&gt;="&amp;$C$7,Base!$A$3:$A$5001,"&lt;="&amp;$B157,Base!$W$3:$W$5001,"&lt;&gt;"))))</f>
        <v/>
      </c>
      <c r="E157" t="str">
        <f>IF($A157&gt;$B$9,"",IF(COUNTIFS(Base!$B$3:$B$5001,E$127,Base!$A$3:$A$5001,"&gt;="&amp;$C$7,Base!$A$3:$A$5001,"&lt;="&amp;$B157,Base!$W$3:$W$5001,"&lt;&gt;")=0,"",SUMIFS(Base!$W$3:$W$5001,Base!$B$3:$B$5001,E$127,Base!$A$3:$A$5001,_xlfn.MAXIFS(Base!$A$3:$A$5001,Base!$B$3:$B$5001,E$127,Base!$A$3:$A$5001,"&gt;="&amp;$C$7,Base!$A$3:$A$5001,"&lt;="&amp;$B157,Base!$W$3:$W$5001,"&lt;&gt;"))))</f>
        <v/>
      </c>
      <c r="F157" t="str">
        <f>IF($A157&gt;$B$9,"",IF(COUNTIFS(Base!$B$3:$B$5001,F$127,Base!$A$3:$A$5001,"&gt;="&amp;$C$7,Base!$A$3:$A$5001,"&lt;="&amp;$B157,Base!$W$3:$W$5001,"&lt;&gt;")=0,"",SUMIFS(Base!$W$3:$W$5001,Base!$B$3:$B$5001,F$127,Base!$A$3:$A$5001,_xlfn.MAXIFS(Base!$A$3:$A$5001,Base!$B$3:$B$5001,F$127,Base!$A$3:$A$5001,"&gt;="&amp;$C$7,Base!$A$3:$A$5001,"&lt;="&amp;$B157,Base!$W$3:$W$5001,"&lt;&gt;"))))</f>
        <v/>
      </c>
      <c r="G157" t="str">
        <f>IF($A157&gt;$B$9,"",IF(COUNTIFS(Base!$B$3:$B$5001,G$127,Base!$A$3:$A$5001,"&gt;="&amp;$C$7,Base!$A$3:$A$5001,"&lt;="&amp;$B157,Base!$W$3:$W$5001,"&lt;&gt;")=0,"",SUMIFS(Base!$W$3:$W$5001,Base!$B$3:$B$5001,G$127,Base!$A$3:$A$5001,_xlfn.MAXIFS(Base!$A$3:$A$5001,Base!$B$3:$B$5001,G$127,Base!$A$3:$A$5001,"&gt;="&amp;$C$7,Base!$A$3:$A$5001,"&lt;="&amp;$B157,Base!$W$3:$W$5001,"&lt;&gt;"))))</f>
        <v/>
      </c>
      <c r="H157" t="str">
        <f>IF($A157&gt;$B$9,"",IF(COUNTIFS(Base!$B$3:$B$5001,H$127,Base!$A$3:$A$5001,"&gt;="&amp;$C$7,Base!$A$3:$A$5001,"&lt;="&amp;$B157,Base!$W$3:$W$5001,"&lt;&gt;")=0,"",SUMIFS(Base!$W$3:$W$5001,Base!$B$3:$B$5001,H$127,Base!$A$3:$A$5001,_xlfn.MAXIFS(Base!$A$3:$A$5001,Base!$B$3:$B$5001,H$127,Base!$A$3:$A$5001,"&gt;="&amp;$C$7,Base!$A$3:$A$5001,"&lt;="&amp;$B157,Base!$W$3:$W$5001,"&lt;&gt;"))))</f>
        <v/>
      </c>
      <c r="I157" t="str">
        <f>IF($A157&gt;$B$9,"",IF(COUNTIFS(Base!$B$3:$B$5001,I$127,Base!$A$3:$A$5001,"&gt;="&amp;$C$7,Base!$A$3:$A$5001,"&lt;="&amp;$B157,Base!$W$3:$W$5001,"&lt;&gt;")=0,"",SUMIFS(Base!$W$3:$W$5001,Base!$B$3:$B$5001,I$127,Base!$A$3:$A$5001,_xlfn.MAXIFS(Base!$A$3:$A$5001,Base!$B$3:$B$5001,I$127,Base!$A$3:$A$5001,"&gt;="&amp;$C$7,Base!$A$3:$A$5001,"&lt;="&amp;$B157,Base!$W$3:$W$5001,"&lt;&gt;"))))</f>
        <v/>
      </c>
      <c r="J157" t="str">
        <f>IF($A157&gt;$B$9,"",IF(COUNTIFS(Base!$B$3:$B$5001,J$127,Base!$A$3:$A$5001,"&gt;="&amp;$C$7,Base!$A$3:$A$5001,"&lt;="&amp;$B157,Base!$W$3:$W$5001,"&lt;&gt;")=0,"",SUMIFS(Base!$W$3:$W$5001,Base!$B$3:$B$5001,J$127,Base!$A$3:$A$5001,_xlfn.MAXIFS(Base!$A$3:$A$5001,Base!$B$3:$B$5001,J$127,Base!$A$3:$A$5001,"&gt;="&amp;$C$7,Base!$A$3:$A$5001,"&lt;="&amp;$B157,Base!$W$3:$W$5001,"&lt;&gt;"))))</f>
        <v/>
      </c>
      <c r="K157" t="str">
        <f>IF($A157&gt;$B$9,"",IF(COUNTIFS(Base!$B$3:$B$5001,K$127,Base!$A$3:$A$5001,"&gt;="&amp;$C$7,Base!$A$3:$A$5001,"&lt;="&amp;$B157,Base!$W$3:$W$5001,"&lt;&gt;")=0,"",SUMIFS(Base!$W$3:$W$5001,Base!$B$3:$B$5001,K$127,Base!$A$3:$A$5001,_xlfn.MAXIFS(Base!$A$3:$A$5001,Base!$B$3:$B$5001,K$127,Base!$A$3:$A$5001,"&gt;="&amp;$C$7,Base!$A$3:$A$5001,"&lt;="&amp;$B157,Base!$W$3:$W$5001,"&lt;&gt;"))))</f>
        <v/>
      </c>
    </row>
    <row r="158">
      <c r="A158">
        <v>31</v>
      </c>
      <c r="B158" s="152" t="str">
        <f>$B$42</f>
        <v/>
      </c>
      <c r="C158" t="str">
        <f>IF($A158&gt;$B$9,"",IF(COUNTIFS(Base!$B$3:$B$5001,C$127,Base!$A$3:$A$5001,"&gt;="&amp;$C$7,Base!$A$3:$A$5001,"&lt;="&amp;$B158,Base!$W$3:$W$5001,"&lt;&gt;")=0,"",SUMIFS(Base!$W$3:$W$5001,Base!$B$3:$B$5001,C$127,Base!$A$3:$A$5001,_xlfn.MAXIFS(Base!$A$3:$A$5001,Base!$B$3:$B$5001,C$127,Base!$A$3:$A$5001,"&gt;="&amp;$C$7,Base!$A$3:$A$5001,"&lt;="&amp;$B158,Base!$W$3:$W$5001,"&lt;&gt;"))))</f>
        <v/>
      </c>
      <c r="D158" t="str">
        <f>IF($A158&gt;$B$9,"",IF(COUNTIFS(Base!$B$3:$B$5001,D$127,Base!$A$3:$A$5001,"&gt;="&amp;$C$7,Base!$A$3:$A$5001,"&lt;="&amp;$B158,Base!$W$3:$W$5001,"&lt;&gt;")=0,"",SUMIFS(Base!$W$3:$W$5001,Base!$B$3:$B$5001,D$127,Base!$A$3:$A$5001,_xlfn.MAXIFS(Base!$A$3:$A$5001,Base!$B$3:$B$5001,D$127,Base!$A$3:$A$5001,"&gt;="&amp;$C$7,Base!$A$3:$A$5001,"&lt;="&amp;$B158,Base!$W$3:$W$5001,"&lt;&gt;"))))</f>
        <v/>
      </c>
      <c r="E158" t="str">
        <f>IF($A158&gt;$B$9,"",IF(COUNTIFS(Base!$B$3:$B$5001,E$127,Base!$A$3:$A$5001,"&gt;="&amp;$C$7,Base!$A$3:$A$5001,"&lt;="&amp;$B158,Base!$W$3:$W$5001,"&lt;&gt;")=0,"",SUMIFS(Base!$W$3:$W$5001,Base!$B$3:$B$5001,E$127,Base!$A$3:$A$5001,_xlfn.MAXIFS(Base!$A$3:$A$5001,Base!$B$3:$B$5001,E$127,Base!$A$3:$A$5001,"&gt;="&amp;$C$7,Base!$A$3:$A$5001,"&lt;="&amp;$B158,Base!$W$3:$W$5001,"&lt;&gt;"))))</f>
        <v/>
      </c>
      <c r="F158" t="str">
        <f>IF($A158&gt;$B$9,"",IF(COUNTIFS(Base!$B$3:$B$5001,F$127,Base!$A$3:$A$5001,"&gt;="&amp;$C$7,Base!$A$3:$A$5001,"&lt;="&amp;$B158,Base!$W$3:$W$5001,"&lt;&gt;")=0,"",SUMIFS(Base!$W$3:$W$5001,Base!$B$3:$B$5001,F$127,Base!$A$3:$A$5001,_xlfn.MAXIFS(Base!$A$3:$A$5001,Base!$B$3:$B$5001,F$127,Base!$A$3:$A$5001,"&gt;="&amp;$C$7,Base!$A$3:$A$5001,"&lt;="&amp;$B158,Base!$W$3:$W$5001,"&lt;&gt;"))))</f>
        <v/>
      </c>
      <c r="G158" t="str">
        <f>IF($A158&gt;$B$9,"",IF(COUNTIFS(Base!$B$3:$B$5001,G$127,Base!$A$3:$A$5001,"&gt;="&amp;$C$7,Base!$A$3:$A$5001,"&lt;="&amp;$B158,Base!$W$3:$W$5001,"&lt;&gt;")=0,"",SUMIFS(Base!$W$3:$W$5001,Base!$B$3:$B$5001,G$127,Base!$A$3:$A$5001,_xlfn.MAXIFS(Base!$A$3:$A$5001,Base!$B$3:$B$5001,G$127,Base!$A$3:$A$5001,"&gt;="&amp;$C$7,Base!$A$3:$A$5001,"&lt;="&amp;$B158,Base!$W$3:$W$5001,"&lt;&gt;"))))</f>
        <v/>
      </c>
      <c r="H158" t="str">
        <f>IF($A158&gt;$B$9,"",IF(COUNTIFS(Base!$B$3:$B$5001,H$127,Base!$A$3:$A$5001,"&gt;="&amp;$C$7,Base!$A$3:$A$5001,"&lt;="&amp;$B158,Base!$W$3:$W$5001,"&lt;&gt;")=0,"",SUMIFS(Base!$W$3:$W$5001,Base!$B$3:$B$5001,H$127,Base!$A$3:$A$5001,_xlfn.MAXIFS(Base!$A$3:$A$5001,Base!$B$3:$B$5001,H$127,Base!$A$3:$A$5001,"&gt;="&amp;$C$7,Base!$A$3:$A$5001,"&lt;="&amp;$B158,Base!$W$3:$W$5001,"&lt;&gt;"))))</f>
        <v/>
      </c>
      <c r="I158" t="str">
        <f>IF($A158&gt;$B$9,"",IF(COUNTIFS(Base!$B$3:$B$5001,I$127,Base!$A$3:$A$5001,"&gt;="&amp;$C$7,Base!$A$3:$A$5001,"&lt;="&amp;$B158,Base!$W$3:$W$5001,"&lt;&gt;")=0,"",SUMIFS(Base!$W$3:$W$5001,Base!$B$3:$B$5001,I$127,Base!$A$3:$A$5001,_xlfn.MAXIFS(Base!$A$3:$A$5001,Base!$B$3:$B$5001,I$127,Base!$A$3:$A$5001,"&gt;="&amp;$C$7,Base!$A$3:$A$5001,"&lt;="&amp;$B158,Base!$W$3:$W$5001,"&lt;&gt;"))))</f>
        <v/>
      </c>
      <c r="J158" t="str">
        <f>IF($A158&gt;$B$9,"",IF(COUNTIFS(Base!$B$3:$B$5001,J$127,Base!$A$3:$A$5001,"&gt;="&amp;$C$7,Base!$A$3:$A$5001,"&lt;="&amp;$B158,Base!$W$3:$W$5001,"&lt;&gt;")=0,"",SUMIFS(Base!$W$3:$W$5001,Base!$B$3:$B$5001,J$127,Base!$A$3:$A$5001,_xlfn.MAXIFS(Base!$A$3:$A$5001,Base!$B$3:$B$5001,J$127,Base!$A$3:$A$5001,"&gt;="&amp;$C$7,Base!$A$3:$A$5001,"&lt;="&amp;$B158,Base!$W$3:$W$5001,"&lt;&gt;"))))</f>
        <v/>
      </c>
      <c r="K158" t="str">
        <f>IF($A158&gt;$B$9,"",IF(COUNTIFS(Base!$B$3:$B$5001,K$127,Base!$A$3:$A$5001,"&gt;="&amp;$C$7,Base!$A$3:$A$5001,"&lt;="&amp;$B158,Base!$W$3:$W$5001,"&lt;&gt;")=0,"",SUMIFS(Base!$W$3:$W$5001,Base!$B$3:$B$5001,K$127,Base!$A$3:$A$5001,_xlfn.MAXIFS(Base!$A$3:$A$5001,Base!$B$3:$B$5001,K$127,Base!$A$3:$A$5001,"&gt;="&amp;$C$7,Base!$A$3:$A$5001,"&lt;="&amp;$B158,Base!$W$3:$W$5001,"&lt;&gt;"))))</f>
        <v/>
      </c>
    </row>
    <row r="159">
      <c r="A159" t="inlineStr">
        <is>
          <t xml:space="preserve">Mês anterior (último)</t>
        </is>
      </c>
      <c r="C159" t="str">
        <f>IF(COUNTIFS(Base!$B$3:$B$5001,C$127,Base!$A$3:$A$5001,"&gt;="&amp;$C$8,Base!$A$3:$A$5001,"&lt;="&amp;$D$8,Base!$W$3:$W$5001,"&lt;&gt;")=0,"",SUMIFS(Base!$W$3:$W$5001,Base!$B$3:$B$5001,C$127,Base!$A$3:$A$5001,_xlfn.MAXIFS(Base!$A$3:$A$5001,Base!$B$3:$B$5001,C$127,Base!$A$3:$A$5001,"&gt;="&amp;$C$8,Base!$A$3:$A$5001,"&lt;="&amp;$D$8,Base!$W$3:$W$5001,"&lt;&gt;")))</f>
        <v/>
      </c>
      <c r="D159" t="str">
        <f>IF(COUNTIFS(Base!$B$3:$B$5001,D$127,Base!$A$3:$A$5001,"&gt;="&amp;$C$8,Base!$A$3:$A$5001,"&lt;="&amp;$D$8,Base!$W$3:$W$5001,"&lt;&gt;")=0,"",SUMIFS(Base!$W$3:$W$5001,Base!$B$3:$B$5001,D$127,Base!$A$3:$A$5001,_xlfn.MAXIFS(Base!$A$3:$A$5001,Base!$B$3:$B$5001,D$127,Base!$A$3:$A$5001,"&gt;="&amp;$C$8,Base!$A$3:$A$5001,"&lt;="&amp;$D$8,Base!$W$3:$W$5001,"&lt;&gt;")))</f>
        <v/>
      </c>
      <c r="E159" t="str">
        <f>IF(COUNTIFS(Base!$B$3:$B$5001,E$127,Base!$A$3:$A$5001,"&gt;="&amp;$C$8,Base!$A$3:$A$5001,"&lt;="&amp;$D$8,Base!$W$3:$W$5001,"&lt;&gt;")=0,"",SUMIFS(Base!$W$3:$W$5001,Base!$B$3:$B$5001,E$127,Base!$A$3:$A$5001,_xlfn.MAXIFS(Base!$A$3:$A$5001,Base!$B$3:$B$5001,E$127,Base!$A$3:$A$5001,"&gt;="&amp;$C$8,Base!$A$3:$A$5001,"&lt;="&amp;$D$8,Base!$W$3:$W$5001,"&lt;&gt;")))</f>
        <v/>
      </c>
      <c r="F159" t="str">
        <f>IF(COUNTIFS(Base!$B$3:$B$5001,F$127,Base!$A$3:$A$5001,"&gt;="&amp;$C$8,Base!$A$3:$A$5001,"&lt;="&amp;$D$8,Base!$W$3:$W$5001,"&lt;&gt;")=0,"",SUMIFS(Base!$W$3:$W$5001,Base!$B$3:$B$5001,F$127,Base!$A$3:$A$5001,_xlfn.MAXIFS(Base!$A$3:$A$5001,Base!$B$3:$B$5001,F$127,Base!$A$3:$A$5001,"&gt;="&amp;$C$8,Base!$A$3:$A$5001,"&lt;="&amp;$D$8,Base!$W$3:$W$5001,"&lt;&gt;")))</f>
        <v/>
      </c>
      <c r="G159" t="str">
        <f>IF(COUNTIFS(Base!$B$3:$B$5001,G$127,Base!$A$3:$A$5001,"&gt;="&amp;$C$8,Base!$A$3:$A$5001,"&lt;="&amp;$D$8,Base!$W$3:$W$5001,"&lt;&gt;")=0,"",SUMIFS(Base!$W$3:$W$5001,Base!$B$3:$B$5001,G$127,Base!$A$3:$A$5001,_xlfn.MAXIFS(Base!$A$3:$A$5001,Base!$B$3:$B$5001,G$127,Base!$A$3:$A$5001,"&gt;="&amp;$C$8,Base!$A$3:$A$5001,"&lt;="&amp;$D$8,Base!$W$3:$W$5001,"&lt;&gt;")))</f>
        <v/>
      </c>
      <c r="H159" t="str">
        <f>IF(COUNTIFS(Base!$B$3:$B$5001,H$127,Base!$A$3:$A$5001,"&gt;="&amp;$C$8,Base!$A$3:$A$5001,"&lt;="&amp;$D$8,Base!$W$3:$W$5001,"&lt;&gt;")=0,"",SUMIFS(Base!$W$3:$W$5001,Base!$B$3:$B$5001,H$127,Base!$A$3:$A$5001,_xlfn.MAXIFS(Base!$A$3:$A$5001,Base!$B$3:$B$5001,H$127,Base!$A$3:$A$5001,"&gt;="&amp;$C$8,Base!$A$3:$A$5001,"&lt;="&amp;$D$8,Base!$W$3:$W$5001,"&lt;&gt;")))</f>
        <v/>
      </c>
      <c r="I159" t="str">
        <f>IF(COUNTIFS(Base!$B$3:$B$5001,I$127,Base!$A$3:$A$5001,"&gt;="&amp;$C$8,Base!$A$3:$A$5001,"&lt;="&amp;$D$8,Base!$W$3:$W$5001,"&lt;&gt;")=0,"",SUMIFS(Base!$W$3:$W$5001,Base!$B$3:$B$5001,I$127,Base!$A$3:$A$5001,_xlfn.MAXIFS(Base!$A$3:$A$5001,Base!$B$3:$B$5001,I$127,Base!$A$3:$A$5001,"&gt;="&amp;$C$8,Base!$A$3:$A$5001,"&lt;="&amp;$D$8,Base!$W$3:$W$5001,"&lt;&gt;")))</f>
        <v/>
      </c>
      <c r="J159" t="str">
        <f>IF(COUNTIFS(Base!$B$3:$B$5001,J$127,Base!$A$3:$A$5001,"&gt;="&amp;$C$8,Base!$A$3:$A$5001,"&lt;="&amp;$D$8,Base!$W$3:$W$5001,"&lt;&gt;")=0,"",SUMIFS(Base!$W$3:$W$5001,Base!$B$3:$B$5001,J$127,Base!$A$3:$A$5001,_xlfn.MAXIFS(Base!$A$3:$A$5001,Base!$B$3:$B$5001,J$127,Base!$A$3:$A$5001,"&gt;="&amp;$C$8,Base!$A$3:$A$5001,"&lt;="&amp;$D$8,Base!$W$3:$W$5001,"&lt;&gt;")))</f>
        <v/>
      </c>
      <c r="K159" t="str">
        <f>IF(COUNTIFS(Base!$B$3:$B$5001,K$127,Base!$A$3:$A$5001,"&gt;="&amp;$C$8,Base!$A$3:$A$5001,"&lt;="&amp;$D$8,Base!$W$3:$W$5001,"&lt;&gt;")=0,"",SUMIFS(Base!$W$3:$W$5001,Base!$B$3:$B$5001,K$127,Base!$A$3:$A$5001,_xlfn.MAXIFS(Base!$A$3:$A$5001,Base!$B$3:$B$5001,K$127,Base!$A$3:$A$5001,"&gt;="&amp;$C$8,Base!$A$3:$A$5001,"&lt;="&amp;$D$8,Base!$W$3:$W$5001,"&lt;&gt;")))</f>
        <v/>
      </c>
    </row>
    <row r="162">
      <c r="A162" s="145" t="inlineStr">
        <is>
          <t xml:space="preserve">Posições Disponíveis</t>
        </is>
      </c>
      <c r="B162" s="145" t="inlineStr">
        <is>
          <t xml:space="preserve">Data</t>
        </is>
      </c>
      <c r="C162" s="145" t="inlineStr">
        <is>
          <t xml:space="preserve">BASF</t>
        </is>
      </c>
      <c r="D162" s="145" t="inlineStr">
        <is>
          <t xml:space="preserve">BEAUTYBIZ</t>
        </is>
      </c>
      <c r="E162" s="145" t="inlineStr">
        <is>
          <t xml:space="preserve">BOTICÁRIO</t>
        </is>
      </c>
      <c r="F162" s="145" t="inlineStr">
        <is>
          <t xml:space="preserve">SUPPLY</t>
        </is>
      </c>
      <c r="G162" s="145" t="inlineStr">
        <is>
          <t xml:space="preserve">GE VERNOVA</t>
        </is>
      </c>
      <c r="H162" s="145" t="inlineStr">
        <is>
          <t xml:space="preserve">VESTAS</t>
        </is>
      </c>
      <c r="I162" s="145" t="inlineStr">
        <is>
          <t xml:space="preserve">VEDACIT</t>
        </is>
      </c>
      <c r="J162" s="145" t="inlineStr">
        <is>
          <t xml:space="preserve">OMNLIFE</t>
        </is>
      </c>
      <c r="K162" s="145" t="inlineStr">
        <is>
          <t xml:space="preserve">ALPARGATAS</t>
        </is>
      </c>
    </row>
    <row r="163">
      <c r="A163">
        <v>1</v>
      </c>
      <c r="B163" s="152">
        <f>$B$12</f>
        <v>46266</v>
      </c>
      <c r="C163" t="str">
        <f>IF($A163&gt;$B$9,"",IF(COUNTIFS(Base!$B$3:$B$5001,C$162,Base!$A$3:$A$5001,"&gt;="&amp;$C$7,Base!$A$3:$A$5001,"&lt;="&amp;$B163,Base!$X$3:$X$5001,"&lt;&gt;")=0,"",SUMIFS(Base!$X$3:$X$5001,Base!$B$3:$B$5001,C$162,Base!$A$3:$A$5001,_xlfn.MAXIFS(Base!$A$3:$A$5001,Base!$B$3:$B$5001,C$162,Base!$A$3:$A$5001,"&gt;="&amp;$C$7,Base!$A$3:$A$5001,"&lt;="&amp;$B163,Base!$X$3:$X$5001,"&lt;&gt;"))))</f>
        <v/>
      </c>
      <c r="D163" t="str">
        <f>IF($A163&gt;$B$9,"",IF(COUNTIFS(Base!$B$3:$B$5001,D$162,Base!$A$3:$A$5001,"&gt;="&amp;$C$7,Base!$A$3:$A$5001,"&lt;="&amp;$B163,Base!$X$3:$X$5001,"&lt;&gt;")=0,"",SUMIFS(Base!$X$3:$X$5001,Base!$B$3:$B$5001,D$162,Base!$A$3:$A$5001,_xlfn.MAXIFS(Base!$A$3:$A$5001,Base!$B$3:$B$5001,D$162,Base!$A$3:$A$5001,"&gt;="&amp;$C$7,Base!$A$3:$A$5001,"&lt;="&amp;$B163,Base!$X$3:$X$5001,"&lt;&gt;"))))</f>
        <v/>
      </c>
      <c r="E163" t="str">
        <f>IF($A163&gt;$B$9,"",IF(COUNTIFS(Base!$B$3:$B$5001,E$162,Base!$A$3:$A$5001,"&gt;="&amp;$C$7,Base!$A$3:$A$5001,"&lt;="&amp;$B163,Base!$X$3:$X$5001,"&lt;&gt;")=0,"",SUMIFS(Base!$X$3:$X$5001,Base!$B$3:$B$5001,E$162,Base!$A$3:$A$5001,_xlfn.MAXIFS(Base!$A$3:$A$5001,Base!$B$3:$B$5001,E$162,Base!$A$3:$A$5001,"&gt;="&amp;$C$7,Base!$A$3:$A$5001,"&lt;="&amp;$B163,Base!$X$3:$X$5001,"&lt;&gt;"))))</f>
        <v/>
      </c>
      <c r="F163" t="str">
        <f>IF($A163&gt;$B$9,"",IF(COUNTIFS(Base!$B$3:$B$5001,F$162,Base!$A$3:$A$5001,"&gt;="&amp;$C$7,Base!$A$3:$A$5001,"&lt;="&amp;$B163,Base!$X$3:$X$5001,"&lt;&gt;")=0,"",SUMIFS(Base!$X$3:$X$5001,Base!$B$3:$B$5001,F$162,Base!$A$3:$A$5001,_xlfn.MAXIFS(Base!$A$3:$A$5001,Base!$B$3:$B$5001,F$162,Base!$A$3:$A$5001,"&gt;="&amp;$C$7,Base!$A$3:$A$5001,"&lt;="&amp;$B163,Base!$X$3:$X$5001,"&lt;&gt;"))))</f>
        <v/>
      </c>
      <c r="G163" t="str">
        <f>IF($A163&gt;$B$9,"",IF(COUNTIFS(Base!$B$3:$B$5001,G$162,Base!$A$3:$A$5001,"&gt;="&amp;$C$7,Base!$A$3:$A$5001,"&lt;="&amp;$B163,Base!$X$3:$X$5001,"&lt;&gt;")=0,"",SUMIFS(Base!$X$3:$X$5001,Base!$B$3:$B$5001,G$162,Base!$A$3:$A$5001,_xlfn.MAXIFS(Base!$A$3:$A$5001,Base!$B$3:$B$5001,G$162,Base!$A$3:$A$5001,"&gt;="&amp;$C$7,Base!$A$3:$A$5001,"&lt;="&amp;$B163,Base!$X$3:$X$5001,"&lt;&gt;"))))</f>
        <v/>
      </c>
      <c r="H163" t="str">
        <f>IF($A163&gt;$B$9,"",IF(COUNTIFS(Base!$B$3:$B$5001,H$162,Base!$A$3:$A$5001,"&gt;="&amp;$C$7,Base!$A$3:$A$5001,"&lt;="&amp;$B163,Base!$X$3:$X$5001,"&lt;&gt;")=0,"",SUMIFS(Base!$X$3:$X$5001,Base!$B$3:$B$5001,H$162,Base!$A$3:$A$5001,_xlfn.MAXIFS(Base!$A$3:$A$5001,Base!$B$3:$B$5001,H$162,Base!$A$3:$A$5001,"&gt;="&amp;$C$7,Base!$A$3:$A$5001,"&lt;="&amp;$B163,Base!$X$3:$X$5001,"&lt;&gt;"))))</f>
        <v/>
      </c>
      <c r="I163" t="str">
        <f>IF($A163&gt;$B$9,"",IF(COUNTIFS(Base!$B$3:$B$5001,I$162,Base!$A$3:$A$5001,"&gt;="&amp;$C$7,Base!$A$3:$A$5001,"&lt;="&amp;$B163,Base!$X$3:$X$5001,"&lt;&gt;")=0,"",SUMIFS(Base!$X$3:$X$5001,Base!$B$3:$B$5001,I$162,Base!$A$3:$A$5001,_xlfn.MAXIFS(Base!$A$3:$A$5001,Base!$B$3:$B$5001,I$162,Base!$A$3:$A$5001,"&gt;="&amp;$C$7,Base!$A$3:$A$5001,"&lt;="&amp;$B163,Base!$X$3:$X$5001,"&lt;&gt;"))))</f>
        <v/>
      </c>
      <c r="J163" t="str">
        <f>IF($A163&gt;$B$9,"",IF(COUNTIFS(Base!$B$3:$B$5001,J$162,Base!$A$3:$A$5001,"&gt;="&amp;$C$7,Base!$A$3:$A$5001,"&lt;="&amp;$B163,Base!$X$3:$X$5001,"&lt;&gt;")=0,"",SUMIFS(Base!$X$3:$X$5001,Base!$B$3:$B$5001,J$162,Base!$A$3:$A$5001,_xlfn.MAXIFS(Base!$A$3:$A$5001,Base!$B$3:$B$5001,J$162,Base!$A$3:$A$5001,"&gt;="&amp;$C$7,Base!$A$3:$A$5001,"&lt;="&amp;$B163,Base!$X$3:$X$5001,"&lt;&gt;"))))</f>
        <v/>
      </c>
      <c r="K163" t="str">
        <f>IF($A163&gt;$B$9,"",IF(COUNTIFS(Base!$B$3:$B$5001,K$162,Base!$A$3:$A$5001,"&gt;="&amp;$C$7,Base!$A$3:$A$5001,"&lt;="&amp;$B163,Base!$X$3:$X$5001,"&lt;&gt;")=0,"",SUMIFS(Base!$X$3:$X$5001,Base!$B$3:$B$5001,K$162,Base!$A$3:$A$5001,_xlfn.MAXIFS(Base!$A$3:$A$5001,Base!$B$3:$B$5001,K$162,Base!$A$3:$A$5001,"&gt;="&amp;$C$7,Base!$A$3:$A$5001,"&lt;="&amp;$B163,Base!$X$3:$X$5001,"&lt;&gt;"))))</f>
        <v/>
      </c>
    </row>
    <row r="164">
      <c r="A164">
        <v>2</v>
      </c>
      <c r="B164" s="152">
        <f>$B$13</f>
        <v>46267</v>
      </c>
      <c r="C164" t="str">
        <f>IF($A164&gt;$B$9,"",IF(COUNTIFS(Base!$B$3:$B$5001,C$162,Base!$A$3:$A$5001,"&gt;="&amp;$C$7,Base!$A$3:$A$5001,"&lt;="&amp;$B164,Base!$X$3:$X$5001,"&lt;&gt;")=0,"",SUMIFS(Base!$X$3:$X$5001,Base!$B$3:$B$5001,C$162,Base!$A$3:$A$5001,_xlfn.MAXIFS(Base!$A$3:$A$5001,Base!$B$3:$B$5001,C$162,Base!$A$3:$A$5001,"&gt;="&amp;$C$7,Base!$A$3:$A$5001,"&lt;="&amp;$B164,Base!$X$3:$X$5001,"&lt;&gt;"))))</f>
        <v/>
      </c>
      <c r="D164" t="str">
        <f>IF($A164&gt;$B$9,"",IF(COUNTIFS(Base!$B$3:$B$5001,D$162,Base!$A$3:$A$5001,"&gt;="&amp;$C$7,Base!$A$3:$A$5001,"&lt;="&amp;$B164,Base!$X$3:$X$5001,"&lt;&gt;")=0,"",SUMIFS(Base!$X$3:$X$5001,Base!$B$3:$B$5001,D$162,Base!$A$3:$A$5001,_xlfn.MAXIFS(Base!$A$3:$A$5001,Base!$B$3:$B$5001,D$162,Base!$A$3:$A$5001,"&gt;="&amp;$C$7,Base!$A$3:$A$5001,"&lt;="&amp;$B164,Base!$X$3:$X$5001,"&lt;&gt;"))))</f>
        <v/>
      </c>
      <c r="E164" t="str">
        <f>IF($A164&gt;$B$9,"",IF(COUNTIFS(Base!$B$3:$B$5001,E$162,Base!$A$3:$A$5001,"&gt;="&amp;$C$7,Base!$A$3:$A$5001,"&lt;="&amp;$B164,Base!$X$3:$X$5001,"&lt;&gt;")=0,"",SUMIFS(Base!$X$3:$X$5001,Base!$B$3:$B$5001,E$162,Base!$A$3:$A$5001,_xlfn.MAXIFS(Base!$A$3:$A$5001,Base!$B$3:$B$5001,E$162,Base!$A$3:$A$5001,"&gt;="&amp;$C$7,Base!$A$3:$A$5001,"&lt;="&amp;$B164,Base!$X$3:$X$5001,"&lt;&gt;"))))</f>
        <v/>
      </c>
      <c r="F164" t="str">
        <f>IF($A164&gt;$B$9,"",IF(COUNTIFS(Base!$B$3:$B$5001,F$162,Base!$A$3:$A$5001,"&gt;="&amp;$C$7,Base!$A$3:$A$5001,"&lt;="&amp;$B164,Base!$X$3:$X$5001,"&lt;&gt;")=0,"",SUMIFS(Base!$X$3:$X$5001,Base!$B$3:$B$5001,F$162,Base!$A$3:$A$5001,_xlfn.MAXIFS(Base!$A$3:$A$5001,Base!$B$3:$B$5001,F$162,Base!$A$3:$A$5001,"&gt;="&amp;$C$7,Base!$A$3:$A$5001,"&lt;="&amp;$B164,Base!$X$3:$X$5001,"&lt;&gt;"))))</f>
        <v/>
      </c>
      <c r="G164" t="str">
        <f>IF($A164&gt;$B$9,"",IF(COUNTIFS(Base!$B$3:$B$5001,G$162,Base!$A$3:$A$5001,"&gt;="&amp;$C$7,Base!$A$3:$A$5001,"&lt;="&amp;$B164,Base!$X$3:$X$5001,"&lt;&gt;")=0,"",SUMIFS(Base!$X$3:$X$5001,Base!$B$3:$B$5001,G$162,Base!$A$3:$A$5001,_xlfn.MAXIFS(Base!$A$3:$A$5001,Base!$B$3:$B$5001,G$162,Base!$A$3:$A$5001,"&gt;="&amp;$C$7,Base!$A$3:$A$5001,"&lt;="&amp;$B164,Base!$X$3:$X$5001,"&lt;&gt;"))))</f>
        <v/>
      </c>
      <c r="H164" t="str">
        <f>IF($A164&gt;$B$9,"",IF(COUNTIFS(Base!$B$3:$B$5001,H$162,Base!$A$3:$A$5001,"&gt;="&amp;$C$7,Base!$A$3:$A$5001,"&lt;="&amp;$B164,Base!$X$3:$X$5001,"&lt;&gt;")=0,"",SUMIFS(Base!$X$3:$X$5001,Base!$B$3:$B$5001,H$162,Base!$A$3:$A$5001,_xlfn.MAXIFS(Base!$A$3:$A$5001,Base!$B$3:$B$5001,H$162,Base!$A$3:$A$5001,"&gt;="&amp;$C$7,Base!$A$3:$A$5001,"&lt;="&amp;$B164,Base!$X$3:$X$5001,"&lt;&gt;"))))</f>
        <v/>
      </c>
      <c r="I164" t="str">
        <f>IF($A164&gt;$B$9,"",IF(COUNTIFS(Base!$B$3:$B$5001,I$162,Base!$A$3:$A$5001,"&gt;="&amp;$C$7,Base!$A$3:$A$5001,"&lt;="&amp;$B164,Base!$X$3:$X$5001,"&lt;&gt;")=0,"",SUMIFS(Base!$X$3:$X$5001,Base!$B$3:$B$5001,I$162,Base!$A$3:$A$5001,_xlfn.MAXIFS(Base!$A$3:$A$5001,Base!$B$3:$B$5001,I$162,Base!$A$3:$A$5001,"&gt;="&amp;$C$7,Base!$A$3:$A$5001,"&lt;="&amp;$B164,Base!$X$3:$X$5001,"&lt;&gt;"))))</f>
        <v/>
      </c>
      <c r="J164" t="str">
        <f>IF($A164&gt;$B$9,"",IF(COUNTIFS(Base!$B$3:$B$5001,J$162,Base!$A$3:$A$5001,"&gt;="&amp;$C$7,Base!$A$3:$A$5001,"&lt;="&amp;$B164,Base!$X$3:$X$5001,"&lt;&gt;")=0,"",SUMIFS(Base!$X$3:$X$5001,Base!$B$3:$B$5001,J$162,Base!$A$3:$A$5001,_xlfn.MAXIFS(Base!$A$3:$A$5001,Base!$B$3:$B$5001,J$162,Base!$A$3:$A$5001,"&gt;="&amp;$C$7,Base!$A$3:$A$5001,"&lt;="&amp;$B164,Base!$X$3:$X$5001,"&lt;&gt;"))))</f>
        <v/>
      </c>
      <c r="K164" t="str">
        <f>IF($A164&gt;$B$9,"",IF(COUNTIFS(Base!$B$3:$B$5001,K$162,Base!$A$3:$A$5001,"&gt;="&amp;$C$7,Base!$A$3:$A$5001,"&lt;="&amp;$B164,Base!$X$3:$X$5001,"&lt;&gt;")=0,"",SUMIFS(Base!$X$3:$X$5001,Base!$B$3:$B$5001,K$162,Base!$A$3:$A$5001,_xlfn.MAXIFS(Base!$A$3:$A$5001,Base!$B$3:$B$5001,K$162,Base!$A$3:$A$5001,"&gt;="&amp;$C$7,Base!$A$3:$A$5001,"&lt;="&amp;$B164,Base!$X$3:$X$5001,"&lt;&gt;"))))</f>
        <v/>
      </c>
    </row>
    <row r="165">
      <c r="A165">
        <v>3</v>
      </c>
      <c r="B165" s="152">
        <f>$B$14</f>
        <v>46268</v>
      </c>
      <c r="C165" t="str">
        <f>IF($A165&gt;$B$9,"",IF(COUNTIFS(Base!$B$3:$B$5001,C$162,Base!$A$3:$A$5001,"&gt;="&amp;$C$7,Base!$A$3:$A$5001,"&lt;="&amp;$B165,Base!$X$3:$X$5001,"&lt;&gt;")=0,"",SUMIFS(Base!$X$3:$X$5001,Base!$B$3:$B$5001,C$162,Base!$A$3:$A$5001,_xlfn.MAXIFS(Base!$A$3:$A$5001,Base!$B$3:$B$5001,C$162,Base!$A$3:$A$5001,"&gt;="&amp;$C$7,Base!$A$3:$A$5001,"&lt;="&amp;$B165,Base!$X$3:$X$5001,"&lt;&gt;"))))</f>
        <v/>
      </c>
      <c r="D165" t="str">
        <f>IF($A165&gt;$B$9,"",IF(COUNTIFS(Base!$B$3:$B$5001,D$162,Base!$A$3:$A$5001,"&gt;="&amp;$C$7,Base!$A$3:$A$5001,"&lt;="&amp;$B165,Base!$X$3:$X$5001,"&lt;&gt;")=0,"",SUMIFS(Base!$X$3:$X$5001,Base!$B$3:$B$5001,D$162,Base!$A$3:$A$5001,_xlfn.MAXIFS(Base!$A$3:$A$5001,Base!$B$3:$B$5001,D$162,Base!$A$3:$A$5001,"&gt;="&amp;$C$7,Base!$A$3:$A$5001,"&lt;="&amp;$B165,Base!$X$3:$X$5001,"&lt;&gt;"))))</f>
        <v/>
      </c>
      <c r="E165" t="str">
        <f>IF($A165&gt;$B$9,"",IF(COUNTIFS(Base!$B$3:$B$5001,E$162,Base!$A$3:$A$5001,"&gt;="&amp;$C$7,Base!$A$3:$A$5001,"&lt;="&amp;$B165,Base!$X$3:$X$5001,"&lt;&gt;")=0,"",SUMIFS(Base!$X$3:$X$5001,Base!$B$3:$B$5001,E$162,Base!$A$3:$A$5001,_xlfn.MAXIFS(Base!$A$3:$A$5001,Base!$B$3:$B$5001,E$162,Base!$A$3:$A$5001,"&gt;="&amp;$C$7,Base!$A$3:$A$5001,"&lt;="&amp;$B165,Base!$X$3:$X$5001,"&lt;&gt;"))))</f>
        <v/>
      </c>
      <c r="F165" t="str">
        <f>IF($A165&gt;$B$9,"",IF(COUNTIFS(Base!$B$3:$B$5001,F$162,Base!$A$3:$A$5001,"&gt;="&amp;$C$7,Base!$A$3:$A$5001,"&lt;="&amp;$B165,Base!$X$3:$X$5001,"&lt;&gt;")=0,"",SUMIFS(Base!$X$3:$X$5001,Base!$B$3:$B$5001,F$162,Base!$A$3:$A$5001,_xlfn.MAXIFS(Base!$A$3:$A$5001,Base!$B$3:$B$5001,F$162,Base!$A$3:$A$5001,"&gt;="&amp;$C$7,Base!$A$3:$A$5001,"&lt;="&amp;$B165,Base!$X$3:$X$5001,"&lt;&gt;"))))</f>
        <v/>
      </c>
      <c r="G165" t="str">
        <f>IF($A165&gt;$B$9,"",IF(COUNTIFS(Base!$B$3:$B$5001,G$162,Base!$A$3:$A$5001,"&gt;="&amp;$C$7,Base!$A$3:$A$5001,"&lt;="&amp;$B165,Base!$X$3:$X$5001,"&lt;&gt;")=0,"",SUMIFS(Base!$X$3:$X$5001,Base!$B$3:$B$5001,G$162,Base!$A$3:$A$5001,_xlfn.MAXIFS(Base!$A$3:$A$5001,Base!$B$3:$B$5001,G$162,Base!$A$3:$A$5001,"&gt;="&amp;$C$7,Base!$A$3:$A$5001,"&lt;="&amp;$B165,Base!$X$3:$X$5001,"&lt;&gt;"))))</f>
        <v/>
      </c>
      <c r="H165" t="str">
        <f>IF($A165&gt;$B$9,"",IF(COUNTIFS(Base!$B$3:$B$5001,H$162,Base!$A$3:$A$5001,"&gt;="&amp;$C$7,Base!$A$3:$A$5001,"&lt;="&amp;$B165,Base!$X$3:$X$5001,"&lt;&gt;")=0,"",SUMIFS(Base!$X$3:$X$5001,Base!$B$3:$B$5001,H$162,Base!$A$3:$A$5001,_xlfn.MAXIFS(Base!$A$3:$A$5001,Base!$B$3:$B$5001,H$162,Base!$A$3:$A$5001,"&gt;="&amp;$C$7,Base!$A$3:$A$5001,"&lt;="&amp;$B165,Base!$X$3:$X$5001,"&lt;&gt;"))))</f>
        <v/>
      </c>
      <c r="I165" t="str">
        <f>IF($A165&gt;$B$9,"",IF(COUNTIFS(Base!$B$3:$B$5001,I$162,Base!$A$3:$A$5001,"&gt;="&amp;$C$7,Base!$A$3:$A$5001,"&lt;="&amp;$B165,Base!$X$3:$X$5001,"&lt;&gt;")=0,"",SUMIFS(Base!$X$3:$X$5001,Base!$B$3:$B$5001,I$162,Base!$A$3:$A$5001,_xlfn.MAXIFS(Base!$A$3:$A$5001,Base!$B$3:$B$5001,I$162,Base!$A$3:$A$5001,"&gt;="&amp;$C$7,Base!$A$3:$A$5001,"&lt;="&amp;$B165,Base!$X$3:$X$5001,"&lt;&gt;"))))</f>
        <v/>
      </c>
      <c r="J165" t="str">
        <f>IF($A165&gt;$B$9,"",IF(COUNTIFS(Base!$B$3:$B$5001,J$162,Base!$A$3:$A$5001,"&gt;="&amp;$C$7,Base!$A$3:$A$5001,"&lt;="&amp;$B165,Base!$X$3:$X$5001,"&lt;&gt;")=0,"",SUMIFS(Base!$X$3:$X$5001,Base!$B$3:$B$5001,J$162,Base!$A$3:$A$5001,_xlfn.MAXIFS(Base!$A$3:$A$5001,Base!$B$3:$B$5001,J$162,Base!$A$3:$A$5001,"&gt;="&amp;$C$7,Base!$A$3:$A$5001,"&lt;="&amp;$B165,Base!$X$3:$X$5001,"&lt;&gt;"))))</f>
        <v/>
      </c>
      <c r="K165" t="str">
        <f>IF($A165&gt;$B$9,"",IF(COUNTIFS(Base!$B$3:$B$5001,K$162,Base!$A$3:$A$5001,"&gt;="&amp;$C$7,Base!$A$3:$A$5001,"&lt;="&amp;$B165,Base!$X$3:$X$5001,"&lt;&gt;")=0,"",SUMIFS(Base!$X$3:$X$5001,Base!$B$3:$B$5001,K$162,Base!$A$3:$A$5001,_xlfn.MAXIFS(Base!$A$3:$A$5001,Base!$B$3:$B$5001,K$162,Base!$A$3:$A$5001,"&gt;="&amp;$C$7,Base!$A$3:$A$5001,"&lt;="&amp;$B165,Base!$X$3:$X$5001,"&lt;&gt;"))))</f>
        <v/>
      </c>
    </row>
    <row r="166">
      <c r="A166">
        <v>4</v>
      </c>
      <c r="B166" s="152">
        <f>$B$15</f>
        <v>46269</v>
      </c>
      <c r="C166" t="str">
        <f>IF($A166&gt;$B$9,"",IF(COUNTIFS(Base!$B$3:$B$5001,C$162,Base!$A$3:$A$5001,"&gt;="&amp;$C$7,Base!$A$3:$A$5001,"&lt;="&amp;$B166,Base!$X$3:$X$5001,"&lt;&gt;")=0,"",SUMIFS(Base!$X$3:$X$5001,Base!$B$3:$B$5001,C$162,Base!$A$3:$A$5001,_xlfn.MAXIFS(Base!$A$3:$A$5001,Base!$B$3:$B$5001,C$162,Base!$A$3:$A$5001,"&gt;="&amp;$C$7,Base!$A$3:$A$5001,"&lt;="&amp;$B166,Base!$X$3:$X$5001,"&lt;&gt;"))))</f>
        <v/>
      </c>
      <c r="D166" t="str">
        <f>IF($A166&gt;$B$9,"",IF(COUNTIFS(Base!$B$3:$B$5001,D$162,Base!$A$3:$A$5001,"&gt;="&amp;$C$7,Base!$A$3:$A$5001,"&lt;="&amp;$B166,Base!$X$3:$X$5001,"&lt;&gt;")=0,"",SUMIFS(Base!$X$3:$X$5001,Base!$B$3:$B$5001,D$162,Base!$A$3:$A$5001,_xlfn.MAXIFS(Base!$A$3:$A$5001,Base!$B$3:$B$5001,D$162,Base!$A$3:$A$5001,"&gt;="&amp;$C$7,Base!$A$3:$A$5001,"&lt;="&amp;$B166,Base!$X$3:$X$5001,"&lt;&gt;"))))</f>
        <v/>
      </c>
      <c r="E166" t="str">
        <f>IF($A166&gt;$B$9,"",IF(COUNTIFS(Base!$B$3:$B$5001,E$162,Base!$A$3:$A$5001,"&gt;="&amp;$C$7,Base!$A$3:$A$5001,"&lt;="&amp;$B166,Base!$X$3:$X$5001,"&lt;&gt;")=0,"",SUMIFS(Base!$X$3:$X$5001,Base!$B$3:$B$5001,E$162,Base!$A$3:$A$5001,_xlfn.MAXIFS(Base!$A$3:$A$5001,Base!$B$3:$B$5001,E$162,Base!$A$3:$A$5001,"&gt;="&amp;$C$7,Base!$A$3:$A$5001,"&lt;="&amp;$B166,Base!$X$3:$X$5001,"&lt;&gt;"))))</f>
        <v/>
      </c>
      <c r="F166" t="str">
        <f>IF($A166&gt;$B$9,"",IF(COUNTIFS(Base!$B$3:$B$5001,F$162,Base!$A$3:$A$5001,"&gt;="&amp;$C$7,Base!$A$3:$A$5001,"&lt;="&amp;$B166,Base!$X$3:$X$5001,"&lt;&gt;")=0,"",SUMIFS(Base!$X$3:$X$5001,Base!$B$3:$B$5001,F$162,Base!$A$3:$A$5001,_xlfn.MAXIFS(Base!$A$3:$A$5001,Base!$B$3:$B$5001,F$162,Base!$A$3:$A$5001,"&gt;="&amp;$C$7,Base!$A$3:$A$5001,"&lt;="&amp;$B166,Base!$X$3:$X$5001,"&lt;&gt;"))))</f>
        <v/>
      </c>
      <c r="G166" t="str">
        <f>IF($A166&gt;$B$9,"",IF(COUNTIFS(Base!$B$3:$B$5001,G$162,Base!$A$3:$A$5001,"&gt;="&amp;$C$7,Base!$A$3:$A$5001,"&lt;="&amp;$B166,Base!$X$3:$X$5001,"&lt;&gt;")=0,"",SUMIFS(Base!$X$3:$X$5001,Base!$B$3:$B$5001,G$162,Base!$A$3:$A$5001,_xlfn.MAXIFS(Base!$A$3:$A$5001,Base!$B$3:$B$5001,G$162,Base!$A$3:$A$5001,"&gt;="&amp;$C$7,Base!$A$3:$A$5001,"&lt;="&amp;$B166,Base!$X$3:$X$5001,"&lt;&gt;"))))</f>
        <v/>
      </c>
      <c r="H166" t="str">
        <f>IF($A166&gt;$B$9,"",IF(COUNTIFS(Base!$B$3:$B$5001,H$162,Base!$A$3:$A$5001,"&gt;="&amp;$C$7,Base!$A$3:$A$5001,"&lt;="&amp;$B166,Base!$X$3:$X$5001,"&lt;&gt;")=0,"",SUMIFS(Base!$X$3:$X$5001,Base!$B$3:$B$5001,H$162,Base!$A$3:$A$5001,_xlfn.MAXIFS(Base!$A$3:$A$5001,Base!$B$3:$B$5001,H$162,Base!$A$3:$A$5001,"&gt;="&amp;$C$7,Base!$A$3:$A$5001,"&lt;="&amp;$B166,Base!$X$3:$X$5001,"&lt;&gt;"))))</f>
        <v/>
      </c>
      <c r="I166" t="str">
        <f>IF($A166&gt;$B$9,"",IF(COUNTIFS(Base!$B$3:$B$5001,I$162,Base!$A$3:$A$5001,"&gt;="&amp;$C$7,Base!$A$3:$A$5001,"&lt;="&amp;$B166,Base!$X$3:$X$5001,"&lt;&gt;")=0,"",SUMIFS(Base!$X$3:$X$5001,Base!$B$3:$B$5001,I$162,Base!$A$3:$A$5001,_xlfn.MAXIFS(Base!$A$3:$A$5001,Base!$B$3:$B$5001,I$162,Base!$A$3:$A$5001,"&gt;="&amp;$C$7,Base!$A$3:$A$5001,"&lt;="&amp;$B166,Base!$X$3:$X$5001,"&lt;&gt;"))))</f>
        <v/>
      </c>
      <c r="J166" t="str">
        <f>IF($A166&gt;$B$9,"",IF(COUNTIFS(Base!$B$3:$B$5001,J$162,Base!$A$3:$A$5001,"&gt;="&amp;$C$7,Base!$A$3:$A$5001,"&lt;="&amp;$B166,Base!$X$3:$X$5001,"&lt;&gt;")=0,"",SUMIFS(Base!$X$3:$X$5001,Base!$B$3:$B$5001,J$162,Base!$A$3:$A$5001,_xlfn.MAXIFS(Base!$A$3:$A$5001,Base!$B$3:$B$5001,J$162,Base!$A$3:$A$5001,"&gt;="&amp;$C$7,Base!$A$3:$A$5001,"&lt;="&amp;$B166,Base!$X$3:$X$5001,"&lt;&gt;"))))</f>
        <v/>
      </c>
      <c r="K166" t="str">
        <f>IF($A166&gt;$B$9,"",IF(COUNTIFS(Base!$B$3:$B$5001,K$162,Base!$A$3:$A$5001,"&gt;="&amp;$C$7,Base!$A$3:$A$5001,"&lt;="&amp;$B166,Base!$X$3:$X$5001,"&lt;&gt;")=0,"",SUMIFS(Base!$X$3:$X$5001,Base!$B$3:$B$5001,K$162,Base!$A$3:$A$5001,_xlfn.MAXIFS(Base!$A$3:$A$5001,Base!$B$3:$B$5001,K$162,Base!$A$3:$A$5001,"&gt;="&amp;$C$7,Base!$A$3:$A$5001,"&lt;="&amp;$B166,Base!$X$3:$X$5001,"&lt;&gt;"))))</f>
        <v/>
      </c>
    </row>
    <row r="167">
      <c r="A167">
        <v>5</v>
      </c>
      <c r="B167" s="152">
        <f>$B$16</f>
        <v>46270</v>
      </c>
      <c r="C167" t="str">
        <f>IF($A167&gt;$B$9,"",IF(COUNTIFS(Base!$B$3:$B$5001,C$162,Base!$A$3:$A$5001,"&gt;="&amp;$C$7,Base!$A$3:$A$5001,"&lt;="&amp;$B167,Base!$X$3:$X$5001,"&lt;&gt;")=0,"",SUMIFS(Base!$X$3:$X$5001,Base!$B$3:$B$5001,C$162,Base!$A$3:$A$5001,_xlfn.MAXIFS(Base!$A$3:$A$5001,Base!$B$3:$B$5001,C$162,Base!$A$3:$A$5001,"&gt;="&amp;$C$7,Base!$A$3:$A$5001,"&lt;="&amp;$B167,Base!$X$3:$X$5001,"&lt;&gt;"))))</f>
        <v/>
      </c>
      <c r="D167" t="str">
        <f>IF($A167&gt;$B$9,"",IF(COUNTIFS(Base!$B$3:$B$5001,D$162,Base!$A$3:$A$5001,"&gt;="&amp;$C$7,Base!$A$3:$A$5001,"&lt;="&amp;$B167,Base!$X$3:$X$5001,"&lt;&gt;")=0,"",SUMIFS(Base!$X$3:$X$5001,Base!$B$3:$B$5001,D$162,Base!$A$3:$A$5001,_xlfn.MAXIFS(Base!$A$3:$A$5001,Base!$B$3:$B$5001,D$162,Base!$A$3:$A$5001,"&gt;="&amp;$C$7,Base!$A$3:$A$5001,"&lt;="&amp;$B167,Base!$X$3:$X$5001,"&lt;&gt;"))))</f>
        <v/>
      </c>
      <c r="E167" t="str">
        <f>IF($A167&gt;$B$9,"",IF(COUNTIFS(Base!$B$3:$B$5001,E$162,Base!$A$3:$A$5001,"&gt;="&amp;$C$7,Base!$A$3:$A$5001,"&lt;="&amp;$B167,Base!$X$3:$X$5001,"&lt;&gt;")=0,"",SUMIFS(Base!$X$3:$X$5001,Base!$B$3:$B$5001,E$162,Base!$A$3:$A$5001,_xlfn.MAXIFS(Base!$A$3:$A$5001,Base!$B$3:$B$5001,E$162,Base!$A$3:$A$5001,"&gt;="&amp;$C$7,Base!$A$3:$A$5001,"&lt;="&amp;$B167,Base!$X$3:$X$5001,"&lt;&gt;"))))</f>
        <v/>
      </c>
      <c r="F167" t="str">
        <f>IF($A167&gt;$B$9,"",IF(COUNTIFS(Base!$B$3:$B$5001,F$162,Base!$A$3:$A$5001,"&gt;="&amp;$C$7,Base!$A$3:$A$5001,"&lt;="&amp;$B167,Base!$X$3:$X$5001,"&lt;&gt;")=0,"",SUMIFS(Base!$X$3:$X$5001,Base!$B$3:$B$5001,F$162,Base!$A$3:$A$5001,_xlfn.MAXIFS(Base!$A$3:$A$5001,Base!$B$3:$B$5001,F$162,Base!$A$3:$A$5001,"&gt;="&amp;$C$7,Base!$A$3:$A$5001,"&lt;="&amp;$B167,Base!$X$3:$X$5001,"&lt;&gt;"))))</f>
        <v/>
      </c>
      <c r="G167" t="str">
        <f>IF($A167&gt;$B$9,"",IF(COUNTIFS(Base!$B$3:$B$5001,G$162,Base!$A$3:$A$5001,"&gt;="&amp;$C$7,Base!$A$3:$A$5001,"&lt;="&amp;$B167,Base!$X$3:$X$5001,"&lt;&gt;")=0,"",SUMIFS(Base!$X$3:$X$5001,Base!$B$3:$B$5001,G$162,Base!$A$3:$A$5001,_xlfn.MAXIFS(Base!$A$3:$A$5001,Base!$B$3:$B$5001,G$162,Base!$A$3:$A$5001,"&gt;="&amp;$C$7,Base!$A$3:$A$5001,"&lt;="&amp;$B167,Base!$X$3:$X$5001,"&lt;&gt;"))))</f>
        <v/>
      </c>
      <c r="H167" t="str">
        <f>IF($A167&gt;$B$9,"",IF(COUNTIFS(Base!$B$3:$B$5001,H$162,Base!$A$3:$A$5001,"&gt;="&amp;$C$7,Base!$A$3:$A$5001,"&lt;="&amp;$B167,Base!$X$3:$X$5001,"&lt;&gt;")=0,"",SUMIFS(Base!$X$3:$X$5001,Base!$B$3:$B$5001,H$162,Base!$A$3:$A$5001,_xlfn.MAXIFS(Base!$A$3:$A$5001,Base!$B$3:$B$5001,H$162,Base!$A$3:$A$5001,"&gt;="&amp;$C$7,Base!$A$3:$A$5001,"&lt;="&amp;$B167,Base!$X$3:$X$5001,"&lt;&gt;"))))</f>
        <v/>
      </c>
      <c r="I167" t="str">
        <f>IF($A167&gt;$B$9,"",IF(COUNTIFS(Base!$B$3:$B$5001,I$162,Base!$A$3:$A$5001,"&gt;="&amp;$C$7,Base!$A$3:$A$5001,"&lt;="&amp;$B167,Base!$X$3:$X$5001,"&lt;&gt;")=0,"",SUMIFS(Base!$X$3:$X$5001,Base!$B$3:$B$5001,I$162,Base!$A$3:$A$5001,_xlfn.MAXIFS(Base!$A$3:$A$5001,Base!$B$3:$B$5001,I$162,Base!$A$3:$A$5001,"&gt;="&amp;$C$7,Base!$A$3:$A$5001,"&lt;="&amp;$B167,Base!$X$3:$X$5001,"&lt;&gt;"))))</f>
        <v/>
      </c>
      <c r="J167" t="str">
        <f>IF($A167&gt;$B$9,"",IF(COUNTIFS(Base!$B$3:$B$5001,J$162,Base!$A$3:$A$5001,"&gt;="&amp;$C$7,Base!$A$3:$A$5001,"&lt;="&amp;$B167,Base!$X$3:$X$5001,"&lt;&gt;")=0,"",SUMIFS(Base!$X$3:$X$5001,Base!$B$3:$B$5001,J$162,Base!$A$3:$A$5001,_xlfn.MAXIFS(Base!$A$3:$A$5001,Base!$B$3:$B$5001,J$162,Base!$A$3:$A$5001,"&gt;="&amp;$C$7,Base!$A$3:$A$5001,"&lt;="&amp;$B167,Base!$X$3:$X$5001,"&lt;&gt;"))))</f>
        <v/>
      </c>
      <c r="K167" t="str">
        <f>IF($A167&gt;$B$9,"",IF(COUNTIFS(Base!$B$3:$B$5001,K$162,Base!$A$3:$A$5001,"&gt;="&amp;$C$7,Base!$A$3:$A$5001,"&lt;="&amp;$B167,Base!$X$3:$X$5001,"&lt;&gt;")=0,"",SUMIFS(Base!$X$3:$X$5001,Base!$B$3:$B$5001,K$162,Base!$A$3:$A$5001,_xlfn.MAXIFS(Base!$A$3:$A$5001,Base!$B$3:$B$5001,K$162,Base!$A$3:$A$5001,"&gt;="&amp;$C$7,Base!$A$3:$A$5001,"&lt;="&amp;$B167,Base!$X$3:$X$5001,"&lt;&gt;"))))</f>
        <v/>
      </c>
    </row>
    <row r="168">
      <c r="A168">
        <v>6</v>
      </c>
      <c r="B168" s="152">
        <f>$B$17</f>
        <v>46271</v>
      </c>
      <c r="C168" t="str">
        <f>IF($A168&gt;$B$9,"",IF(COUNTIFS(Base!$B$3:$B$5001,C$162,Base!$A$3:$A$5001,"&gt;="&amp;$C$7,Base!$A$3:$A$5001,"&lt;="&amp;$B168,Base!$X$3:$X$5001,"&lt;&gt;")=0,"",SUMIFS(Base!$X$3:$X$5001,Base!$B$3:$B$5001,C$162,Base!$A$3:$A$5001,_xlfn.MAXIFS(Base!$A$3:$A$5001,Base!$B$3:$B$5001,C$162,Base!$A$3:$A$5001,"&gt;="&amp;$C$7,Base!$A$3:$A$5001,"&lt;="&amp;$B168,Base!$X$3:$X$5001,"&lt;&gt;"))))</f>
        <v/>
      </c>
      <c r="D168" t="str">
        <f>IF($A168&gt;$B$9,"",IF(COUNTIFS(Base!$B$3:$B$5001,D$162,Base!$A$3:$A$5001,"&gt;="&amp;$C$7,Base!$A$3:$A$5001,"&lt;="&amp;$B168,Base!$X$3:$X$5001,"&lt;&gt;")=0,"",SUMIFS(Base!$X$3:$X$5001,Base!$B$3:$B$5001,D$162,Base!$A$3:$A$5001,_xlfn.MAXIFS(Base!$A$3:$A$5001,Base!$B$3:$B$5001,D$162,Base!$A$3:$A$5001,"&gt;="&amp;$C$7,Base!$A$3:$A$5001,"&lt;="&amp;$B168,Base!$X$3:$X$5001,"&lt;&gt;"))))</f>
        <v/>
      </c>
      <c r="E168" t="str">
        <f>IF($A168&gt;$B$9,"",IF(COUNTIFS(Base!$B$3:$B$5001,E$162,Base!$A$3:$A$5001,"&gt;="&amp;$C$7,Base!$A$3:$A$5001,"&lt;="&amp;$B168,Base!$X$3:$X$5001,"&lt;&gt;")=0,"",SUMIFS(Base!$X$3:$X$5001,Base!$B$3:$B$5001,E$162,Base!$A$3:$A$5001,_xlfn.MAXIFS(Base!$A$3:$A$5001,Base!$B$3:$B$5001,E$162,Base!$A$3:$A$5001,"&gt;="&amp;$C$7,Base!$A$3:$A$5001,"&lt;="&amp;$B168,Base!$X$3:$X$5001,"&lt;&gt;"))))</f>
        <v/>
      </c>
      <c r="F168" t="str">
        <f>IF($A168&gt;$B$9,"",IF(COUNTIFS(Base!$B$3:$B$5001,F$162,Base!$A$3:$A$5001,"&gt;="&amp;$C$7,Base!$A$3:$A$5001,"&lt;="&amp;$B168,Base!$X$3:$X$5001,"&lt;&gt;")=0,"",SUMIFS(Base!$X$3:$X$5001,Base!$B$3:$B$5001,F$162,Base!$A$3:$A$5001,_xlfn.MAXIFS(Base!$A$3:$A$5001,Base!$B$3:$B$5001,F$162,Base!$A$3:$A$5001,"&gt;="&amp;$C$7,Base!$A$3:$A$5001,"&lt;="&amp;$B168,Base!$X$3:$X$5001,"&lt;&gt;"))))</f>
        <v/>
      </c>
      <c r="G168" t="str">
        <f>IF($A168&gt;$B$9,"",IF(COUNTIFS(Base!$B$3:$B$5001,G$162,Base!$A$3:$A$5001,"&gt;="&amp;$C$7,Base!$A$3:$A$5001,"&lt;="&amp;$B168,Base!$X$3:$X$5001,"&lt;&gt;")=0,"",SUMIFS(Base!$X$3:$X$5001,Base!$B$3:$B$5001,G$162,Base!$A$3:$A$5001,_xlfn.MAXIFS(Base!$A$3:$A$5001,Base!$B$3:$B$5001,G$162,Base!$A$3:$A$5001,"&gt;="&amp;$C$7,Base!$A$3:$A$5001,"&lt;="&amp;$B168,Base!$X$3:$X$5001,"&lt;&gt;"))))</f>
        <v/>
      </c>
      <c r="H168" t="str">
        <f>IF($A168&gt;$B$9,"",IF(COUNTIFS(Base!$B$3:$B$5001,H$162,Base!$A$3:$A$5001,"&gt;="&amp;$C$7,Base!$A$3:$A$5001,"&lt;="&amp;$B168,Base!$X$3:$X$5001,"&lt;&gt;")=0,"",SUMIFS(Base!$X$3:$X$5001,Base!$B$3:$B$5001,H$162,Base!$A$3:$A$5001,_xlfn.MAXIFS(Base!$A$3:$A$5001,Base!$B$3:$B$5001,H$162,Base!$A$3:$A$5001,"&gt;="&amp;$C$7,Base!$A$3:$A$5001,"&lt;="&amp;$B168,Base!$X$3:$X$5001,"&lt;&gt;"))))</f>
        <v/>
      </c>
      <c r="I168" t="str">
        <f>IF($A168&gt;$B$9,"",IF(COUNTIFS(Base!$B$3:$B$5001,I$162,Base!$A$3:$A$5001,"&gt;="&amp;$C$7,Base!$A$3:$A$5001,"&lt;="&amp;$B168,Base!$X$3:$X$5001,"&lt;&gt;")=0,"",SUMIFS(Base!$X$3:$X$5001,Base!$B$3:$B$5001,I$162,Base!$A$3:$A$5001,_xlfn.MAXIFS(Base!$A$3:$A$5001,Base!$B$3:$B$5001,I$162,Base!$A$3:$A$5001,"&gt;="&amp;$C$7,Base!$A$3:$A$5001,"&lt;="&amp;$B168,Base!$X$3:$X$5001,"&lt;&gt;"))))</f>
        <v/>
      </c>
      <c r="J168" t="str">
        <f>IF($A168&gt;$B$9,"",IF(COUNTIFS(Base!$B$3:$B$5001,J$162,Base!$A$3:$A$5001,"&gt;="&amp;$C$7,Base!$A$3:$A$5001,"&lt;="&amp;$B168,Base!$X$3:$X$5001,"&lt;&gt;")=0,"",SUMIFS(Base!$X$3:$X$5001,Base!$B$3:$B$5001,J$162,Base!$A$3:$A$5001,_xlfn.MAXIFS(Base!$A$3:$A$5001,Base!$B$3:$B$5001,J$162,Base!$A$3:$A$5001,"&gt;="&amp;$C$7,Base!$A$3:$A$5001,"&lt;="&amp;$B168,Base!$X$3:$X$5001,"&lt;&gt;"))))</f>
        <v/>
      </c>
      <c r="K168" t="str">
        <f>IF($A168&gt;$B$9,"",IF(COUNTIFS(Base!$B$3:$B$5001,K$162,Base!$A$3:$A$5001,"&gt;="&amp;$C$7,Base!$A$3:$A$5001,"&lt;="&amp;$B168,Base!$X$3:$X$5001,"&lt;&gt;")=0,"",SUMIFS(Base!$X$3:$X$5001,Base!$B$3:$B$5001,K$162,Base!$A$3:$A$5001,_xlfn.MAXIFS(Base!$A$3:$A$5001,Base!$B$3:$B$5001,K$162,Base!$A$3:$A$5001,"&gt;="&amp;$C$7,Base!$A$3:$A$5001,"&lt;="&amp;$B168,Base!$X$3:$X$5001,"&lt;&gt;"))))</f>
        <v/>
      </c>
    </row>
    <row r="169">
      <c r="A169">
        <v>7</v>
      </c>
      <c r="B169" s="152">
        <f>$B$18</f>
        <v>46272</v>
      </c>
      <c r="C169" t="str">
        <f>IF($A169&gt;$B$9,"",IF(COUNTIFS(Base!$B$3:$B$5001,C$162,Base!$A$3:$A$5001,"&gt;="&amp;$C$7,Base!$A$3:$A$5001,"&lt;="&amp;$B169,Base!$X$3:$X$5001,"&lt;&gt;")=0,"",SUMIFS(Base!$X$3:$X$5001,Base!$B$3:$B$5001,C$162,Base!$A$3:$A$5001,_xlfn.MAXIFS(Base!$A$3:$A$5001,Base!$B$3:$B$5001,C$162,Base!$A$3:$A$5001,"&gt;="&amp;$C$7,Base!$A$3:$A$5001,"&lt;="&amp;$B169,Base!$X$3:$X$5001,"&lt;&gt;"))))</f>
        <v/>
      </c>
      <c r="D169" t="str">
        <f>IF($A169&gt;$B$9,"",IF(COUNTIFS(Base!$B$3:$B$5001,D$162,Base!$A$3:$A$5001,"&gt;="&amp;$C$7,Base!$A$3:$A$5001,"&lt;="&amp;$B169,Base!$X$3:$X$5001,"&lt;&gt;")=0,"",SUMIFS(Base!$X$3:$X$5001,Base!$B$3:$B$5001,D$162,Base!$A$3:$A$5001,_xlfn.MAXIFS(Base!$A$3:$A$5001,Base!$B$3:$B$5001,D$162,Base!$A$3:$A$5001,"&gt;="&amp;$C$7,Base!$A$3:$A$5001,"&lt;="&amp;$B169,Base!$X$3:$X$5001,"&lt;&gt;"))))</f>
        <v/>
      </c>
      <c r="E169" t="str">
        <f>IF($A169&gt;$B$9,"",IF(COUNTIFS(Base!$B$3:$B$5001,E$162,Base!$A$3:$A$5001,"&gt;="&amp;$C$7,Base!$A$3:$A$5001,"&lt;="&amp;$B169,Base!$X$3:$X$5001,"&lt;&gt;")=0,"",SUMIFS(Base!$X$3:$X$5001,Base!$B$3:$B$5001,E$162,Base!$A$3:$A$5001,_xlfn.MAXIFS(Base!$A$3:$A$5001,Base!$B$3:$B$5001,E$162,Base!$A$3:$A$5001,"&gt;="&amp;$C$7,Base!$A$3:$A$5001,"&lt;="&amp;$B169,Base!$X$3:$X$5001,"&lt;&gt;"))))</f>
        <v/>
      </c>
      <c r="F169" t="str">
        <f>IF($A169&gt;$B$9,"",IF(COUNTIFS(Base!$B$3:$B$5001,F$162,Base!$A$3:$A$5001,"&gt;="&amp;$C$7,Base!$A$3:$A$5001,"&lt;="&amp;$B169,Base!$X$3:$X$5001,"&lt;&gt;")=0,"",SUMIFS(Base!$X$3:$X$5001,Base!$B$3:$B$5001,F$162,Base!$A$3:$A$5001,_xlfn.MAXIFS(Base!$A$3:$A$5001,Base!$B$3:$B$5001,F$162,Base!$A$3:$A$5001,"&gt;="&amp;$C$7,Base!$A$3:$A$5001,"&lt;="&amp;$B169,Base!$X$3:$X$5001,"&lt;&gt;"))))</f>
        <v/>
      </c>
      <c r="G169" t="str">
        <f>IF($A169&gt;$B$9,"",IF(COUNTIFS(Base!$B$3:$B$5001,G$162,Base!$A$3:$A$5001,"&gt;="&amp;$C$7,Base!$A$3:$A$5001,"&lt;="&amp;$B169,Base!$X$3:$X$5001,"&lt;&gt;")=0,"",SUMIFS(Base!$X$3:$X$5001,Base!$B$3:$B$5001,G$162,Base!$A$3:$A$5001,_xlfn.MAXIFS(Base!$A$3:$A$5001,Base!$B$3:$B$5001,G$162,Base!$A$3:$A$5001,"&gt;="&amp;$C$7,Base!$A$3:$A$5001,"&lt;="&amp;$B169,Base!$X$3:$X$5001,"&lt;&gt;"))))</f>
        <v/>
      </c>
      <c r="H169" t="str">
        <f>IF($A169&gt;$B$9,"",IF(COUNTIFS(Base!$B$3:$B$5001,H$162,Base!$A$3:$A$5001,"&gt;="&amp;$C$7,Base!$A$3:$A$5001,"&lt;="&amp;$B169,Base!$X$3:$X$5001,"&lt;&gt;")=0,"",SUMIFS(Base!$X$3:$X$5001,Base!$B$3:$B$5001,H$162,Base!$A$3:$A$5001,_xlfn.MAXIFS(Base!$A$3:$A$5001,Base!$B$3:$B$5001,H$162,Base!$A$3:$A$5001,"&gt;="&amp;$C$7,Base!$A$3:$A$5001,"&lt;="&amp;$B169,Base!$X$3:$X$5001,"&lt;&gt;"))))</f>
        <v/>
      </c>
      <c r="I169" t="str">
        <f>IF($A169&gt;$B$9,"",IF(COUNTIFS(Base!$B$3:$B$5001,I$162,Base!$A$3:$A$5001,"&gt;="&amp;$C$7,Base!$A$3:$A$5001,"&lt;="&amp;$B169,Base!$X$3:$X$5001,"&lt;&gt;")=0,"",SUMIFS(Base!$X$3:$X$5001,Base!$B$3:$B$5001,I$162,Base!$A$3:$A$5001,_xlfn.MAXIFS(Base!$A$3:$A$5001,Base!$B$3:$B$5001,I$162,Base!$A$3:$A$5001,"&gt;="&amp;$C$7,Base!$A$3:$A$5001,"&lt;="&amp;$B169,Base!$X$3:$X$5001,"&lt;&gt;"))))</f>
        <v/>
      </c>
      <c r="J169" t="str">
        <f>IF($A169&gt;$B$9,"",IF(COUNTIFS(Base!$B$3:$B$5001,J$162,Base!$A$3:$A$5001,"&gt;="&amp;$C$7,Base!$A$3:$A$5001,"&lt;="&amp;$B169,Base!$X$3:$X$5001,"&lt;&gt;")=0,"",SUMIFS(Base!$X$3:$X$5001,Base!$B$3:$B$5001,J$162,Base!$A$3:$A$5001,_xlfn.MAXIFS(Base!$A$3:$A$5001,Base!$B$3:$B$5001,J$162,Base!$A$3:$A$5001,"&gt;="&amp;$C$7,Base!$A$3:$A$5001,"&lt;="&amp;$B169,Base!$X$3:$X$5001,"&lt;&gt;"))))</f>
        <v/>
      </c>
      <c r="K169" t="str">
        <f>IF($A169&gt;$B$9,"",IF(COUNTIFS(Base!$B$3:$B$5001,K$162,Base!$A$3:$A$5001,"&gt;="&amp;$C$7,Base!$A$3:$A$5001,"&lt;="&amp;$B169,Base!$X$3:$X$5001,"&lt;&gt;")=0,"",SUMIFS(Base!$X$3:$X$5001,Base!$B$3:$B$5001,K$162,Base!$A$3:$A$5001,_xlfn.MAXIFS(Base!$A$3:$A$5001,Base!$B$3:$B$5001,K$162,Base!$A$3:$A$5001,"&gt;="&amp;$C$7,Base!$A$3:$A$5001,"&lt;="&amp;$B169,Base!$X$3:$X$5001,"&lt;&gt;"))))</f>
        <v/>
      </c>
    </row>
    <row r="170">
      <c r="A170">
        <v>8</v>
      </c>
      <c r="B170" s="152">
        <f>$B$19</f>
        <v>46273</v>
      </c>
      <c r="C170" t="str">
        <f>IF($A170&gt;$B$9,"",IF(COUNTIFS(Base!$B$3:$B$5001,C$162,Base!$A$3:$A$5001,"&gt;="&amp;$C$7,Base!$A$3:$A$5001,"&lt;="&amp;$B170,Base!$X$3:$X$5001,"&lt;&gt;")=0,"",SUMIFS(Base!$X$3:$X$5001,Base!$B$3:$B$5001,C$162,Base!$A$3:$A$5001,_xlfn.MAXIFS(Base!$A$3:$A$5001,Base!$B$3:$B$5001,C$162,Base!$A$3:$A$5001,"&gt;="&amp;$C$7,Base!$A$3:$A$5001,"&lt;="&amp;$B170,Base!$X$3:$X$5001,"&lt;&gt;"))))</f>
        <v/>
      </c>
      <c r="D170" t="str">
        <f>IF($A170&gt;$B$9,"",IF(COUNTIFS(Base!$B$3:$B$5001,D$162,Base!$A$3:$A$5001,"&gt;="&amp;$C$7,Base!$A$3:$A$5001,"&lt;="&amp;$B170,Base!$X$3:$X$5001,"&lt;&gt;")=0,"",SUMIFS(Base!$X$3:$X$5001,Base!$B$3:$B$5001,D$162,Base!$A$3:$A$5001,_xlfn.MAXIFS(Base!$A$3:$A$5001,Base!$B$3:$B$5001,D$162,Base!$A$3:$A$5001,"&gt;="&amp;$C$7,Base!$A$3:$A$5001,"&lt;="&amp;$B170,Base!$X$3:$X$5001,"&lt;&gt;"))))</f>
        <v/>
      </c>
      <c r="E170" t="str">
        <f>IF($A170&gt;$B$9,"",IF(COUNTIFS(Base!$B$3:$B$5001,E$162,Base!$A$3:$A$5001,"&gt;="&amp;$C$7,Base!$A$3:$A$5001,"&lt;="&amp;$B170,Base!$X$3:$X$5001,"&lt;&gt;")=0,"",SUMIFS(Base!$X$3:$X$5001,Base!$B$3:$B$5001,E$162,Base!$A$3:$A$5001,_xlfn.MAXIFS(Base!$A$3:$A$5001,Base!$B$3:$B$5001,E$162,Base!$A$3:$A$5001,"&gt;="&amp;$C$7,Base!$A$3:$A$5001,"&lt;="&amp;$B170,Base!$X$3:$X$5001,"&lt;&gt;"))))</f>
        <v/>
      </c>
      <c r="F170" t="str">
        <f>IF($A170&gt;$B$9,"",IF(COUNTIFS(Base!$B$3:$B$5001,F$162,Base!$A$3:$A$5001,"&gt;="&amp;$C$7,Base!$A$3:$A$5001,"&lt;="&amp;$B170,Base!$X$3:$X$5001,"&lt;&gt;")=0,"",SUMIFS(Base!$X$3:$X$5001,Base!$B$3:$B$5001,F$162,Base!$A$3:$A$5001,_xlfn.MAXIFS(Base!$A$3:$A$5001,Base!$B$3:$B$5001,F$162,Base!$A$3:$A$5001,"&gt;="&amp;$C$7,Base!$A$3:$A$5001,"&lt;="&amp;$B170,Base!$X$3:$X$5001,"&lt;&gt;"))))</f>
        <v/>
      </c>
      <c r="G170" t="str">
        <f>IF($A170&gt;$B$9,"",IF(COUNTIFS(Base!$B$3:$B$5001,G$162,Base!$A$3:$A$5001,"&gt;="&amp;$C$7,Base!$A$3:$A$5001,"&lt;="&amp;$B170,Base!$X$3:$X$5001,"&lt;&gt;")=0,"",SUMIFS(Base!$X$3:$X$5001,Base!$B$3:$B$5001,G$162,Base!$A$3:$A$5001,_xlfn.MAXIFS(Base!$A$3:$A$5001,Base!$B$3:$B$5001,G$162,Base!$A$3:$A$5001,"&gt;="&amp;$C$7,Base!$A$3:$A$5001,"&lt;="&amp;$B170,Base!$X$3:$X$5001,"&lt;&gt;"))))</f>
        <v/>
      </c>
      <c r="H170" t="str">
        <f>IF($A170&gt;$B$9,"",IF(COUNTIFS(Base!$B$3:$B$5001,H$162,Base!$A$3:$A$5001,"&gt;="&amp;$C$7,Base!$A$3:$A$5001,"&lt;="&amp;$B170,Base!$X$3:$X$5001,"&lt;&gt;")=0,"",SUMIFS(Base!$X$3:$X$5001,Base!$B$3:$B$5001,H$162,Base!$A$3:$A$5001,_xlfn.MAXIFS(Base!$A$3:$A$5001,Base!$B$3:$B$5001,H$162,Base!$A$3:$A$5001,"&gt;="&amp;$C$7,Base!$A$3:$A$5001,"&lt;="&amp;$B170,Base!$X$3:$X$5001,"&lt;&gt;"))))</f>
        <v/>
      </c>
      <c r="I170" t="str">
        <f>IF($A170&gt;$B$9,"",IF(COUNTIFS(Base!$B$3:$B$5001,I$162,Base!$A$3:$A$5001,"&gt;="&amp;$C$7,Base!$A$3:$A$5001,"&lt;="&amp;$B170,Base!$X$3:$X$5001,"&lt;&gt;")=0,"",SUMIFS(Base!$X$3:$X$5001,Base!$B$3:$B$5001,I$162,Base!$A$3:$A$5001,_xlfn.MAXIFS(Base!$A$3:$A$5001,Base!$B$3:$B$5001,I$162,Base!$A$3:$A$5001,"&gt;="&amp;$C$7,Base!$A$3:$A$5001,"&lt;="&amp;$B170,Base!$X$3:$X$5001,"&lt;&gt;"))))</f>
        <v/>
      </c>
      <c r="J170" t="str">
        <f>IF($A170&gt;$B$9,"",IF(COUNTIFS(Base!$B$3:$B$5001,J$162,Base!$A$3:$A$5001,"&gt;="&amp;$C$7,Base!$A$3:$A$5001,"&lt;="&amp;$B170,Base!$X$3:$X$5001,"&lt;&gt;")=0,"",SUMIFS(Base!$X$3:$X$5001,Base!$B$3:$B$5001,J$162,Base!$A$3:$A$5001,_xlfn.MAXIFS(Base!$A$3:$A$5001,Base!$B$3:$B$5001,J$162,Base!$A$3:$A$5001,"&gt;="&amp;$C$7,Base!$A$3:$A$5001,"&lt;="&amp;$B170,Base!$X$3:$X$5001,"&lt;&gt;"))))</f>
        <v/>
      </c>
      <c r="K170" t="str">
        <f>IF($A170&gt;$B$9,"",IF(COUNTIFS(Base!$B$3:$B$5001,K$162,Base!$A$3:$A$5001,"&gt;="&amp;$C$7,Base!$A$3:$A$5001,"&lt;="&amp;$B170,Base!$X$3:$X$5001,"&lt;&gt;")=0,"",SUMIFS(Base!$X$3:$X$5001,Base!$B$3:$B$5001,K$162,Base!$A$3:$A$5001,_xlfn.MAXIFS(Base!$A$3:$A$5001,Base!$B$3:$B$5001,K$162,Base!$A$3:$A$5001,"&gt;="&amp;$C$7,Base!$A$3:$A$5001,"&lt;="&amp;$B170,Base!$X$3:$X$5001,"&lt;&gt;"))))</f>
        <v/>
      </c>
    </row>
    <row r="171">
      <c r="A171">
        <v>9</v>
      </c>
      <c r="B171" s="152">
        <f>$B$20</f>
        <v>46274</v>
      </c>
      <c r="C171" t="str">
        <f>IF($A171&gt;$B$9,"",IF(COUNTIFS(Base!$B$3:$B$5001,C$162,Base!$A$3:$A$5001,"&gt;="&amp;$C$7,Base!$A$3:$A$5001,"&lt;="&amp;$B171,Base!$X$3:$X$5001,"&lt;&gt;")=0,"",SUMIFS(Base!$X$3:$X$5001,Base!$B$3:$B$5001,C$162,Base!$A$3:$A$5001,_xlfn.MAXIFS(Base!$A$3:$A$5001,Base!$B$3:$B$5001,C$162,Base!$A$3:$A$5001,"&gt;="&amp;$C$7,Base!$A$3:$A$5001,"&lt;="&amp;$B171,Base!$X$3:$X$5001,"&lt;&gt;"))))</f>
        <v/>
      </c>
      <c r="D171" t="str">
        <f>IF($A171&gt;$B$9,"",IF(COUNTIFS(Base!$B$3:$B$5001,D$162,Base!$A$3:$A$5001,"&gt;="&amp;$C$7,Base!$A$3:$A$5001,"&lt;="&amp;$B171,Base!$X$3:$X$5001,"&lt;&gt;")=0,"",SUMIFS(Base!$X$3:$X$5001,Base!$B$3:$B$5001,D$162,Base!$A$3:$A$5001,_xlfn.MAXIFS(Base!$A$3:$A$5001,Base!$B$3:$B$5001,D$162,Base!$A$3:$A$5001,"&gt;="&amp;$C$7,Base!$A$3:$A$5001,"&lt;="&amp;$B171,Base!$X$3:$X$5001,"&lt;&gt;"))))</f>
        <v/>
      </c>
      <c r="E171" t="str">
        <f>IF($A171&gt;$B$9,"",IF(COUNTIFS(Base!$B$3:$B$5001,E$162,Base!$A$3:$A$5001,"&gt;="&amp;$C$7,Base!$A$3:$A$5001,"&lt;="&amp;$B171,Base!$X$3:$X$5001,"&lt;&gt;")=0,"",SUMIFS(Base!$X$3:$X$5001,Base!$B$3:$B$5001,E$162,Base!$A$3:$A$5001,_xlfn.MAXIFS(Base!$A$3:$A$5001,Base!$B$3:$B$5001,E$162,Base!$A$3:$A$5001,"&gt;="&amp;$C$7,Base!$A$3:$A$5001,"&lt;="&amp;$B171,Base!$X$3:$X$5001,"&lt;&gt;"))))</f>
        <v/>
      </c>
      <c r="F171" t="str">
        <f>IF($A171&gt;$B$9,"",IF(COUNTIFS(Base!$B$3:$B$5001,F$162,Base!$A$3:$A$5001,"&gt;="&amp;$C$7,Base!$A$3:$A$5001,"&lt;="&amp;$B171,Base!$X$3:$X$5001,"&lt;&gt;")=0,"",SUMIFS(Base!$X$3:$X$5001,Base!$B$3:$B$5001,F$162,Base!$A$3:$A$5001,_xlfn.MAXIFS(Base!$A$3:$A$5001,Base!$B$3:$B$5001,F$162,Base!$A$3:$A$5001,"&gt;="&amp;$C$7,Base!$A$3:$A$5001,"&lt;="&amp;$B171,Base!$X$3:$X$5001,"&lt;&gt;"))))</f>
        <v/>
      </c>
      <c r="G171" t="str">
        <f>IF($A171&gt;$B$9,"",IF(COUNTIFS(Base!$B$3:$B$5001,G$162,Base!$A$3:$A$5001,"&gt;="&amp;$C$7,Base!$A$3:$A$5001,"&lt;="&amp;$B171,Base!$X$3:$X$5001,"&lt;&gt;")=0,"",SUMIFS(Base!$X$3:$X$5001,Base!$B$3:$B$5001,G$162,Base!$A$3:$A$5001,_xlfn.MAXIFS(Base!$A$3:$A$5001,Base!$B$3:$B$5001,G$162,Base!$A$3:$A$5001,"&gt;="&amp;$C$7,Base!$A$3:$A$5001,"&lt;="&amp;$B171,Base!$X$3:$X$5001,"&lt;&gt;"))))</f>
        <v/>
      </c>
      <c r="H171" t="str">
        <f>IF($A171&gt;$B$9,"",IF(COUNTIFS(Base!$B$3:$B$5001,H$162,Base!$A$3:$A$5001,"&gt;="&amp;$C$7,Base!$A$3:$A$5001,"&lt;="&amp;$B171,Base!$X$3:$X$5001,"&lt;&gt;")=0,"",SUMIFS(Base!$X$3:$X$5001,Base!$B$3:$B$5001,H$162,Base!$A$3:$A$5001,_xlfn.MAXIFS(Base!$A$3:$A$5001,Base!$B$3:$B$5001,H$162,Base!$A$3:$A$5001,"&gt;="&amp;$C$7,Base!$A$3:$A$5001,"&lt;="&amp;$B171,Base!$X$3:$X$5001,"&lt;&gt;"))))</f>
        <v/>
      </c>
      <c r="I171" t="str">
        <f>IF($A171&gt;$B$9,"",IF(COUNTIFS(Base!$B$3:$B$5001,I$162,Base!$A$3:$A$5001,"&gt;="&amp;$C$7,Base!$A$3:$A$5001,"&lt;="&amp;$B171,Base!$X$3:$X$5001,"&lt;&gt;")=0,"",SUMIFS(Base!$X$3:$X$5001,Base!$B$3:$B$5001,I$162,Base!$A$3:$A$5001,_xlfn.MAXIFS(Base!$A$3:$A$5001,Base!$B$3:$B$5001,I$162,Base!$A$3:$A$5001,"&gt;="&amp;$C$7,Base!$A$3:$A$5001,"&lt;="&amp;$B171,Base!$X$3:$X$5001,"&lt;&gt;"))))</f>
        <v/>
      </c>
      <c r="J171" t="str">
        <f>IF($A171&gt;$B$9,"",IF(COUNTIFS(Base!$B$3:$B$5001,J$162,Base!$A$3:$A$5001,"&gt;="&amp;$C$7,Base!$A$3:$A$5001,"&lt;="&amp;$B171,Base!$X$3:$X$5001,"&lt;&gt;")=0,"",SUMIFS(Base!$X$3:$X$5001,Base!$B$3:$B$5001,J$162,Base!$A$3:$A$5001,_xlfn.MAXIFS(Base!$A$3:$A$5001,Base!$B$3:$B$5001,J$162,Base!$A$3:$A$5001,"&gt;="&amp;$C$7,Base!$A$3:$A$5001,"&lt;="&amp;$B171,Base!$X$3:$X$5001,"&lt;&gt;"))))</f>
        <v/>
      </c>
      <c r="K171" t="str">
        <f>IF($A171&gt;$B$9,"",IF(COUNTIFS(Base!$B$3:$B$5001,K$162,Base!$A$3:$A$5001,"&gt;="&amp;$C$7,Base!$A$3:$A$5001,"&lt;="&amp;$B171,Base!$X$3:$X$5001,"&lt;&gt;")=0,"",SUMIFS(Base!$X$3:$X$5001,Base!$B$3:$B$5001,K$162,Base!$A$3:$A$5001,_xlfn.MAXIFS(Base!$A$3:$A$5001,Base!$B$3:$B$5001,K$162,Base!$A$3:$A$5001,"&gt;="&amp;$C$7,Base!$A$3:$A$5001,"&lt;="&amp;$B171,Base!$X$3:$X$5001,"&lt;&gt;"))))</f>
        <v/>
      </c>
    </row>
    <row r="172">
      <c r="A172">
        <v>10</v>
      </c>
      <c r="B172" s="152">
        <f>$B$21</f>
        <v>46275</v>
      </c>
      <c r="C172" t="str">
        <f>IF($A172&gt;$B$9,"",IF(COUNTIFS(Base!$B$3:$B$5001,C$162,Base!$A$3:$A$5001,"&gt;="&amp;$C$7,Base!$A$3:$A$5001,"&lt;="&amp;$B172,Base!$X$3:$X$5001,"&lt;&gt;")=0,"",SUMIFS(Base!$X$3:$X$5001,Base!$B$3:$B$5001,C$162,Base!$A$3:$A$5001,_xlfn.MAXIFS(Base!$A$3:$A$5001,Base!$B$3:$B$5001,C$162,Base!$A$3:$A$5001,"&gt;="&amp;$C$7,Base!$A$3:$A$5001,"&lt;="&amp;$B172,Base!$X$3:$X$5001,"&lt;&gt;"))))</f>
        <v/>
      </c>
      <c r="D172" t="str">
        <f>IF($A172&gt;$B$9,"",IF(COUNTIFS(Base!$B$3:$B$5001,D$162,Base!$A$3:$A$5001,"&gt;="&amp;$C$7,Base!$A$3:$A$5001,"&lt;="&amp;$B172,Base!$X$3:$X$5001,"&lt;&gt;")=0,"",SUMIFS(Base!$X$3:$X$5001,Base!$B$3:$B$5001,D$162,Base!$A$3:$A$5001,_xlfn.MAXIFS(Base!$A$3:$A$5001,Base!$B$3:$B$5001,D$162,Base!$A$3:$A$5001,"&gt;="&amp;$C$7,Base!$A$3:$A$5001,"&lt;="&amp;$B172,Base!$X$3:$X$5001,"&lt;&gt;"))))</f>
        <v/>
      </c>
      <c r="E172" t="str">
        <f>IF($A172&gt;$B$9,"",IF(COUNTIFS(Base!$B$3:$B$5001,E$162,Base!$A$3:$A$5001,"&gt;="&amp;$C$7,Base!$A$3:$A$5001,"&lt;="&amp;$B172,Base!$X$3:$X$5001,"&lt;&gt;")=0,"",SUMIFS(Base!$X$3:$X$5001,Base!$B$3:$B$5001,E$162,Base!$A$3:$A$5001,_xlfn.MAXIFS(Base!$A$3:$A$5001,Base!$B$3:$B$5001,E$162,Base!$A$3:$A$5001,"&gt;="&amp;$C$7,Base!$A$3:$A$5001,"&lt;="&amp;$B172,Base!$X$3:$X$5001,"&lt;&gt;"))))</f>
        <v/>
      </c>
      <c r="F172" t="str">
        <f>IF($A172&gt;$B$9,"",IF(COUNTIFS(Base!$B$3:$B$5001,F$162,Base!$A$3:$A$5001,"&gt;="&amp;$C$7,Base!$A$3:$A$5001,"&lt;="&amp;$B172,Base!$X$3:$X$5001,"&lt;&gt;")=0,"",SUMIFS(Base!$X$3:$X$5001,Base!$B$3:$B$5001,F$162,Base!$A$3:$A$5001,_xlfn.MAXIFS(Base!$A$3:$A$5001,Base!$B$3:$B$5001,F$162,Base!$A$3:$A$5001,"&gt;="&amp;$C$7,Base!$A$3:$A$5001,"&lt;="&amp;$B172,Base!$X$3:$X$5001,"&lt;&gt;"))))</f>
        <v/>
      </c>
      <c r="G172" t="str">
        <f>IF($A172&gt;$B$9,"",IF(COUNTIFS(Base!$B$3:$B$5001,G$162,Base!$A$3:$A$5001,"&gt;="&amp;$C$7,Base!$A$3:$A$5001,"&lt;="&amp;$B172,Base!$X$3:$X$5001,"&lt;&gt;")=0,"",SUMIFS(Base!$X$3:$X$5001,Base!$B$3:$B$5001,G$162,Base!$A$3:$A$5001,_xlfn.MAXIFS(Base!$A$3:$A$5001,Base!$B$3:$B$5001,G$162,Base!$A$3:$A$5001,"&gt;="&amp;$C$7,Base!$A$3:$A$5001,"&lt;="&amp;$B172,Base!$X$3:$X$5001,"&lt;&gt;"))))</f>
        <v/>
      </c>
      <c r="H172" t="str">
        <f>IF($A172&gt;$B$9,"",IF(COUNTIFS(Base!$B$3:$B$5001,H$162,Base!$A$3:$A$5001,"&gt;="&amp;$C$7,Base!$A$3:$A$5001,"&lt;="&amp;$B172,Base!$X$3:$X$5001,"&lt;&gt;")=0,"",SUMIFS(Base!$X$3:$X$5001,Base!$B$3:$B$5001,H$162,Base!$A$3:$A$5001,_xlfn.MAXIFS(Base!$A$3:$A$5001,Base!$B$3:$B$5001,H$162,Base!$A$3:$A$5001,"&gt;="&amp;$C$7,Base!$A$3:$A$5001,"&lt;="&amp;$B172,Base!$X$3:$X$5001,"&lt;&gt;"))))</f>
        <v/>
      </c>
      <c r="I172" t="str">
        <f>IF($A172&gt;$B$9,"",IF(COUNTIFS(Base!$B$3:$B$5001,I$162,Base!$A$3:$A$5001,"&gt;="&amp;$C$7,Base!$A$3:$A$5001,"&lt;="&amp;$B172,Base!$X$3:$X$5001,"&lt;&gt;")=0,"",SUMIFS(Base!$X$3:$X$5001,Base!$B$3:$B$5001,I$162,Base!$A$3:$A$5001,_xlfn.MAXIFS(Base!$A$3:$A$5001,Base!$B$3:$B$5001,I$162,Base!$A$3:$A$5001,"&gt;="&amp;$C$7,Base!$A$3:$A$5001,"&lt;="&amp;$B172,Base!$X$3:$X$5001,"&lt;&gt;"))))</f>
        <v/>
      </c>
      <c r="J172" t="str">
        <f>IF($A172&gt;$B$9,"",IF(COUNTIFS(Base!$B$3:$B$5001,J$162,Base!$A$3:$A$5001,"&gt;="&amp;$C$7,Base!$A$3:$A$5001,"&lt;="&amp;$B172,Base!$X$3:$X$5001,"&lt;&gt;")=0,"",SUMIFS(Base!$X$3:$X$5001,Base!$B$3:$B$5001,J$162,Base!$A$3:$A$5001,_xlfn.MAXIFS(Base!$A$3:$A$5001,Base!$B$3:$B$5001,J$162,Base!$A$3:$A$5001,"&gt;="&amp;$C$7,Base!$A$3:$A$5001,"&lt;="&amp;$B172,Base!$X$3:$X$5001,"&lt;&gt;"))))</f>
        <v/>
      </c>
      <c r="K172" t="str">
        <f>IF($A172&gt;$B$9,"",IF(COUNTIFS(Base!$B$3:$B$5001,K$162,Base!$A$3:$A$5001,"&gt;="&amp;$C$7,Base!$A$3:$A$5001,"&lt;="&amp;$B172,Base!$X$3:$X$5001,"&lt;&gt;")=0,"",SUMIFS(Base!$X$3:$X$5001,Base!$B$3:$B$5001,K$162,Base!$A$3:$A$5001,_xlfn.MAXIFS(Base!$A$3:$A$5001,Base!$B$3:$B$5001,K$162,Base!$A$3:$A$5001,"&gt;="&amp;$C$7,Base!$A$3:$A$5001,"&lt;="&amp;$B172,Base!$X$3:$X$5001,"&lt;&gt;"))))</f>
        <v/>
      </c>
    </row>
    <row r="173">
      <c r="A173">
        <v>11</v>
      </c>
      <c r="B173" s="152">
        <f>$B$22</f>
        <v>46276</v>
      </c>
      <c r="C173" t="str">
        <f>IF($A173&gt;$B$9,"",IF(COUNTIFS(Base!$B$3:$B$5001,C$162,Base!$A$3:$A$5001,"&gt;="&amp;$C$7,Base!$A$3:$A$5001,"&lt;="&amp;$B173,Base!$X$3:$X$5001,"&lt;&gt;")=0,"",SUMIFS(Base!$X$3:$X$5001,Base!$B$3:$B$5001,C$162,Base!$A$3:$A$5001,_xlfn.MAXIFS(Base!$A$3:$A$5001,Base!$B$3:$B$5001,C$162,Base!$A$3:$A$5001,"&gt;="&amp;$C$7,Base!$A$3:$A$5001,"&lt;="&amp;$B173,Base!$X$3:$X$5001,"&lt;&gt;"))))</f>
        <v/>
      </c>
      <c r="D173" t="str">
        <f>IF($A173&gt;$B$9,"",IF(COUNTIFS(Base!$B$3:$B$5001,D$162,Base!$A$3:$A$5001,"&gt;="&amp;$C$7,Base!$A$3:$A$5001,"&lt;="&amp;$B173,Base!$X$3:$X$5001,"&lt;&gt;")=0,"",SUMIFS(Base!$X$3:$X$5001,Base!$B$3:$B$5001,D$162,Base!$A$3:$A$5001,_xlfn.MAXIFS(Base!$A$3:$A$5001,Base!$B$3:$B$5001,D$162,Base!$A$3:$A$5001,"&gt;="&amp;$C$7,Base!$A$3:$A$5001,"&lt;="&amp;$B173,Base!$X$3:$X$5001,"&lt;&gt;"))))</f>
        <v/>
      </c>
      <c r="E173" t="str">
        <f>IF($A173&gt;$B$9,"",IF(COUNTIFS(Base!$B$3:$B$5001,E$162,Base!$A$3:$A$5001,"&gt;="&amp;$C$7,Base!$A$3:$A$5001,"&lt;="&amp;$B173,Base!$X$3:$X$5001,"&lt;&gt;")=0,"",SUMIFS(Base!$X$3:$X$5001,Base!$B$3:$B$5001,E$162,Base!$A$3:$A$5001,_xlfn.MAXIFS(Base!$A$3:$A$5001,Base!$B$3:$B$5001,E$162,Base!$A$3:$A$5001,"&gt;="&amp;$C$7,Base!$A$3:$A$5001,"&lt;="&amp;$B173,Base!$X$3:$X$5001,"&lt;&gt;"))))</f>
        <v/>
      </c>
      <c r="F173" t="str">
        <f>IF($A173&gt;$B$9,"",IF(COUNTIFS(Base!$B$3:$B$5001,F$162,Base!$A$3:$A$5001,"&gt;="&amp;$C$7,Base!$A$3:$A$5001,"&lt;="&amp;$B173,Base!$X$3:$X$5001,"&lt;&gt;")=0,"",SUMIFS(Base!$X$3:$X$5001,Base!$B$3:$B$5001,F$162,Base!$A$3:$A$5001,_xlfn.MAXIFS(Base!$A$3:$A$5001,Base!$B$3:$B$5001,F$162,Base!$A$3:$A$5001,"&gt;="&amp;$C$7,Base!$A$3:$A$5001,"&lt;="&amp;$B173,Base!$X$3:$X$5001,"&lt;&gt;"))))</f>
        <v/>
      </c>
      <c r="G173" t="str">
        <f>IF($A173&gt;$B$9,"",IF(COUNTIFS(Base!$B$3:$B$5001,G$162,Base!$A$3:$A$5001,"&gt;="&amp;$C$7,Base!$A$3:$A$5001,"&lt;="&amp;$B173,Base!$X$3:$X$5001,"&lt;&gt;")=0,"",SUMIFS(Base!$X$3:$X$5001,Base!$B$3:$B$5001,G$162,Base!$A$3:$A$5001,_xlfn.MAXIFS(Base!$A$3:$A$5001,Base!$B$3:$B$5001,G$162,Base!$A$3:$A$5001,"&gt;="&amp;$C$7,Base!$A$3:$A$5001,"&lt;="&amp;$B173,Base!$X$3:$X$5001,"&lt;&gt;"))))</f>
        <v/>
      </c>
      <c r="H173" t="str">
        <f>IF($A173&gt;$B$9,"",IF(COUNTIFS(Base!$B$3:$B$5001,H$162,Base!$A$3:$A$5001,"&gt;="&amp;$C$7,Base!$A$3:$A$5001,"&lt;="&amp;$B173,Base!$X$3:$X$5001,"&lt;&gt;")=0,"",SUMIFS(Base!$X$3:$X$5001,Base!$B$3:$B$5001,H$162,Base!$A$3:$A$5001,_xlfn.MAXIFS(Base!$A$3:$A$5001,Base!$B$3:$B$5001,H$162,Base!$A$3:$A$5001,"&gt;="&amp;$C$7,Base!$A$3:$A$5001,"&lt;="&amp;$B173,Base!$X$3:$X$5001,"&lt;&gt;"))))</f>
        <v/>
      </c>
      <c r="I173" t="str">
        <f>IF($A173&gt;$B$9,"",IF(COUNTIFS(Base!$B$3:$B$5001,I$162,Base!$A$3:$A$5001,"&gt;="&amp;$C$7,Base!$A$3:$A$5001,"&lt;="&amp;$B173,Base!$X$3:$X$5001,"&lt;&gt;")=0,"",SUMIFS(Base!$X$3:$X$5001,Base!$B$3:$B$5001,I$162,Base!$A$3:$A$5001,_xlfn.MAXIFS(Base!$A$3:$A$5001,Base!$B$3:$B$5001,I$162,Base!$A$3:$A$5001,"&gt;="&amp;$C$7,Base!$A$3:$A$5001,"&lt;="&amp;$B173,Base!$X$3:$X$5001,"&lt;&gt;"))))</f>
        <v/>
      </c>
      <c r="J173" t="str">
        <f>IF($A173&gt;$B$9,"",IF(COUNTIFS(Base!$B$3:$B$5001,J$162,Base!$A$3:$A$5001,"&gt;="&amp;$C$7,Base!$A$3:$A$5001,"&lt;="&amp;$B173,Base!$X$3:$X$5001,"&lt;&gt;")=0,"",SUMIFS(Base!$X$3:$X$5001,Base!$B$3:$B$5001,J$162,Base!$A$3:$A$5001,_xlfn.MAXIFS(Base!$A$3:$A$5001,Base!$B$3:$B$5001,J$162,Base!$A$3:$A$5001,"&gt;="&amp;$C$7,Base!$A$3:$A$5001,"&lt;="&amp;$B173,Base!$X$3:$X$5001,"&lt;&gt;"))))</f>
        <v/>
      </c>
      <c r="K173" t="str">
        <f>IF($A173&gt;$B$9,"",IF(COUNTIFS(Base!$B$3:$B$5001,K$162,Base!$A$3:$A$5001,"&gt;="&amp;$C$7,Base!$A$3:$A$5001,"&lt;="&amp;$B173,Base!$X$3:$X$5001,"&lt;&gt;")=0,"",SUMIFS(Base!$X$3:$X$5001,Base!$B$3:$B$5001,K$162,Base!$A$3:$A$5001,_xlfn.MAXIFS(Base!$A$3:$A$5001,Base!$B$3:$B$5001,K$162,Base!$A$3:$A$5001,"&gt;="&amp;$C$7,Base!$A$3:$A$5001,"&lt;="&amp;$B173,Base!$X$3:$X$5001,"&lt;&gt;"))))</f>
        <v/>
      </c>
    </row>
    <row r="174">
      <c r="A174">
        <v>12</v>
      </c>
      <c r="B174" s="152">
        <f>$B$23</f>
        <v>46277</v>
      </c>
      <c r="C174" t="str">
        <f>IF($A174&gt;$B$9,"",IF(COUNTIFS(Base!$B$3:$B$5001,C$162,Base!$A$3:$A$5001,"&gt;="&amp;$C$7,Base!$A$3:$A$5001,"&lt;="&amp;$B174,Base!$X$3:$X$5001,"&lt;&gt;")=0,"",SUMIFS(Base!$X$3:$X$5001,Base!$B$3:$B$5001,C$162,Base!$A$3:$A$5001,_xlfn.MAXIFS(Base!$A$3:$A$5001,Base!$B$3:$B$5001,C$162,Base!$A$3:$A$5001,"&gt;="&amp;$C$7,Base!$A$3:$A$5001,"&lt;="&amp;$B174,Base!$X$3:$X$5001,"&lt;&gt;"))))</f>
        <v/>
      </c>
      <c r="D174" t="str">
        <f>IF($A174&gt;$B$9,"",IF(COUNTIFS(Base!$B$3:$B$5001,D$162,Base!$A$3:$A$5001,"&gt;="&amp;$C$7,Base!$A$3:$A$5001,"&lt;="&amp;$B174,Base!$X$3:$X$5001,"&lt;&gt;")=0,"",SUMIFS(Base!$X$3:$X$5001,Base!$B$3:$B$5001,D$162,Base!$A$3:$A$5001,_xlfn.MAXIFS(Base!$A$3:$A$5001,Base!$B$3:$B$5001,D$162,Base!$A$3:$A$5001,"&gt;="&amp;$C$7,Base!$A$3:$A$5001,"&lt;="&amp;$B174,Base!$X$3:$X$5001,"&lt;&gt;"))))</f>
        <v/>
      </c>
      <c r="E174" t="str">
        <f>IF($A174&gt;$B$9,"",IF(COUNTIFS(Base!$B$3:$B$5001,E$162,Base!$A$3:$A$5001,"&gt;="&amp;$C$7,Base!$A$3:$A$5001,"&lt;="&amp;$B174,Base!$X$3:$X$5001,"&lt;&gt;")=0,"",SUMIFS(Base!$X$3:$X$5001,Base!$B$3:$B$5001,E$162,Base!$A$3:$A$5001,_xlfn.MAXIFS(Base!$A$3:$A$5001,Base!$B$3:$B$5001,E$162,Base!$A$3:$A$5001,"&gt;="&amp;$C$7,Base!$A$3:$A$5001,"&lt;="&amp;$B174,Base!$X$3:$X$5001,"&lt;&gt;"))))</f>
        <v/>
      </c>
      <c r="F174" t="str">
        <f>IF($A174&gt;$B$9,"",IF(COUNTIFS(Base!$B$3:$B$5001,F$162,Base!$A$3:$A$5001,"&gt;="&amp;$C$7,Base!$A$3:$A$5001,"&lt;="&amp;$B174,Base!$X$3:$X$5001,"&lt;&gt;")=0,"",SUMIFS(Base!$X$3:$X$5001,Base!$B$3:$B$5001,F$162,Base!$A$3:$A$5001,_xlfn.MAXIFS(Base!$A$3:$A$5001,Base!$B$3:$B$5001,F$162,Base!$A$3:$A$5001,"&gt;="&amp;$C$7,Base!$A$3:$A$5001,"&lt;="&amp;$B174,Base!$X$3:$X$5001,"&lt;&gt;"))))</f>
        <v/>
      </c>
      <c r="G174" t="str">
        <f>IF($A174&gt;$B$9,"",IF(COUNTIFS(Base!$B$3:$B$5001,G$162,Base!$A$3:$A$5001,"&gt;="&amp;$C$7,Base!$A$3:$A$5001,"&lt;="&amp;$B174,Base!$X$3:$X$5001,"&lt;&gt;")=0,"",SUMIFS(Base!$X$3:$X$5001,Base!$B$3:$B$5001,G$162,Base!$A$3:$A$5001,_xlfn.MAXIFS(Base!$A$3:$A$5001,Base!$B$3:$B$5001,G$162,Base!$A$3:$A$5001,"&gt;="&amp;$C$7,Base!$A$3:$A$5001,"&lt;="&amp;$B174,Base!$X$3:$X$5001,"&lt;&gt;"))))</f>
        <v/>
      </c>
      <c r="H174" t="str">
        <f>IF($A174&gt;$B$9,"",IF(COUNTIFS(Base!$B$3:$B$5001,H$162,Base!$A$3:$A$5001,"&gt;="&amp;$C$7,Base!$A$3:$A$5001,"&lt;="&amp;$B174,Base!$X$3:$X$5001,"&lt;&gt;")=0,"",SUMIFS(Base!$X$3:$X$5001,Base!$B$3:$B$5001,H$162,Base!$A$3:$A$5001,_xlfn.MAXIFS(Base!$A$3:$A$5001,Base!$B$3:$B$5001,H$162,Base!$A$3:$A$5001,"&gt;="&amp;$C$7,Base!$A$3:$A$5001,"&lt;="&amp;$B174,Base!$X$3:$X$5001,"&lt;&gt;"))))</f>
        <v/>
      </c>
      <c r="I174" t="str">
        <f>IF($A174&gt;$B$9,"",IF(COUNTIFS(Base!$B$3:$B$5001,I$162,Base!$A$3:$A$5001,"&gt;="&amp;$C$7,Base!$A$3:$A$5001,"&lt;="&amp;$B174,Base!$X$3:$X$5001,"&lt;&gt;")=0,"",SUMIFS(Base!$X$3:$X$5001,Base!$B$3:$B$5001,I$162,Base!$A$3:$A$5001,_xlfn.MAXIFS(Base!$A$3:$A$5001,Base!$B$3:$B$5001,I$162,Base!$A$3:$A$5001,"&gt;="&amp;$C$7,Base!$A$3:$A$5001,"&lt;="&amp;$B174,Base!$X$3:$X$5001,"&lt;&gt;"))))</f>
        <v/>
      </c>
      <c r="J174" t="str">
        <f>IF($A174&gt;$B$9,"",IF(COUNTIFS(Base!$B$3:$B$5001,J$162,Base!$A$3:$A$5001,"&gt;="&amp;$C$7,Base!$A$3:$A$5001,"&lt;="&amp;$B174,Base!$X$3:$X$5001,"&lt;&gt;")=0,"",SUMIFS(Base!$X$3:$X$5001,Base!$B$3:$B$5001,J$162,Base!$A$3:$A$5001,_xlfn.MAXIFS(Base!$A$3:$A$5001,Base!$B$3:$B$5001,J$162,Base!$A$3:$A$5001,"&gt;="&amp;$C$7,Base!$A$3:$A$5001,"&lt;="&amp;$B174,Base!$X$3:$X$5001,"&lt;&gt;"))))</f>
        <v/>
      </c>
      <c r="K174" t="str">
        <f>IF($A174&gt;$B$9,"",IF(COUNTIFS(Base!$B$3:$B$5001,K$162,Base!$A$3:$A$5001,"&gt;="&amp;$C$7,Base!$A$3:$A$5001,"&lt;="&amp;$B174,Base!$X$3:$X$5001,"&lt;&gt;")=0,"",SUMIFS(Base!$X$3:$X$5001,Base!$B$3:$B$5001,K$162,Base!$A$3:$A$5001,_xlfn.MAXIFS(Base!$A$3:$A$5001,Base!$B$3:$B$5001,K$162,Base!$A$3:$A$5001,"&gt;="&amp;$C$7,Base!$A$3:$A$5001,"&lt;="&amp;$B174,Base!$X$3:$X$5001,"&lt;&gt;"))))</f>
        <v/>
      </c>
    </row>
    <row r="175">
      <c r="A175">
        <v>13</v>
      </c>
      <c r="B175" s="152">
        <f>$B$24</f>
        <v>46278</v>
      </c>
      <c r="C175" t="str">
        <f>IF($A175&gt;$B$9,"",IF(COUNTIFS(Base!$B$3:$B$5001,C$162,Base!$A$3:$A$5001,"&gt;="&amp;$C$7,Base!$A$3:$A$5001,"&lt;="&amp;$B175,Base!$X$3:$X$5001,"&lt;&gt;")=0,"",SUMIFS(Base!$X$3:$X$5001,Base!$B$3:$B$5001,C$162,Base!$A$3:$A$5001,_xlfn.MAXIFS(Base!$A$3:$A$5001,Base!$B$3:$B$5001,C$162,Base!$A$3:$A$5001,"&gt;="&amp;$C$7,Base!$A$3:$A$5001,"&lt;="&amp;$B175,Base!$X$3:$X$5001,"&lt;&gt;"))))</f>
        <v/>
      </c>
      <c r="D175" t="str">
        <f>IF($A175&gt;$B$9,"",IF(COUNTIFS(Base!$B$3:$B$5001,D$162,Base!$A$3:$A$5001,"&gt;="&amp;$C$7,Base!$A$3:$A$5001,"&lt;="&amp;$B175,Base!$X$3:$X$5001,"&lt;&gt;")=0,"",SUMIFS(Base!$X$3:$X$5001,Base!$B$3:$B$5001,D$162,Base!$A$3:$A$5001,_xlfn.MAXIFS(Base!$A$3:$A$5001,Base!$B$3:$B$5001,D$162,Base!$A$3:$A$5001,"&gt;="&amp;$C$7,Base!$A$3:$A$5001,"&lt;="&amp;$B175,Base!$X$3:$X$5001,"&lt;&gt;"))))</f>
        <v/>
      </c>
      <c r="E175" t="str">
        <f>IF($A175&gt;$B$9,"",IF(COUNTIFS(Base!$B$3:$B$5001,E$162,Base!$A$3:$A$5001,"&gt;="&amp;$C$7,Base!$A$3:$A$5001,"&lt;="&amp;$B175,Base!$X$3:$X$5001,"&lt;&gt;")=0,"",SUMIFS(Base!$X$3:$X$5001,Base!$B$3:$B$5001,E$162,Base!$A$3:$A$5001,_xlfn.MAXIFS(Base!$A$3:$A$5001,Base!$B$3:$B$5001,E$162,Base!$A$3:$A$5001,"&gt;="&amp;$C$7,Base!$A$3:$A$5001,"&lt;="&amp;$B175,Base!$X$3:$X$5001,"&lt;&gt;"))))</f>
        <v/>
      </c>
      <c r="F175" t="str">
        <f>IF($A175&gt;$B$9,"",IF(COUNTIFS(Base!$B$3:$B$5001,F$162,Base!$A$3:$A$5001,"&gt;="&amp;$C$7,Base!$A$3:$A$5001,"&lt;="&amp;$B175,Base!$X$3:$X$5001,"&lt;&gt;")=0,"",SUMIFS(Base!$X$3:$X$5001,Base!$B$3:$B$5001,F$162,Base!$A$3:$A$5001,_xlfn.MAXIFS(Base!$A$3:$A$5001,Base!$B$3:$B$5001,F$162,Base!$A$3:$A$5001,"&gt;="&amp;$C$7,Base!$A$3:$A$5001,"&lt;="&amp;$B175,Base!$X$3:$X$5001,"&lt;&gt;"))))</f>
        <v/>
      </c>
      <c r="G175" t="str">
        <f>IF($A175&gt;$B$9,"",IF(COUNTIFS(Base!$B$3:$B$5001,G$162,Base!$A$3:$A$5001,"&gt;="&amp;$C$7,Base!$A$3:$A$5001,"&lt;="&amp;$B175,Base!$X$3:$X$5001,"&lt;&gt;")=0,"",SUMIFS(Base!$X$3:$X$5001,Base!$B$3:$B$5001,G$162,Base!$A$3:$A$5001,_xlfn.MAXIFS(Base!$A$3:$A$5001,Base!$B$3:$B$5001,G$162,Base!$A$3:$A$5001,"&gt;="&amp;$C$7,Base!$A$3:$A$5001,"&lt;="&amp;$B175,Base!$X$3:$X$5001,"&lt;&gt;"))))</f>
        <v/>
      </c>
      <c r="H175" t="str">
        <f>IF($A175&gt;$B$9,"",IF(COUNTIFS(Base!$B$3:$B$5001,H$162,Base!$A$3:$A$5001,"&gt;="&amp;$C$7,Base!$A$3:$A$5001,"&lt;="&amp;$B175,Base!$X$3:$X$5001,"&lt;&gt;")=0,"",SUMIFS(Base!$X$3:$X$5001,Base!$B$3:$B$5001,H$162,Base!$A$3:$A$5001,_xlfn.MAXIFS(Base!$A$3:$A$5001,Base!$B$3:$B$5001,H$162,Base!$A$3:$A$5001,"&gt;="&amp;$C$7,Base!$A$3:$A$5001,"&lt;="&amp;$B175,Base!$X$3:$X$5001,"&lt;&gt;"))))</f>
        <v/>
      </c>
      <c r="I175" t="str">
        <f>IF($A175&gt;$B$9,"",IF(COUNTIFS(Base!$B$3:$B$5001,I$162,Base!$A$3:$A$5001,"&gt;="&amp;$C$7,Base!$A$3:$A$5001,"&lt;="&amp;$B175,Base!$X$3:$X$5001,"&lt;&gt;")=0,"",SUMIFS(Base!$X$3:$X$5001,Base!$B$3:$B$5001,I$162,Base!$A$3:$A$5001,_xlfn.MAXIFS(Base!$A$3:$A$5001,Base!$B$3:$B$5001,I$162,Base!$A$3:$A$5001,"&gt;="&amp;$C$7,Base!$A$3:$A$5001,"&lt;="&amp;$B175,Base!$X$3:$X$5001,"&lt;&gt;"))))</f>
        <v/>
      </c>
      <c r="J175" t="str">
        <f>IF($A175&gt;$B$9,"",IF(COUNTIFS(Base!$B$3:$B$5001,J$162,Base!$A$3:$A$5001,"&gt;="&amp;$C$7,Base!$A$3:$A$5001,"&lt;="&amp;$B175,Base!$X$3:$X$5001,"&lt;&gt;")=0,"",SUMIFS(Base!$X$3:$X$5001,Base!$B$3:$B$5001,J$162,Base!$A$3:$A$5001,_xlfn.MAXIFS(Base!$A$3:$A$5001,Base!$B$3:$B$5001,J$162,Base!$A$3:$A$5001,"&gt;="&amp;$C$7,Base!$A$3:$A$5001,"&lt;="&amp;$B175,Base!$X$3:$X$5001,"&lt;&gt;"))))</f>
        <v/>
      </c>
      <c r="K175" t="str">
        <f>IF($A175&gt;$B$9,"",IF(COUNTIFS(Base!$B$3:$B$5001,K$162,Base!$A$3:$A$5001,"&gt;="&amp;$C$7,Base!$A$3:$A$5001,"&lt;="&amp;$B175,Base!$X$3:$X$5001,"&lt;&gt;")=0,"",SUMIFS(Base!$X$3:$X$5001,Base!$B$3:$B$5001,K$162,Base!$A$3:$A$5001,_xlfn.MAXIFS(Base!$A$3:$A$5001,Base!$B$3:$B$5001,K$162,Base!$A$3:$A$5001,"&gt;="&amp;$C$7,Base!$A$3:$A$5001,"&lt;="&amp;$B175,Base!$X$3:$X$5001,"&lt;&gt;"))))</f>
        <v/>
      </c>
    </row>
    <row r="176">
      <c r="A176">
        <v>14</v>
      </c>
      <c r="B176" s="152">
        <f>$B$25</f>
        <v>46279</v>
      </c>
      <c r="C176" t="str">
        <f>IF($A176&gt;$B$9,"",IF(COUNTIFS(Base!$B$3:$B$5001,C$162,Base!$A$3:$A$5001,"&gt;="&amp;$C$7,Base!$A$3:$A$5001,"&lt;="&amp;$B176,Base!$X$3:$X$5001,"&lt;&gt;")=0,"",SUMIFS(Base!$X$3:$X$5001,Base!$B$3:$B$5001,C$162,Base!$A$3:$A$5001,_xlfn.MAXIFS(Base!$A$3:$A$5001,Base!$B$3:$B$5001,C$162,Base!$A$3:$A$5001,"&gt;="&amp;$C$7,Base!$A$3:$A$5001,"&lt;="&amp;$B176,Base!$X$3:$X$5001,"&lt;&gt;"))))</f>
        <v/>
      </c>
      <c r="D176" t="str">
        <f>IF($A176&gt;$B$9,"",IF(COUNTIFS(Base!$B$3:$B$5001,D$162,Base!$A$3:$A$5001,"&gt;="&amp;$C$7,Base!$A$3:$A$5001,"&lt;="&amp;$B176,Base!$X$3:$X$5001,"&lt;&gt;")=0,"",SUMIFS(Base!$X$3:$X$5001,Base!$B$3:$B$5001,D$162,Base!$A$3:$A$5001,_xlfn.MAXIFS(Base!$A$3:$A$5001,Base!$B$3:$B$5001,D$162,Base!$A$3:$A$5001,"&gt;="&amp;$C$7,Base!$A$3:$A$5001,"&lt;="&amp;$B176,Base!$X$3:$X$5001,"&lt;&gt;"))))</f>
        <v/>
      </c>
      <c r="E176" t="str">
        <f>IF($A176&gt;$B$9,"",IF(COUNTIFS(Base!$B$3:$B$5001,E$162,Base!$A$3:$A$5001,"&gt;="&amp;$C$7,Base!$A$3:$A$5001,"&lt;="&amp;$B176,Base!$X$3:$X$5001,"&lt;&gt;")=0,"",SUMIFS(Base!$X$3:$X$5001,Base!$B$3:$B$5001,E$162,Base!$A$3:$A$5001,_xlfn.MAXIFS(Base!$A$3:$A$5001,Base!$B$3:$B$5001,E$162,Base!$A$3:$A$5001,"&gt;="&amp;$C$7,Base!$A$3:$A$5001,"&lt;="&amp;$B176,Base!$X$3:$X$5001,"&lt;&gt;"))))</f>
        <v/>
      </c>
      <c r="F176" t="str">
        <f>IF($A176&gt;$B$9,"",IF(COUNTIFS(Base!$B$3:$B$5001,F$162,Base!$A$3:$A$5001,"&gt;="&amp;$C$7,Base!$A$3:$A$5001,"&lt;="&amp;$B176,Base!$X$3:$X$5001,"&lt;&gt;")=0,"",SUMIFS(Base!$X$3:$X$5001,Base!$B$3:$B$5001,F$162,Base!$A$3:$A$5001,_xlfn.MAXIFS(Base!$A$3:$A$5001,Base!$B$3:$B$5001,F$162,Base!$A$3:$A$5001,"&gt;="&amp;$C$7,Base!$A$3:$A$5001,"&lt;="&amp;$B176,Base!$X$3:$X$5001,"&lt;&gt;"))))</f>
        <v/>
      </c>
      <c r="G176" t="str">
        <f>IF($A176&gt;$B$9,"",IF(COUNTIFS(Base!$B$3:$B$5001,G$162,Base!$A$3:$A$5001,"&gt;="&amp;$C$7,Base!$A$3:$A$5001,"&lt;="&amp;$B176,Base!$X$3:$X$5001,"&lt;&gt;")=0,"",SUMIFS(Base!$X$3:$X$5001,Base!$B$3:$B$5001,G$162,Base!$A$3:$A$5001,_xlfn.MAXIFS(Base!$A$3:$A$5001,Base!$B$3:$B$5001,G$162,Base!$A$3:$A$5001,"&gt;="&amp;$C$7,Base!$A$3:$A$5001,"&lt;="&amp;$B176,Base!$X$3:$X$5001,"&lt;&gt;"))))</f>
        <v/>
      </c>
      <c r="H176" t="str">
        <f>IF($A176&gt;$B$9,"",IF(COUNTIFS(Base!$B$3:$B$5001,H$162,Base!$A$3:$A$5001,"&gt;="&amp;$C$7,Base!$A$3:$A$5001,"&lt;="&amp;$B176,Base!$X$3:$X$5001,"&lt;&gt;")=0,"",SUMIFS(Base!$X$3:$X$5001,Base!$B$3:$B$5001,H$162,Base!$A$3:$A$5001,_xlfn.MAXIFS(Base!$A$3:$A$5001,Base!$B$3:$B$5001,H$162,Base!$A$3:$A$5001,"&gt;="&amp;$C$7,Base!$A$3:$A$5001,"&lt;="&amp;$B176,Base!$X$3:$X$5001,"&lt;&gt;"))))</f>
        <v/>
      </c>
      <c r="I176" t="str">
        <f>IF($A176&gt;$B$9,"",IF(COUNTIFS(Base!$B$3:$B$5001,I$162,Base!$A$3:$A$5001,"&gt;="&amp;$C$7,Base!$A$3:$A$5001,"&lt;="&amp;$B176,Base!$X$3:$X$5001,"&lt;&gt;")=0,"",SUMIFS(Base!$X$3:$X$5001,Base!$B$3:$B$5001,I$162,Base!$A$3:$A$5001,_xlfn.MAXIFS(Base!$A$3:$A$5001,Base!$B$3:$B$5001,I$162,Base!$A$3:$A$5001,"&gt;="&amp;$C$7,Base!$A$3:$A$5001,"&lt;="&amp;$B176,Base!$X$3:$X$5001,"&lt;&gt;"))))</f>
        <v/>
      </c>
      <c r="J176" t="str">
        <f>IF($A176&gt;$B$9,"",IF(COUNTIFS(Base!$B$3:$B$5001,J$162,Base!$A$3:$A$5001,"&gt;="&amp;$C$7,Base!$A$3:$A$5001,"&lt;="&amp;$B176,Base!$X$3:$X$5001,"&lt;&gt;")=0,"",SUMIFS(Base!$X$3:$X$5001,Base!$B$3:$B$5001,J$162,Base!$A$3:$A$5001,_xlfn.MAXIFS(Base!$A$3:$A$5001,Base!$B$3:$B$5001,J$162,Base!$A$3:$A$5001,"&gt;="&amp;$C$7,Base!$A$3:$A$5001,"&lt;="&amp;$B176,Base!$X$3:$X$5001,"&lt;&gt;"))))</f>
        <v/>
      </c>
      <c r="K176" t="str">
        <f>IF($A176&gt;$B$9,"",IF(COUNTIFS(Base!$B$3:$B$5001,K$162,Base!$A$3:$A$5001,"&gt;="&amp;$C$7,Base!$A$3:$A$5001,"&lt;="&amp;$B176,Base!$X$3:$X$5001,"&lt;&gt;")=0,"",SUMIFS(Base!$X$3:$X$5001,Base!$B$3:$B$5001,K$162,Base!$A$3:$A$5001,_xlfn.MAXIFS(Base!$A$3:$A$5001,Base!$B$3:$B$5001,K$162,Base!$A$3:$A$5001,"&gt;="&amp;$C$7,Base!$A$3:$A$5001,"&lt;="&amp;$B176,Base!$X$3:$X$5001,"&lt;&gt;"))))</f>
        <v/>
      </c>
    </row>
    <row r="177">
      <c r="A177">
        <v>15</v>
      </c>
      <c r="B177" s="152">
        <f>$B$26</f>
        <v>46280</v>
      </c>
      <c r="C177" t="str">
        <f>IF($A177&gt;$B$9,"",IF(COUNTIFS(Base!$B$3:$B$5001,C$162,Base!$A$3:$A$5001,"&gt;="&amp;$C$7,Base!$A$3:$A$5001,"&lt;="&amp;$B177,Base!$X$3:$X$5001,"&lt;&gt;")=0,"",SUMIFS(Base!$X$3:$X$5001,Base!$B$3:$B$5001,C$162,Base!$A$3:$A$5001,_xlfn.MAXIFS(Base!$A$3:$A$5001,Base!$B$3:$B$5001,C$162,Base!$A$3:$A$5001,"&gt;="&amp;$C$7,Base!$A$3:$A$5001,"&lt;="&amp;$B177,Base!$X$3:$X$5001,"&lt;&gt;"))))</f>
        <v/>
      </c>
      <c r="D177" t="str">
        <f>IF($A177&gt;$B$9,"",IF(COUNTIFS(Base!$B$3:$B$5001,D$162,Base!$A$3:$A$5001,"&gt;="&amp;$C$7,Base!$A$3:$A$5001,"&lt;="&amp;$B177,Base!$X$3:$X$5001,"&lt;&gt;")=0,"",SUMIFS(Base!$X$3:$X$5001,Base!$B$3:$B$5001,D$162,Base!$A$3:$A$5001,_xlfn.MAXIFS(Base!$A$3:$A$5001,Base!$B$3:$B$5001,D$162,Base!$A$3:$A$5001,"&gt;="&amp;$C$7,Base!$A$3:$A$5001,"&lt;="&amp;$B177,Base!$X$3:$X$5001,"&lt;&gt;"))))</f>
        <v/>
      </c>
      <c r="E177" t="str">
        <f>IF($A177&gt;$B$9,"",IF(COUNTIFS(Base!$B$3:$B$5001,E$162,Base!$A$3:$A$5001,"&gt;="&amp;$C$7,Base!$A$3:$A$5001,"&lt;="&amp;$B177,Base!$X$3:$X$5001,"&lt;&gt;")=0,"",SUMIFS(Base!$X$3:$X$5001,Base!$B$3:$B$5001,E$162,Base!$A$3:$A$5001,_xlfn.MAXIFS(Base!$A$3:$A$5001,Base!$B$3:$B$5001,E$162,Base!$A$3:$A$5001,"&gt;="&amp;$C$7,Base!$A$3:$A$5001,"&lt;="&amp;$B177,Base!$X$3:$X$5001,"&lt;&gt;"))))</f>
        <v/>
      </c>
      <c r="F177" t="str">
        <f>IF($A177&gt;$B$9,"",IF(COUNTIFS(Base!$B$3:$B$5001,F$162,Base!$A$3:$A$5001,"&gt;="&amp;$C$7,Base!$A$3:$A$5001,"&lt;="&amp;$B177,Base!$X$3:$X$5001,"&lt;&gt;")=0,"",SUMIFS(Base!$X$3:$X$5001,Base!$B$3:$B$5001,F$162,Base!$A$3:$A$5001,_xlfn.MAXIFS(Base!$A$3:$A$5001,Base!$B$3:$B$5001,F$162,Base!$A$3:$A$5001,"&gt;="&amp;$C$7,Base!$A$3:$A$5001,"&lt;="&amp;$B177,Base!$X$3:$X$5001,"&lt;&gt;"))))</f>
        <v/>
      </c>
      <c r="G177" t="str">
        <f>IF($A177&gt;$B$9,"",IF(COUNTIFS(Base!$B$3:$B$5001,G$162,Base!$A$3:$A$5001,"&gt;="&amp;$C$7,Base!$A$3:$A$5001,"&lt;="&amp;$B177,Base!$X$3:$X$5001,"&lt;&gt;")=0,"",SUMIFS(Base!$X$3:$X$5001,Base!$B$3:$B$5001,G$162,Base!$A$3:$A$5001,_xlfn.MAXIFS(Base!$A$3:$A$5001,Base!$B$3:$B$5001,G$162,Base!$A$3:$A$5001,"&gt;="&amp;$C$7,Base!$A$3:$A$5001,"&lt;="&amp;$B177,Base!$X$3:$X$5001,"&lt;&gt;"))))</f>
        <v/>
      </c>
      <c r="H177" t="str">
        <f>IF($A177&gt;$B$9,"",IF(COUNTIFS(Base!$B$3:$B$5001,H$162,Base!$A$3:$A$5001,"&gt;="&amp;$C$7,Base!$A$3:$A$5001,"&lt;="&amp;$B177,Base!$X$3:$X$5001,"&lt;&gt;")=0,"",SUMIFS(Base!$X$3:$X$5001,Base!$B$3:$B$5001,H$162,Base!$A$3:$A$5001,_xlfn.MAXIFS(Base!$A$3:$A$5001,Base!$B$3:$B$5001,H$162,Base!$A$3:$A$5001,"&gt;="&amp;$C$7,Base!$A$3:$A$5001,"&lt;="&amp;$B177,Base!$X$3:$X$5001,"&lt;&gt;"))))</f>
        <v/>
      </c>
      <c r="I177" t="str">
        <f>IF($A177&gt;$B$9,"",IF(COUNTIFS(Base!$B$3:$B$5001,I$162,Base!$A$3:$A$5001,"&gt;="&amp;$C$7,Base!$A$3:$A$5001,"&lt;="&amp;$B177,Base!$X$3:$X$5001,"&lt;&gt;")=0,"",SUMIFS(Base!$X$3:$X$5001,Base!$B$3:$B$5001,I$162,Base!$A$3:$A$5001,_xlfn.MAXIFS(Base!$A$3:$A$5001,Base!$B$3:$B$5001,I$162,Base!$A$3:$A$5001,"&gt;="&amp;$C$7,Base!$A$3:$A$5001,"&lt;="&amp;$B177,Base!$X$3:$X$5001,"&lt;&gt;"))))</f>
        <v/>
      </c>
      <c r="J177" t="str">
        <f>IF($A177&gt;$B$9,"",IF(COUNTIFS(Base!$B$3:$B$5001,J$162,Base!$A$3:$A$5001,"&gt;="&amp;$C$7,Base!$A$3:$A$5001,"&lt;="&amp;$B177,Base!$X$3:$X$5001,"&lt;&gt;")=0,"",SUMIFS(Base!$X$3:$X$5001,Base!$B$3:$B$5001,J$162,Base!$A$3:$A$5001,_xlfn.MAXIFS(Base!$A$3:$A$5001,Base!$B$3:$B$5001,J$162,Base!$A$3:$A$5001,"&gt;="&amp;$C$7,Base!$A$3:$A$5001,"&lt;="&amp;$B177,Base!$X$3:$X$5001,"&lt;&gt;"))))</f>
        <v/>
      </c>
      <c r="K177" t="str">
        <f>IF($A177&gt;$B$9,"",IF(COUNTIFS(Base!$B$3:$B$5001,K$162,Base!$A$3:$A$5001,"&gt;="&amp;$C$7,Base!$A$3:$A$5001,"&lt;="&amp;$B177,Base!$X$3:$X$5001,"&lt;&gt;")=0,"",SUMIFS(Base!$X$3:$X$5001,Base!$B$3:$B$5001,K$162,Base!$A$3:$A$5001,_xlfn.MAXIFS(Base!$A$3:$A$5001,Base!$B$3:$B$5001,K$162,Base!$A$3:$A$5001,"&gt;="&amp;$C$7,Base!$A$3:$A$5001,"&lt;="&amp;$B177,Base!$X$3:$X$5001,"&lt;&gt;"))))</f>
        <v/>
      </c>
    </row>
    <row r="178">
      <c r="A178">
        <v>16</v>
      </c>
      <c r="B178" s="152">
        <f>$B$27</f>
        <v>46281</v>
      </c>
      <c r="C178" t="str">
        <f>IF($A178&gt;$B$9,"",IF(COUNTIFS(Base!$B$3:$B$5001,C$162,Base!$A$3:$A$5001,"&gt;="&amp;$C$7,Base!$A$3:$A$5001,"&lt;="&amp;$B178,Base!$X$3:$X$5001,"&lt;&gt;")=0,"",SUMIFS(Base!$X$3:$X$5001,Base!$B$3:$B$5001,C$162,Base!$A$3:$A$5001,_xlfn.MAXIFS(Base!$A$3:$A$5001,Base!$B$3:$B$5001,C$162,Base!$A$3:$A$5001,"&gt;="&amp;$C$7,Base!$A$3:$A$5001,"&lt;="&amp;$B178,Base!$X$3:$X$5001,"&lt;&gt;"))))</f>
        <v/>
      </c>
      <c r="D178" t="str">
        <f>IF($A178&gt;$B$9,"",IF(COUNTIFS(Base!$B$3:$B$5001,D$162,Base!$A$3:$A$5001,"&gt;="&amp;$C$7,Base!$A$3:$A$5001,"&lt;="&amp;$B178,Base!$X$3:$X$5001,"&lt;&gt;")=0,"",SUMIFS(Base!$X$3:$X$5001,Base!$B$3:$B$5001,D$162,Base!$A$3:$A$5001,_xlfn.MAXIFS(Base!$A$3:$A$5001,Base!$B$3:$B$5001,D$162,Base!$A$3:$A$5001,"&gt;="&amp;$C$7,Base!$A$3:$A$5001,"&lt;="&amp;$B178,Base!$X$3:$X$5001,"&lt;&gt;"))))</f>
        <v/>
      </c>
      <c r="E178" t="str">
        <f>IF($A178&gt;$B$9,"",IF(COUNTIFS(Base!$B$3:$B$5001,E$162,Base!$A$3:$A$5001,"&gt;="&amp;$C$7,Base!$A$3:$A$5001,"&lt;="&amp;$B178,Base!$X$3:$X$5001,"&lt;&gt;")=0,"",SUMIFS(Base!$X$3:$X$5001,Base!$B$3:$B$5001,E$162,Base!$A$3:$A$5001,_xlfn.MAXIFS(Base!$A$3:$A$5001,Base!$B$3:$B$5001,E$162,Base!$A$3:$A$5001,"&gt;="&amp;$C$7,Base!$A$3:$A$5001,"&lt;="&amp;$B178,Base!$X$3:$X$5001,"&lt;&gt;"))))</f>
        <v/>
      </c>
      <c r="F178" t="str">
        <f>IF($A178&gt;$B$9,"",IF(COUNTIFS(Base!$B$3:$B$5001,F$162,Base!$A$3:$A$5001,"&gt;="&amp;$C$7,Base!$A$3:$A$5001,"&lt;="&amp;$B178,Base!$X$3:$X$5001,"&lt;&gt;")=0,"",SUMIFS(Base!$X$3:$X$5001,Base!$B$3:$B$5001,F$162,Base!$A$3:$A$5001,_xlfn.MAXIFS(Base!$A$3:$A$5001,Base!$B$3:$B$5001,F$162,Base!$A$3:$A$5001,"&gt;="&amp;$C$7,Base!$A$3:$A$5001,"&lt;="&amp;$B178,Base!$X$3:$X$5001,"&lt;&gt;"))))</f>
        <v/>
      </c>
      <c r="G178" t="str">
        <f>IF($A178&gt;$B$9,"",IF(COUNTIFS(Base!$B$3:$B$5001,G$162,Base!$A$3:$A$5001,"&gt;="&amp;$C$7,Base!$A$3:$A$5001,"&lt;="&amp;$B178,Base!$X$3:$X$5001,"&lt;&gt;")=0,"",SUMIFS(Base!$X$3:$X$5001,Base!$B$3:$B$5001,G$162,Base!$A$3:$A$5001,_xlfn.MAXIFS(Base!$A$3:$A$5001,Base!$B$3:$B$5001,G$162,Base!$A$3:$A$5001,"&gt;="&amp;$C$7,Base!$A$3:$A$5001,"&lt;="&amp;$B178,Base!$X$3:$X$5001,"&lt;&gt;"))))</f>
        <v/>
      </c>
      <c r="H178" t="str">
        <f>IF($A178&gt;$B$9,"",IF(COUNTIFS(Base!$B$3:$B$5001,H$162,Base!$A$3:$A$5001,"&gt;="&amp;$C$7,Base!$A$3:$A$5001,"&lt;="&amp;$B178,Base!$X$3:$X$5001,"&lt;&gt;")=0,"",SUMIFS(Base!$X$3:$X$5001,Base!$B$3:$B$5001,H$162,Base!$A$3:$A$5001,_xlfn.MAXIFS(Base!$A$3:$A$5001,Base!$B$3:$B$5001,H$162,Base!$A$3:$A$5001,"&gt;="&amp;$C$7,Base!$A$3:$A$5001,"&lt;="&amp;$B178,Base!$X$3:$X$5001,"&lt;&gt;"))))</f>
        <v/>
      </c>
      <c r="I178" t="str">
        <f>IF($A178&gt;$B$9,"",IF(COUNTIFS(Base!$B$3:$B$5001,I$162,Base!$A$3:$A$5001,"&gt;="&amp;$C$7,Base!$A$3:$A$5001,"&lt;="&amp;$B178,Base!$X$3:$X$5001,"&lt;&gt;")=0,"",SUMIFS(Base!$X$3:$X$5001,Base!$B$3:$B$5001,I$162,Base!$A$3:$A$5001,_xlfn.MAXIFS(Base!$A$3:$A$5001,Base!$B$3:$B$5001,I$162,Base!$A$3:$A$5001,"&gt;="&amp;$C$7,Base!$A$3:$A$5001,"&lt;="&amp;$B178,Base!$X$3:$X$5001,"&lt;&gt;"))))</f>
        <v/>
      </c>
      <c r="J178" t="str">
        <f>IF($A178&gt;$B$9,"",IF(COUNTIFS(Base!$B$3:$B$5001,J$162,Base!$A$3:$A$5001,"&gt;="&amp;$C$7,Base!$A$3:$A$5001,"&lt;="&amp;$B178,Base!$X$3:$X$5001,"&lt;&gt;")=0,"",SUMIFS(Base!$X$3:$X$5001,Base!$B$3:$B$5001,J$162,Base!$A$3:$A$5001,_xlfn.MAXIFS(Base!$A$3:$A$5001,Base!$B$3:$B$5001,J$162,Base!$A$3:$A$5001,"&gt;="&amp;$C$7,Base!$A$3:$A$5001,"&lt;="&amp;$B178,Base!$X$3:$X$5001,"&lt;&gt;"))))</f>
        <v/>
      </c>
      <c r="K178" t="str">
        <f>IF($A178&gt;$B$9,"",IF(COUNTIFS(Base!$B$3:$B$5001,K$162,Base!$A$3:$A$5001,"&gt;="&amp;$C$7,Base!$A$3:$A$5001,"&lt;="&amp;$B178,Base!$X$3:$X$5001,"&lt;&gt;")=0,"",SUMIFS(Base!$X$3:$X$5001,Base!$B$3:$B$5001,K$162,Base!$A$3:$A$5001,_xlfn.MAXIFS(Base!$A$3:$A$5001,Base!$B$3:$B$5001,K$162,Base!$A$3:$A$5001,"&gt;="&amp;$C$7,Base!$A$3:$A$5001,"&lt;="&amp;$B178,Base!$X$3:$X$5001,"&lt;&gt;"))))</f>
        <v/>
      </c>
    </row>
    <row r="179">
      <c r="A179">
        <v>17</v>
      </c>
      <c r="B179" s="152">
        <f>$B$28</f>
        <v>46282</v>
      </c>
      <c r="C179" t="str">
        <f>IF($A179&gt;$B$9,"",IF(COUNTIFS(Base!$B$3:$B$5001,C$162,Base!$A$3:$A$5001,"&gt;="&amp;$C$7,Base!$A$3:$A$5001,"&lt;="&amp;$B179,Base!$X$3:$X$5001,"&lt;&gt;")=0,"",SUMIFS(Base!$X$3:$X$5001,Base!$B$3:$B$5001,C$162,Base!$A$3:$A$5001,_xlfn.MAXIFS(Base!$A$3:$A$5001,Base!$B$3:$B$5001,C$162,Base!$A$3:$A$5001,"&gt;="&amp;$C$7,Base!$A$3:$A$5001,"&lt;="&amp;$B179,Base!$X$3:$X$5001,"&lt;&gt;"))))</f>
        <v/>
      </c>
      <c r="D179" t="str">
        <f>IF($A179&gt;$B$9,"",IF(COUNTIFS(Base!$B$3:$B$5001,D$162,Base!$A$3:$A$5001,"&gt;="&amp;$C$7,Base!$A$3:$A$5001,"&lt;="&amp;$B179,Base!$X$3:$X$5001,"&lt;&gt;")=0,"",SUMIFS(Base!$X$3:$X$5001,Base!$B$3:$B$5001,D$162,Base!$A$3:$A$5001,_xlfn.MAXIFS(Base!$A$3:$A$5001,Base!$B$3:$B$5001,D$162,Base!$A$3:$A$5001,"&gt;="&amp;$C$7,Base!$A$3:$A$5001,"&lt;="&amp;$B179,Base!$X$3:$X$5001,"&lt;&gt;"))))</f>
        <v/>
      </c>
      <c r="E179" t="str">
        <f>IF($A179&gt;$B$9,"",IF(COUNTIFS(Base!$B$3:$B$5001,E$162,Base!$A$3:$A$5001,"&gt;="&amp;$C$7,Base!$A$3:$A$5001,"&lt;="&amp;$B179,Base!$X$3:$X$5001,"&lt;&gt;")=0,"",SUMIFS(Base!$X$3:$X$5001,Base!$B$3:$B$5001,E$162,Base!$A$3:$A$5001,_xlfn.MAXIFS(Base!$A$3:$A$5001,Base!$B$3:$B$5001,E$162,Base!$A$3:$A$5001,"&gt;="&amp;$C$7,Base!$A$3:$A$5001,"&lt;="&amp;$B179,Base!$X$3:$X$5001,"&lt;&gt;"))))</f>
        <v/>
      </c>
      <c r="F179" t="str">
        <f>IF($A179&gt;$B$9,"",IF(COUNTIFS(Base!$B$3:$B$5001,F$162,Base!$A$3:$A$5001,"&gt;="&amp;$C$7,Base!$A$3:$A$5001,"&lt;="&amp;$B179,Base!$X$3:$X$5001,"&lt;&gt;")=0,"",SUMIFS(Base!$X$3:$X$5001,Base!$B$3:$B$5001,F$162,Base!$A$3:$A$5001,_xlfn.MAXIFS(Base!$A$3:$A$5001,Base!$B$3:$B$5001,F$162,Base!$A$3:$A$5001,"&gt;="&amp;$C$7,Base!$A$3:$A$5001,"&lt;="&amp;$B179,Base!$X$3:$X$5001,"&lt;&gt;"))))</f>
        <v/>
      </c>
      <c r="G179" t="str">
        <f>IF($A179&gt;$B$9,"",IF(COUNTIFS(Base!$B$3:$B$5001,G$162,Base!$A$3:$A$5001,"&gt;="&amp;$C$7,Base!$A$3:$A$5001,"&lt;="&amp;$B179,Base!$X$3:$X$5001,"&lt;&gt;")=0,"",SUMIFS(Base!$X$3:$X$5001,Base!$B$3:$B$5001,G$162,Base!$A$3:$A$5001,_xlfn.MAXIFS(Base!$A$3:$A$5001,Base!$B$3:$B$5001,G$162,Base!$A$3:$A$5001,"&gt;="&amp;$C$7,Base!$A$3:$A$5001,"&lt;="&amp;$B179,Base!$X$3:$X$5001,"&lt;&gt;"))))</f>
        <v/>
      </c>
      <c r="H179" t="str">
        <f>IF($A179&gt;$B$9,"",IF(COUNTIFS(Base!$B$3:$B$5001,H$162,Base!$A$3:$A$5001,"&gt;="&amp;$C$7,Base!$A$3:$A$5001,"&lt;="&amp;$B179,Base!$X$3:$X$5001,"&lt;&gt;")=0,"",SUMIFS(Base!$X$3:$X$5001,Base!$B$3:$B$5001,H$162,Base!$A$3:$A$5001,_xlfn.MAXIFS(Base!$A$3:$A$5001,Base!$B$3:$B$5001,H$162,Base!$A$3:$A$5001,"&gt;="&amp;$C$7,Base!$A$3:$A$5001,"&lt;="&amp;$B179,Base!$X$3:$X$5001,"&lt;&gt;"))))</f>
        <v/>
      </c>
      <c r="I179" t="str">
        <f>IF($A179&gt;$B$9,"",IF(COUNTIFS(Base!$B$3:$B$5001,I$162,Base!$A$3:$A$5001,"&gt;="&amp;$C$7,Base!$A$3:$A$5001,"&lt;="&amp;$B179,Base!$X$3:$X$5001,"&lt;&gt;")=0,"",SUMIFS(Base!$X$3:$X$5001,Base!$B$3:$B$5001,I$162,Base!$A$3:$A$5001,_xlfn.MAXIFS(Base!$A$3:$A$5001,Base!$B$3:$B$5001,I$162,Base!$A$3:$A$5001,"&gt;="&amp;$C$7,Base!$A$3:$A$5001,"&lt;="&amp;$B179,Base!$X$3:$X$5001,"&lt;&gt;"))))</f>
        <v/>
      </c>
      <c r="J179" t="str">
        <f>IF($A179&gt;$B$9,"",IF(COUNTIFS(Base!$B$3:$B$5001,J$162,Base!$A$3:$A$5001,"&gt;="&amp;$C$7,Base!$A$3:$A$5001,"&lt;="&amp;$B179,Base!$X$3:$X$5001,"&lt;&gt;")=0,"",SUMIFS(Base!$X$3:$X$5001,Base!$B$3:$B$5001,J$162,Base!$A$3:$A$5001,_xlfn.MAXIFS(Base!$A$3:$A$5001,Base!$B$3:$B$5001,J$162,Base!$A$3:$A$5001,"&gt;="&amp;$C$7,Base!$A$3:$A$5001,"&lt;="&amp;$B179,Base!$X$3:$X$5001,"&lt;&gt;"))))</f>
        <v/>
      </c>
      <c r="K179" t="str">
        <f>IF($A179&gt;$B$9,"",IF(COUNTIFS(Base!$B$3:$B$5001,K$162,Base!$A$3:$A$5001,"&gt;="&amp;$C$7,Base!$A$3:$A$5001,"&lt;="&amp;$B179,Base!$X$3:$X$5001,"&lt;&gt;")=0,"",SUMIFS(Base!$X$3:$X$5001,Base!$B$3:$B$5001,K$162,Base!$A$3:$A$5001,_xlfn.MAXIFS(Base!$A$3:$A$5001,Base!$B$3:$B$5001,K$162,Base!$A$3:$A$5001,"&gt;="&amp;$C$7,Base!$A$3:$A$5001,"&lt;="&amp;$B179,Base!$X$3:$X$5001,"&lt;&gt;"))))</f>
        <v/>
      </c>
    </row>
    <row r="180">
      <c r="A180">
        <v>18</v>
      </c>
      <c r="B180" s="152">
        <f>$B$29</f>
        <v>46283</v>
      </c>
      <c r="C180" t="str">
        <f>IF($A180&gt;$B$9,"",IF(COUNTIFS(Base!$B$3:$B$5001,C$162,Base!$A$3:$A$5001,"&gt;="&amp;$C$7,Base!$A$3:$A$5001,"&lt;="&amp;$B180,Base!$X$3:$X$5001,"&lt;&gt;")=0,"",SUMIFS(Base!$X$3:$X$5001,Base!$B$3:$B$5001,C$162,Base!$A$3:$A$5001,_xlfn.MAXIFS(Base!$A$3:$A$5001,Base!$B$3:$B$5001,C$162,Base!$A$3:$A$5001,"&gt;="&amp;$C$7,Base!$A$3:$A$5001,"&lt;="&amp;$B180,Base!$X$3:$X$5001,"&lt;&gt;"))))</f>
        <v/>
      </c>
      <c r="D180" t="str">
        <f>IF($A180&gt;$B$9,"",IF(COUNTIFS(Base!$B$3:$B$5001,D$162,Base!$A$3:$A$5001,"&gt;="&amp;$C$7,Base!$A$3:$A$5001,"&lt;="&amp;$B180,Base!$X$3:$X$5001,"&lt;&gt;")=0,"",SUMIFS(Base!$X$3:$X$5001,Base!$B$3:$B$5001,D$162,Base!$A$3:$A$5001,_xlfn.MAXIFS(Base!$A$3:$A$5001,Base!$B$3:$B$5001,D$162,Base!$A$3:$A$5001,"&gt;="&amp;$C$7,Base!$A$3:$A$5001,"&lt;="&amp;$B180,Base!$X$3:$X$5001,"&lt;&gt;"))))</f>
        <v/>
      </c>
      <c r="E180" t="str">
        <f>IF($A180&gt;$B$9,"",IF(COUNTIFS(Base!$B$3:$B$5001,E$162,Base!$A$3:$A$5001,"&gt;="&amp;$C$7,Base!$A$3:$A$5001,"&lt;="&amp;$B180,Base!$X$3:$X$5001,"&lt;&gt;")=0,"",SUMIFS(Base!$X$3:$X$5001,Base!$B$3:$B$5001,E$162,Base!$A$3:$A$5001,_xlfn.MAXIFS(Base!$A$3:$A$5001,Base!$B$3:$B$5001,E$162,Base!$A$3:$A$5001,"&gt;="&amp;$C$7,Base!$A$3:$A$5001,"&lt;="&amp;$B180,Base!$X$3:$X$5001,"&lt;&gt;"))))</f>
        <v/>
      </c>
      <c r="F180" t="str">
        <f>IF($A180&gt;$B$9,"",IF(COUNTIFS(Base!$B$3:$B$5001,F$162,Base!$A$3:$A$5001,"&gt;="&amp;$C$7,Base!$A$3:$A$5001,"&lt;="&amp;$B180,Base!$X$3:$X$5001,"&lt;&gt;")=0,"",SUMIFS(Base!$X$3:$X$5001,Base!$B$3:$B$5001,F$162,Base!$A$3:$A$5001,_xlfn.MAXIFS(Base!$A$3:$A$5001,Base!$B$3:$B$5001,F$162,Base!$A$3:$A$5001,"&gt;="&amp;$C$7,Base!$A$3:$A$5001,"&lt;="&amp;$B180,Base!$X$3:$X$5001,"&lt;&gt;"))))</f>
        <v/>
      </c>
      <c r="G180" t="str">
        <f>IF($A180&gt;$B$9,"",IF(COUNTIFS(Base!$B$3:$B$5001,G$162,Base!$A$3:$A$5001,"&gt;="&amp;$C$7,Base!$A$3:$A$5001,"&lt;="&amp;$B180,Base!$X$3:$X$5001,"&lt;&gt;")=0,"",SUMIFS(Base!$X$3:$X$5001,Base!$B$3:$B$5001,G$162,Base!$A$3:$A$5001,_xlfn.MAXIFS(Base!$A$3:$A$5001,Base!$B$3:$B$5001,G$162,Base!$A$3:$A$5001,"&gt;="&amp;$C$7,Base!$A$3:$A$5001,"&lt;="&amp;$B180,Base!$X$3:$X$5001,"&lt;&gt;"))))</f>
        <v/>
      </c>
      <c r="H180" t="str">
        <f>IF($A180&gt;$B$9,"",IF(COUNTIFS(Base!$B$3:$B$5001,H$162,Base!$A$3:$A$5001,"&gt;="&amp;$C$7,Base!$A$3:$A$5001,"&lt;="&amp;$B180,Base!$X$3:$X$5001,"&lt;&gt;")=0,"",SUMIFS(Base!$X$3:$X$5001,Base!$B$3:$B$5001,H$162,Base!$A$3:$A$5001,_xlfn.MAXIFS(Base!$A$3:$A$5001,Base!$B$3:$B$5001,H$162,Base!$A$3:$A$5001,"&gt;="&amp;$C$7,Base!$A$3:$A$5001,"&lt;="&amp;$B180,Base!$X$3:$X$5001,"&lt;&gt;"))))</f>
        <v/>
      </c>
      <c r="I180" t="str">
        <f>IF($A180&gt;$B$9,"",IF(COUNTIFS(Base!$B$3:$B$5001,I$162,Base!$A$3:$A$5001,"&gt;="&amp;$C$7,Base!$A$3:$A$5001,"&lt;="&amp;$B180,Base!$X$3:$X$5001,"&lt;&gt;")=0,"",SUMIFS(Base!$X$3:$X$5001,Base!$B$3:$B$5001,I$162,Base!$A$3:$A$5001,_xlfn.MAXIFS(Base!$A$3:$A$5001,Base!$B$3:$B$5001,I$162,Base!$A$3:$A$5001,"&gt;="&amp;$C$7,Base!$A$3:$A$5001,"&lt;="&amp;$B180,Base!$X$3:$X$5001,"&lt;&gt;"))))</f>
        <v/>
      </c>
      <c r="J180" t="str">
        <f>IF($A180&gt;$B$9,"",IF(COUNTIFS(Base!$B$3:$B$5001,J$162,Base!$A$3:$A$5001,"&gt;="&amp;$C$7,Base!$A$3:$A$5001,"&lt;="&amp;$B180,Base!$X$3:$X$5001,"&lt;&gt;")=0,"",SUMIFS(Base!$X$3:$X$5001,Base!$B$3:$B$5001,J$162,Base!$A$3:$A$5001,_xlfn.MAXIFS(Base!$A$3:$A$5001,Base!$B$3:$B$5001,J$162,Base!$A$3:$A$5001,"&gt;="&amp;$C$7,Base!$A$3:$A$5001,"&lt;="&amp;$B180,Base!$X$3:$X$5001,"&lt;&gt;"))))</f>
        <v/>
      </c>
      <c r="K180" t="str">
        <f>IF($A180&gt;$B$9,"",IF(COUNTIFS(Base!$B$3:$B$5001,K$162,Base!$A$3:$A$5001,"&gt;="&amp;$C$7,Base!$A$3:$A$5001,"&lt;="&amp;$B180,Base!$X$3:$X$5001,"&lt;&gt;")=0,"",SUMIFS(Base!$X$3:$X$5001,Base!$B$3:$B$5001,K$162,Base!$A$3:$A$5001,_xlfn.MAXIFS(Base!$A$3:$A$5001,Base!$B$3:$B$5001,K$162,Base!$A$3:$A$5001,"&gt;="&amp;$C$7,Base!$A$3:$A$5001,"&lt;="&amp;$B180,Base!$X$3:$X$5001,"&lt;&gt;"))))</f>
        <v/>
      </c>
    </row>
    <row r="181">
      <c r="A181">
        <v>19</v>
      </c>
      <c r="B181" s="152">
        <f>$B$30</f>
        <v>46284</v>
      </c>
      <c r="C181" t="str">
        <f>IF($A181&gt;$B$9,"",IF(COUNTIFS(Base!$B$3:$B$5001,C$162,Base!$A$3:$A$5001,"&gt;="&amp;$C$7,Base!$A$3:$A$5001,"&lt;="&amp;$B181,Base!$X$3:$X$5001,"&lt;&gt;")=0,"",SUMIFS(Base!$X$3:$X$5001,Base!$B$3:$B$5001,C$162,Base!$A$3:$A$5001,_xlfn.MAXIFS(Base!$A$3:$A$5001,Base!$B$3:$B$5001,C$162,Base!$A$3:$A$5001,"&gt;="&amp;$C$7,Base!$A$3:$A$5001,"&lt;="&amp;$B181,Base!$X$3:$X$5001,"&lt;&gt;"))))</f>
        <v/>
      </c>
      <c r="D181" t="str">
        <f>IF($A181&gt;$B$9,"",IF(COUNTIFS(Base!$B$3:$B$5001,D$162,Base!$A$3:$A$5001,"&gt;="&amp;$C$7,Base!$A$3:$A$5001,"&lt;="&amp;$B181,Base!$X$3:$X$5001,"&lt;&gt;")=0,"",SUMIFS(Base!$X$3:$X$5001,Base!$B$3:$B$5001,D$162,Base!$A$3:$A$5001,_xlfn.MAXIFS(Base!$A$3:$A$5001,Base!$B$3:$B$5001,D$162,Base!$A$3:$A$5001,"&gt;="&amp;$C$7,Base!$A$3:$A$5001,"&lt;="&amp;$B181,Base!$X$3:$X$5001,"&lt;&gt;"))))</f>
        <v/>
      </c>
      <c r="E181" t="str">
        <f>IF($A181&gt;$B$9,"",IF(COUNTIFS(Base!$B$3:$B$5001,E$162,Base!$A$3:$A$5001,"&gt;="&amp;$C$7,Base!$A$3:$A$5001,"&lt;="&amp;$B181,Base!$X$3:$X$5001,"&lt;&gt;")=0,"",SUMIFS(Base!$X$3:$X$5001,Base!$B$3:$B$5001,E$162,Base!$A$3:$A$5001,_xlfn.MAXIFS(Base!$A$3:$A$5001,Base!$B$3:$B$5001,E$162,Base!$A$3:$A$5001,"&gt;="&amp;$C$7,Base!$A$3:$A$5001,"&lt;="&amp;$B181,Base!$X$3:$X$5001,"&lt;&gt;"))))</f>
        <v/>
      </c>
      <c r="F181" t="str">
        <f>IF($A181&gt;$B$9,"",IF(COUNTIFS(Base!$B$3:$B$5001,F$162,Base!$A$3:$A$5001,"&gt;="&amp;$C$7,Base!$A$3:$A$5001,"&lt;="&amp;$B181,Base!$X$3:$X$5001,"&lt;&gt;")=0,"",SUMIFS(Base!$X$3:$X$5001,Base!$B$3:$B$5001,F$162,Base!$A$3:$A$5001,_xlfn.MAXIFS(Base!$A$3:$A$5001,Base!$B$3:$B$5001,F$162,Base!$A$3:$A$5001,"&gt;="&amp;$C$7,Base!$A$3:$A$5001,"&lt;="&amp;$B181,Base!$X$3:$X$5001,"&lt;&gt;"))))</f>
        <v/>
      </c>
      <c r="G181" t="str">
        <f>IF($A181&gt;$B$9,"",IF(COUNTIFS(Base!$B$3:$B$5001,G$162,Base!$A$3:$A$5001,"&gt;="&amp;$C$7,Base!$A$3:$A$5001,"&lt;="&amp;$B181,Base!$X$3:$X$5001,"&lt;&gt;")=0,"",SUMIFS(Base!$X$3:$X$5001,Base!$B$3:$B$5001,G$162,Base!$A$3:$A$5001,_xlfn.MAXIFS(Base!$A$3:$A$5001,Base!$B$3:$B$5001,G$162,Base!$A$3:$A$5001,"&gt;="&amp;$C$7,Base!$A$3:$A$5001,"&lt;="&amp;$B181,Base!$X$3:$X$5001,"&lt;&gt;"))))</f>
        <v/>
      </c>
      <c r="H181" t="str">
        <f>IF($A181&gt;$B$9,"",IF(COUNTIFS(Base!$B$3:$B$5001,H$162,Base!$A$3:$A$5001,"&gt;="&amp;$C$7,Base!$A$3:$A$5001,"&lt;="&amp;$B181,Base!$X$3:$X$5001,"&lt;&gt;")=0,"",SUMIFS(Base!$X$3:$X$5001,Base!$B$3:$B$5001,H$162,Base!$A$3:$A$5001,_xlfn.MAXIFS(Base!$A$3:$A$5001,Base!$B$3:$B$5001,H$162,Base!$A$3:$A$5001,"&gt;="&amp;$C$7,Base!$A$3:$A$5001,"&lt;="&amp;$B181,Base!$X$3:$X$5001,"&lt;&gt;"))))</f>
        <v/>
      </c>
      <c r="I181" t="str">
        <f>IF($A181&gt;$B$9,"",IF(COUNTIFS(Base!$B$3:$B$5001,I$162,Base!$A$3:$A$5001,"&gt;="&amp;$C$7,Base!$A$3:$A$5001,"&lt;="&amp;$B181,Base!$X$3:$X$5001,"&lt;&gt;")=0,"",SUMIFS(Base!$X$3:$X$5001,Base!$B$3:$B$5001,I$162,Base!$A$3:$A$5001,_xlfn.MAXIFS(Base!$A$3:$A$5001,Base!$B$3:$B$5001,I$162,Base!$A$3:$A$5001,"&gt;="&amp;$C$7,Base!$A$3:$A$5001,"&lt;="&amp;$B181,Base!$X$3:$X$5001,"&lt;&gt;"))))</f>
        <v/>
      </c>
      <c r="J181" t="str">
        <f>IF($A181&gt;$B$9,"",IF(COUNTIFS(Base!$B$3:$B$5001,J$162,Base!$A$3:$A$5001,"&gt;="&amp;$C$7,Base!$A$3:$A$5001,"&lt;="&amp;$B181,Base!$X$3:$X$5001,"&lt;&gt;")=0,"",SUMIFS(Base!$X$3:$X$5001,Base!$B$3:$B$5001,J$162,Base!$A$3:$A$5001,_xlfn.MAXIFS(Base!$A$3:$A$5001,Base!$B$3:$B$5001,J$162,Base!$A$3:$A$5001,"&gt;="&amp;$C$7,Base!$A$3:$A$5001,"&lt;="&amp;$B181,Base!$X$3:$X$5001,"&lt;&gt;"))))</f>
        <v/>
      </c>
      <c r="K181" t="str">
        <f>IF($A181&gt;$B$9,"",IF(COUNTIFS(Base!$B$3:$B$5001,K$162,Base!$A$3:$A$5001,"&gt;="&amp;$C$7,Base!$A$3:$A$5001,"&lt;="&amp;$B181,Base!$X$3:$X$5001,"&lt;&gt;")=0,"",SUMIFS(Base!$X$3:$X$5001,Base!$B$3:$B$5001,K$162,Base!$A$3:$A$5001,_xlfn.MAXIFS(Base!$A$3:$A$5001,Base!$B$3:$B$5001,K$162,Base!$A$3:$A$5001,"&gt;="&amp;$C$7,Base!$A$3:$A$5001,"&lt;="&amp;$B181,Base!$X$3:$X$5001,"&lt;&gt;"))))</f>
        <v/>
      </c>
    </row>
    <row r="182">
      <c r="A182">
        <v>20</v>
      </c>
      <c r="B182" s="152">
        <f>$B$31</f>
        <v>46285</v>
      </c>
      <c r="C182" t="str">
        <f>IF($A182&gt;$B$9,"",IF(COUNTIFS(Base!$B$3:$B$5001,C$162,Base!$A$3:$A$5001,"&gt;="&amp;$C$7,Base!$A$3:$A$5001,"&lt;="&amp;$B182,Base!$X$3:$X$5001,"&lt;&gt;")=0,"",SUMIFS(Base!$X$3:$X$5001,Base!$B$3:$B$5001,C$162,Base!$A$3:$A$5001,_xlfn.MAXIFS(Base!$A$3:$A$5001,Base!$B$3:$B$5001,C$162,Base!$A$3:$A$5001,"&gt;="&amp;$C$7,Base!$A$3:$A$5001,"&lt;="&amp;$B182,Base!$X$3:$X$5001,"&lt;&gt;"))))</f>
        <v/>
      </c>
      <c r="D182" t="str">
        <f>IF($A182&gt;$B$9,"",IF(COUNTIFS(Base!$B$3:$B$5001,D$162,Base!$A$3:$A$5001,"&gt;="&amp;$C$7,Base!$A$3:$A$5001,"&lt;="&amp;$B182,Base!$X$3:$X$5001,"&lt;&gt;")=0,"",SUMIFS(Base!$X$3:$X$5001,Base!$B$3:$B$5001,D$162,Base!$A$3:$A$5001,_xlfn.MAXIFS(Base!$A$3:$A$5001,Base!$B$3:$B$5001,D$162,Base!$A$3:$A$5001,"&gt;="&amp;$C$7,Base!$A$3:$A$5001,"&lt;="&amp;$B182,Base!$X$3:$X$5001,"&lt;&gt;"))))</f>
        <v/>
      </c>
      <c r="E182" t="str">
        <f>IF($A182&gt;$B$9,"",IF(COUNTIFS(Base!$B$3:$B$5001,E$162,Base!$A$3:$A$5001,"&gt;="&amp;$C$7,Base!$A$3:$A$5001,"&lt;="&amp;$B182,Base!$X$3:$X$5001,"&lt;&gt;")=0,"",SUMIFS(Base!$X$3:$X$5001,Base!$B$3:$B$5001,E$162,Base!$A$3:$A$5001,_xlfn.MAXIFS(Base!$A$3:$A$5001,Base!$B$3:$B$5001,E$162,Base!$A$3:$A$5001,"&gt;="&amp;$C$7,Base!$A$3:$A$5001,"&lt;="&amp;$B182,Base!$X$3:$X$5001,"&lt;&gt;"))))</f>
        <v/>
      </c>
      <c r="F182" t="str">
        <f>IF($A182&gt;$B$9,"",IF(COUNTIFS(Base!$B$3:$B$5001,F$162,Base!$A$3:$A$5001,"&gt;="&amp;$C$7,Base!$A$3:$A$5001,"&lt;="&amp;$B182,Base!$X$3:$X$5001,"&lt;&gt;")=0,"",SUMIFS(Base!$X$3:$X$5001,Base!$B$3:$B$5001,F$162,Base!$A$3:$A$5001,_xlfn.MAXIFS(Base!$A$3:$A$5001,Base!$B$3:$B$5001,F$162,Base!$A$3:$A$5001,"&gt;="&amp;$C$7,Base!$A$3:$A$5001,"&lt;="&amp;$B182,Base!$X$3:$X$5001,"&lt;&gt;"))))</f>
        <v/>
      </c>
      <c r="G182" t="str">
        <f>IF($A182&gt;$B$9,"",IF(COUNTIFS(Base!$B$3:$B$5001,G$162,Base!$A$3:$A$5001,"&gt;="&amp;$C$7,Base!$A$3:$A$5001,"&lt;="&amp;$B182,Base!$X$3:$X$5001,"&lt;&gt;")=0,"",SUMIFS(Base!$X$3:$X$5001,Base!$B$3:$B$5001,G$162,Base!$A$3:$A$5001,_xlfn.MAXIFS(Base!$A$3:$A$5001,Base!$B$3:$B$5001,G$162,Base!$A$3:$A$5001,"&gt;="&amp;$C$7,Base!$A$3:$A$5001,"&lt;="&amp;$B182,Base!$X$3:$X$5001,"&lt;&gt;"))))</f>
        <v/>
      </c>
      <c r="H182" t="str">
        <f>IF($A182&gt;$B$9,"",IF(COUNTIFS(Base!$B$3:$B$5001,H$162,Base!$A$3:$A$5001,"&gt;="&amp;$C$7,Base!$A$3:$A$5001,"&lt;="&amp;$B182,Base!$X$3:$X$5001,"&lt;&gt;")=0,"",SUMIFS(Base!$X$3:$X$5001,Base!$B$3:$B$5001,H$162,Base!$A$3:$A$5001,_xlfn.MAXIFS(Base!$A$3:$A$5001,Base!$B$3:$B$5001,H$162,Base!$A$3:$A$5001,"&gt;="&amp;$C$7,Base!$A$3:$A$5001,"&lt;="&amp;$B182,Base!$X$3:$X$5001,"&lt;&gt;"))))</f>
        <v/>
      </c>
      <c r="I182" t="str">
        <f>IF($A182&gt;$B$9,"",IF(COUNTIFS(Base!$B$3:$B$5001,I$162,Base!$A$3:$A$5001,"&gt;="&amp;$C$7,Base!$A$3:$A$5001,"&lt;="&amp;$B182,Base!$X$3:$X$5001,"&lt;&gt;")=0,"",SUMIFS(Base!$X$3:$X$5001,Base!$B$3:$B$5001,I$162,Base!$A$3:$A$5001,_xlfn.MAXIFS(Base!$A$3:$A$5001,Base!$B$3:$B$5001,I$162,Base!$A$3:$A$5001,"&gt;="&amp;$C$7,Base!$A$3:$A$5001,"&lt;="&amp;$B182,Base!$X$3:$X$5001,"&lt;&gt;"))))</f>
        <v/>
      </c>
      <c r="J182" t="str">
        <f>IF($A182&gt;$B$9,"",IF(COUNTIFS(Base!$B$3:$B$5001,J$162,Base!$A$3:$A$5001,"&gt;="&amp;$C$7,Base!$A$3:$A$5001,"&lt;="&amp;$B182,Base!$X$3:$X$5001,"&lt;&gt;")=0,"",SUMIFS(Base!$X$3:$X$5001,Base!$B$3:$B$5001,J$162,Base!$A$3:$A$5001,_xlfn.MAXIFS(Base!$A$3:$A$5001,Base!$B$3:$B$5001,J$162,Base!$A$3:$A$5001,"&gt;="&amp;$C$7,Base!$A$3:$A$5001,"&lt;="&amp;$B182,Base!$X$3:$X$5001,"&lt;&gt;"))))</f>
        <v/>
      </c>
      <c r="K182" t="str">
        <f>IF($A182&gt;$B$9,"",IF(COUNTIFS(Base!$B$3:$B$5001,K$162,Base!$A$3:$A$5001,"&gt;="&amp;$C$7,Base!$A$3:$A$5001,"&lt;="&amp;$B182,Base!$X$3:$X$5001,"&lt;&gt;")=0,"",SUMIFS(Base!$X$3:$X$5001,Base!$B$3:$B$5001,K$162,Base!$A$3:$A$5001,_xlfn.MAXIFS(Base!$A$3:$A$5001,Base!$B$3:$B$5001,K$162,Base!$A$3:$A$5001,"&gt;="&amp;$C$7,Base!$A$3:$A$5001,"&lt;="&amp;$B182,Base!$X$3:$X$5001,"&lt;&gt;"))))</f>
        <v/>
      </c>
    </row>
    <row r="183">
      <c r="A183">
        <v>21</v>
      </c>
      <c r="B183" s="152">
        <f>$B$32</f>
        <v>46286</v>
      </c>
      <c r="C183" t="str">
        <f>IF($A183&gt;$B$9,"",IF(COUNTIFS(Base!$B$3:$B$5001,C$162,Base!$A$3:$A$5001,"&gt;="&amp;$C$7,Base!$A$3:$A$5001,"&lt;="&amp;$B183,Base!$X$3:$X$5001,"&lt;&gt;")=0,"",SUMIFS(Base!$X$3:$X$5001,Base!$B$3:$B$5001,C$162,Base!$A$3:$A$5001,_xlfn.MAXIFS(Base!$A$3:$A$5001,Base!$B$3:$B$5001,C$162,Base!$A$3:$A$5001,"&gt;="&amp;$C$7,Base!$A$3:$A$5001,"&lt;="&amp;$B183,Base!$X$3:$X$5001,"&lt;&gt;"))))</f>
        <v/>
      </c>
      <c r="D183" t="str">
        <f>IF($A183&gt;$B$9,"",IF(COUNTIFS(Base!$B$3:$B$5001,D$162,Base!$A$3:$A$5001,"&gt;="&amp;$C$7,Base!$A$3:$A$5001,"&lt;="&amp;$B183,Base!$X$3:$X$5001,"&lt;&gt;")=0,"",SUMIFS(Base!$X$3:$X$5001,Base!$B$3:$B$5001,D$162,Base!$A$3:$A$5001,_xlfn.MAXIFS(Base!$A$3:$A$5001,Base!$B$3:$B$5001,D$162,Base!$A$3:$A$5001,"&gt;="&amp;$C$7,Base!$A$3:$A$5001,"&lt;="&amp;$B183,Base!$X$3:$X$5001,"&lt;&gt;"))))</f>
        <v/>
      </c>
      <c r="E183" t="str">
        <f>IF($A183&gt;$B$9,"",IF(COUNTIFS(Base!$B$3:$B$5001,E$162,Base!$A$3:$A$5001,"&gt;="&amp;$C$7,Base!$A$3:$A$5001,"&lt;="&amp;$B183,Base!$X$3:$X$5001,"&lt;&gt;")=0,"",SUMIFS(Base!$X$3:$X$5001,Base!$B$3:$B$5001,E$162,Base!$A$3:$A$5001,_xlfn.MAXIFS(Base!$A$3:$A$5001,Base!$B$3:$B$5001,E$162,Base!$A$3:$A$5001,"&gt;="&amp;$C$7,Base!$A$3:$A$5001,"&lt;="&amp;$B183,Base!$X$3:$X$5001,"&lt;&gt;"))))</f>
        <v/>
      </c>
      <c r="F183" t="str">
        <f>IF($A183&gt;$B$9,"",IF(COUNTIFS(Base!$B$3:$B$5001,F$162,Base!$A$3:$A$5001,"&gt;="&amp;$C$7,Base!$A$3:$A$5001,"&lt;="&amp;$B183,Base!$X$3:$X$5001,"&lt;&gt;")=0,"",SUMIFS(Base!$X$3:$X$5001,Base!$B$3:$B$5001,F$162,Base!$A$3:$A$5001,_xlfn.MAXIFS(Base!$A$3:$A$5001,Base!$B$3:$B$5001,F$162,Base!$A$3:$A$5001,"&gt;="&amp;$C$7,Base!$A$3:$A$5001,"&lt;="&amp;$B183,Base!$X$3:$X$5001,"&lt;&gt;"))))</f>
        <v/>
      </c>
      <c r="G183" t="str">
        <f>IF($A183&gt;$B$9,"",IF(COUNTIFS(Base!$B$3:$B$5001,G$162,Base!$A$3:$A$5001,"&gt;="&amp;$C$7,Base!$A$3:$A$5001,"&lt;="&amp;$B183,Base!$X$3:$X$5001,"&lt;&gt;")=0,"",SUMIFS(Base!$X$3:$X$5001,Base!$B$3:$B$5001,G$162,Base!$A$3:$A$5001,_xlfn.MAXIFS(Base!$A$3:$A$5001,Base!$B$3:$B$5001,G$162,Base!$A$3:$A$5001,"&gt;="&amp;$C$7,Base!$A$3:$A$5001,"&lt;="&amp;$B183,Base!$X$3:$X$5001,"&lt;&gt;"))))</f>
        <v/>
      </c>
      <c r="H183" t="str">
        <f>IF($A183&gt;$B$9,"",IF(COUNTIFS(Base!$B$3:$B$5001,H$162,Base!$A$3:$A$5001,"&gt;="&amp;$C$7,Base!$A$3:$A$5001,"&lt;="&amp;$B183,Base!$X$3:$X$5001,"&lt;&gt;")=0,"",SUMIFS(Base!$X$3:$X$5001,Base!$B$3:$B$5001,H$162,Base!$A$3:$A$5001,_xlfn.MAXIFS(Base!$A$3:$A$5001,Base!$B$3:$B$5001,H$162,Base!$A$3:$A$5001,"&gt;="&amp;$C$7,Base!$A$3:$A$5001,"&lt;="&amp;$B183,Base!$X$3:$X$5001,"&lt;&gt;"))))</f>
        <v/>
      </c>
      <c r="I183" t="str">
        <f>IF($A183&gt;$B$9,"",IF(COUNTIFS(Base!$B$3:$B$5001,I$162,Base!$A$3:$A$5001,"&gt;="&amp;$C$7,Base!$A$3:$A$5001,"&lt;="&amp;$B183,Base!$X$3:$X$5001,"&lt;&gt;")=0,"",SUMIFS(Base!$X$3:$X$5001,Base!$B$3:$B$5001,I$162,Base!$A$3:$A$5001,_xlfn.MAXIFS(Base!$A$3:$A$5001,Base!$B$3:$B$5001,I$162,Base!$A$3:$A$5001,"&gt;="&amp;$C$7,Base!$A$3:$A$5001,"&lt;="&amp;$B183,Base!$X$3:$X$5001,"&lt;&gt;"))))</f>
        <v/>
      </c>
      <c r="J183" t="str">
        <f>IF($A183&gt;$B$9,"",IF(COUNTIFS(Base!$B$3:$B$5001,J$162,Base!$A$3:$A$5001,"&gt;="&amp;$C$7,Base!$A$3:$A$5001,"&lt;="&amp;$B183,Base!$X$3:$X$5001,"&lt;&gt;")=0,"",SUMIFS(Base!$X$3:$X$5001,Base!$B$3:$B$5001,J$162,Base!$A$3:$A$5001,_xlfn.MAXIFS(Base!$A$3:$A$5001,Base!$B$3:$B$5001,J$162,Base!$A$3:$A$5001,"&gt;="&amp;$C$7,Base!$A$3:$A$5001,"&lt;="&amp;$B183,Base!$X$3:$X$5001,"&lt;&gt;"))))</f>
        <v/>
      </c>
      <c r="K183" t="str">
        <f>IF($A183&gt;$B$9,"",IF(COUNTIFS(Base!$B$3:$B$5001,K$162,Base!$A$3:$A$5001,"&gt;="&amp;$C$7,Base!$A$3:$A$5001,"&lt;="&amp;$B183,Base!$X$3:$X$5001,"&lt;&gt;")=0,"",SUMIFS(Base!$X$3:$X$5001,Base!$B$3:$B$5001,K$162,Base!$A$3:$A$5001,_xlfn.MAXIFS(Base!$A$3:$A$5001,Base!$B$3:$B$5001,K$162,Base!$A$3:$A$5001,"&gt;="&amp;$C$7,Base!$A$3:$A$5001,"&lt;="&amp;$B183,Base!$X$3:$X$5001,"&lt;&gt;"))))</f>
        <v/>
      </c>
    </row>
    <row r="184">
      <c r="A184">
        <v>22</v>
      </c>
      <c r="B184" s="152">
        <f>$B$33</f>
        <v>46287</v>
      </c>
      <c r="C184" t="str">
        <f>IF($A184&gt;$B$9,"",IF(COUNTIFS(Base!$B$3:$B$5001,C$162,Base!$A$3:$A$5001,"&gt;="&amp;$C$7,Base!$A$3:$A$5001,"&lt;="&amp;$B184,Base!$X$3:$X$5001,"&lt;&gt;")=0,"",SUMIFS(Base!$X$3:$X$5001,Base!$B$3:$B$5001,C$162,Base!$A$3:$A$5001,_xlfn.MAXIFS(Base!$A$3:$A$5001,Base!$B$3:$B$5001,C$162,Base!$A$3:$A$5001,"&gt;="&amp;$C$7,Base!$A$3:$A$5001,"&lt;="&amp;$B184,Base!$X$3:$X$5001,"&lt;&gt;"))))</f>
        <v/>
      </c>
      <c r="D184" t="str">
        <f>IF($A184&gt;$B$9,"",IF(COUNTIFS(Base!$B$3:$B$5001,D$162,Base!$A$3:$A$5001,"&gt;="&amp;$C$7,Base!$A$3:$A$5001,"&lt;="&amp;$B184,Base!$X$3:$X$5001,"&lt;&gt;")=0,"",SUMIFS(Base!$X$3:$X$5001,Base!$B$3:$B$5001,D$162,Base!$A$3:$A$5001,_xlfn.MAXIFS(Base!$A$3:$A$5001,Base!$B$3:$B$5001,D$162,Base!$A$3:$A$5001,"&gt;="&amp;$C$7,Base!$A$3:$A$5001,"&lt;="&amp;$B184,Base!$X$3:$X$5001,"&lt;&gt;"))))</f>
        <v/>
      </c>
      <c r="E184" t="str">
        <f>IF($A184&gt;$B$9,"",IF(COUNTIFS(Base!$B$3:$B$5001,E$162,Base!$A$3:$A$5001,"&gt;="&amp;$C$7,Base!$A$3:$A$5001,"&lt;="&amp;$B184,Base!$X$3:$X$5001,"&lt;&gt;")=0,"",SUMIFS(Base!$X$3:$X$5001,Base!$B$3:$B$5001,E$162,Base!$A$3:$A$5001,_xlfn.MAXIFS(Base!$A$3:$A$5001,Base!$B$3:$B$5001,E$162,Base!$A$3:$A$5001,"&gt;="&amp;$C$7,Base!$A$3:$A$5001,"&lt;="&amp;$B184,Base!$X$3:$X$5001,"&lt;&gt;"))))</f>
        <v/>
      </c>
      <c r="F184" t="str">
        <f>IF($A184&gt;$B$9,"",IF(COUNTIFS(Base!$B$3:$B$5001,F$162,Base!$A$3:$A$5001,"&gt;="&amp;$C$7,Base!$A$3:$A$5001,"&lt;="&amp;$B184,Base!$X$3:$X$5001,"&lt;&gt;")=0,"",SUMIFS(Base!$X$3:$X$5001,Base!$B$3:$B$5001,F$162,Base!$A$3:$A$5001,_xlfn.MAXIFS(Base!$A$3:$A$5001,Base!$B$3:$B$5001,F$162,Base!$A$3:$A$5001,"&gt;="&amp;$C$7,Base!$A$3:$A$5001,"&lt;="&amp;$B184,Base!$X$3:$X$5001,"&lt;&gt;"))))</f>
        <v/>
      </c>
      <c r="G184" t="str">
        <f>IF($A184&gt;$B$9,"",IF(COUNTIFS(Base!$B$3:$B$5001,G$162,Base!$A$3:$A$5001,"&gt;="&amp;$C$7,Base!$A$3:$A$5001,"&lt;="&amp;$B184,Base!$X$3:$X$5001,"&lt;&gt;")=0,"",SUMIFS(Base!$X$3:$X$5001,Base!$B$3:$B$5001,G$162,Base!$A$3:$A$5001,_xlfn.MAXIFS(Base!$A$3:$A$5001,Base!$B$3:$B$5001,G$162,Base!$A$3:$A$5001,"&gt;="&amp;$C$7,Base!$A$3:$A$5001,"&lt;="&amp;$B184,Base!$X$3:$X$5001,"&lt;&gt;"))))</f>
        <v/>
      </c>
      <c r="H184" t="str">
        <f>IF($A184&gt;$B$9,"",IF(COUNTIFS(Base!$B$3:$B$5001,H$162,Base!$A$3:$A$5001,"&gt;="&amp;$C$7,Base!$A$3:$A$5001,"&lt;="&amp;$B184,Base!$X$3:$X$5001,"&lt;&gt;")=0,"",SUMIFS(Base!$X$3:$X$5001,Base!$B$3:$B$5001,H$162,Base!$A$3:$A$5001,_xlfn.MAXIFS(Base!$A$3:$A$5001,Base!$B$3:$B$5001,H$162,Base!$A$3:$A$5001,"&gt;="&amp;$C$7,Base!$A$3:$A$5001,"&lt;="&amp;$B184,Base!$X$3:$X$5001,"&lt;&gt;"))))</f>
        <v/>
      </c>
      <c r="I184" t="str">
        <f>IF($A184&gt;$B$9,"",IF(COUNTIFS(Base!$B$3:$B$5001,I$162,Base!$A$3:$A$5001,"&gt;="&amp;$C$7,Base!$A$3:$A$5001,"&lt;="&amp;$B184,Base!$X$3:$X$5001,"&lt;&gt;")=0,"",SUMIFS(Base!$X$3:$X$5001,Base!$B$3:$B$5001,I$162,Base!$A$3:$A$5001,_xlfn.MAXIFS(Base!$A$3:$A$5001,Base!$B$3:$B$5001,I$162,Base!$A$3:$A$5001,"&gt;="&amp;$C$7,Base!$A$3:$A$5001,"&lt;="&amp;$B184,Base!$X$3:$X$5001,"&lt;&gt;"))))</f>
        <v/>
      </c>
      <c r="J184" t="str">
        <f>IF($A184&gt;$B$9,"",IF(COUNTIFS(Base!$B$3:$B$5001,J$162,Base!$A$3:$A$5001,"&gt;="&amp;$C$7,Base!$A$3:$A$5001,"&lt;="&amp;$B184,Base!$X$3:$X$5001,"&lt;&gt;")=0,"",SUMIFS(Base!$X$3:$X$5001,Base!$B$3:$B$5001,J$162,Base!$A$3:$A$5001,_xlfn.MAXIFS(Base!$A$3:$A$5001,Base!$B$3:$B$5001,J$162,Base!$A$3:$A$5001,"&gt;="&amp;$C$7,Base!$A$3:$A$5001,"&lt;="&amp;$B184,Base!$X$3:$X$5001,"&lt;&gt;"))))</f>
        <v/>
      </c>
      <c r="K184" t="str">
        <f>IF($A184&gt;$B$9,"",IF(COUNTIFS(Base!$B$3:$B$5001,K$162,Base!$A$3:$A$5001,"&gt;="&amp;$C$7,Base!$A$3:$A$5001,"&lt;="&amp;$B184,Base!$X$3:$X$5001,"&lt;&gt;")=0,"",SUMIFS(Base!$X$3:$X$5001,Base!$B$3:$B$5001,K$162,Base!$A$3:$A$5001,_xlfn.MAXIFS(Base!$A$3:$A$5001,Base!$B$3:$B$5001,K$162,Base!$A$3:$A$5001,"&gt;="&amp;$C$7,Base!$A$3:$A$5001,"&lt;="&amp;$B184,Base!$X$3:$X$5001,"&lt;&gt;"))))</f>
        <v/>
      </c>
    </row>
    <row r="185">
      <c r="A185">
        <v>23</v>
      </c>
      <c r="B185" s="152">
        <f>$B$34</f>
        <v>46288</v>
      </c>
      <c r="C185" t="str">
        <f>IF($A185&gt;$B$9,"",IF(COUNTIFS(Base!$B$3:$B$5001,C$162,Base!$A$3:$A$5001,"&gt;="&amp;$C$7,Base!$A$3:$A$5001,"&lt;="&amp;$B185,Base!$X$3:$X$5001,"&lt;&gt;")=0,"",SUMIFS(Base!$X$3:$X$5001,Base!$B$3:$B$5001,C$162,Base!$A$3:$A$5001,_xlfn.MAXIFS(Base!$A$3:$A$5001,Base!$B$3:$B$5001,C$162,Base!$A$3:$A$5001,"&gt;="&amp;$C$7,Base!$A$3:$A$5001,"&lt;="&amp;$B185,Base!$X$3:$X$5001,"&lt;&gt;"))))</f>
        <v/>
      </c>
      <c r="D185" t="str">
        <f>IF($A185&gt;$B$9,"",IF(COUNTIFS(Base!$B$3:$B$5001,D$162,Base!$A$3:$A$5001,"&gt;="&amp;$C$7,Base!$A$3:$A$5001,"&lt;="&amp;$B185,Base!$X$3:$X$5001,"&lt;&gt;")=0,"",SUMIFS(Base!$X$3:$X$5001,Base!$B$3:$B$5001,D$162,Base!$A$3:$A$5001,_xlfn.MAXIFS(Base!$A$3:$A$5001,Base!$B$3:$B$5001,D$162,Base!$A$3:$A$5001,"&gt;="&amp;$C$7,Base!$A$3:$A$5001,"&lt;="&amp;$B185,Base!$X$3:$X$5001,"&lt;&gt;"))))</f>
        <v/>
      </c>
      <c r="E185" t="str">
        <f>IF($A185&gt;$B$9,"",IF(COUNTIFS(Base!$B$3:$B$5001,E$162,Base!$A$3:$A$5001,"&gt;="&amp;$C$7,Base!$A$3:$A$5001,"&lt;="&amp;$B185,Base!$X$3:$X$5001,"&lt;&gt;")=0,"",SUMIFS(Base!$X$3:$X$5001,Base!$B$3:$B$5001,E$162,Base!$A$3:$A$5001,_xlfn.MAXIFS(Base!$A$3:$A$5001,Base!$B$3:$B$5001,E$162,Base!$A$3:$A$5001,"&gt;="&amp;$C$7,Base!$A$3:$A$5001,"&lt;="&amp;$B185,Base!$X$3:$X$5001,"&lt;&gt;"))))</f>
        <v/>
      </c>
      <c r="F185" t="str">
        <f>IF($A185&gt;$B$9,"",IF(COUNTIFS(Base!$B$3:$B$5001,F$162,Base!$A$3:$A$5001,"&gt;="&amp;$C$7,Base!$A$3:$A$5001,"&lt;="&amp;$B185,Base!$X$3:$X$5001,"&lt;&gt;")=0,"",SUMIFS(Base!$X$3:$X$5001,Base!$B$3:$B$5001,F$162,Base!$A$3:$A$5001,_xlfn.MAXIFS(Base!$A$3:$A$5001,Base!$B$3:$B$5001,F$162,Base!$A$3:$A$5001,"&gt;="&amp;$C$7,Base!$A$3:$A$5001,"&lt;="&amp;$B185,Base!$X$3:$X$5001,"&lt;&gt;"))))</f>
        <v/>
      </c>
      <c r="G185" t="str">
        <f>IF($A185&gt;$B$9,"",IF(COUNTIFS(Base!$B$3:$B$5001,G$162,Base!$A$3:$A$5001,"&gt;="&amp;$C$7,Base!$A$3:$A$5001,"&lt;="&amp;$B185,Base!$X$3:$X$5001,"&lt;&gt;")=0,"",SUMIFS(Base!$X$3:$X$5001,Base!$B$3:$B$5001,G$162,Base!$A$3:$A$5001,_xlfn.MAXIFS(Base!$A$3:$A$5001,Base!$B$3:$B$5001,G$162,Base!$A$3:$A$5001,"&gt;="&amp;$C$7,Base!$A$3:$A$5001,"&lt;="&amp;$B185,Base!$X$3:$X$5001,"&lt;&gt;"))))</f>
        <v/>
      </c>
      <c r="H185" t="str">
        <f>IF($A185&gt;$B$9,"",IF(COUNTIFS(Base!$B$3:$B$5001,H$162,Base!$A$3:$A$5001,"&gt;="&amp;$C$7,Base!$A$3:$A$5001,"&lt;="&amp;$B185,Base!$X$3:$X$5001,"&lt;&gt;")=0,"",SUMIFS(Base!$X$3:$X$5001,Base!$B$3:$B$5001,H$162,Base!$A$3:$A$5001,_xlfn.MAXIFS(Base!$A$3:$A$5001,Base!$B$3:$B$5001,H$162,Base!$A$3:$A$5001,"&gt;="&amp;$C$7,Base!$A$3:$A$5001,"&lt;="&amp;$B185,Base!$X$3:$X$5001,"&lt;&gt;"))))</f>
        <v/>
      </c>
      <c r="I185" t="str">
        <f>IF($A185&gt;$B$9,"",IF(COUNTIFS(Base!$B$3:$B$5001,I$162,Base!$A$3:$A$5001,"&gt;="&amp;$C$7,Base!$A$3:$A$5001,"&lt;="&amp;$B185,Base!$X$3:$X$5001,"&lt;&gt;")=0,"",SUMIFS(Base!$X$3:$X$5001,Base!$B$3:$B$5001,I$162,Base!$A$3:$A$5001,_xlfn.MAXIFS(Base!$A$3:$A$5001,Base!$B$3:$B$5001,I$162,Base!$A$3:$A$5001,"&gt;="&amp;$C$7,Base!$A$3:$A$5001,"&lt;="&amp;$B185,Base!$X$3:$X$5001,"&lt;&gt;"))))</f>
        <v/>
      </c>
      <c r="J185" t="str">
        <f>IF($A185&gt;$B$9,"",IF(COUNTIFS(Base!$B$3:$B$5001,J$162,Base!$A$3:$A$5001,"&gt;="&amp;$C$7,Base!$A$3:$A$5001,"&lt;="&amp;$B185,Base!$X$3:$X$5001,"&lt;&gt;")=0,"",SUMIFS(Base!$X$3:$X$5001,Base!$B$3:$B$5001,J$162,Base!$A$3:$A$5001,_xlfn.MAXIFS(Base!$A$3:$A$5001,Base!$B$3:$B$5001,J$162,Base!$A$3:$A$5001,"&gt;="&amp;$C$7,Base!$A$3:$A$5001,"&lt;="&amp;$B185,Base!$X$3:$X$5001,"&lt;&gt;"))))</f>
        <v/>
      </c>
      <c r="K185" t="str">
        <f>IF($A185&gt;$B$9,"",IF(COUNTIFS(Base!$B$3:$B$5001,K$162,Base!$A$3:$A$5001,"&gt;="&amp;$C$7,Base!$A$3:$A$5001,"&lt;="&amp;$B185,Base!$X$3:$X$5001,"&lt;&gt;")=0,"",SUMIFS(Base!$X$3:$X$5001,Base!$B$3:$B$5001,K$162,Base!$A$3:$A$5001,_xlfn.MAXIFS(Base!$A$3:$A$5001,Base!$B$3:$B$5001,K$162,Base!$A$3:$A$5001,"&gt;="&amp;$C$7,Base!$A$3:$A$5001,"&lt;="&amp;$B185,Base!$X$3:$X$5001,"&lt;&gt;"))))</f>
        <v/>
      </c>
    </row>
    <row r="186">
      <c r="A186">
        <v>24</v>
      </c>
      <c r="B186" s="152">
        <f>$B$35</f>
        <v>46289</v>
      </c>
      <c r="C186" t="str">
        <f>IF($A186&gt;$B$9,"",IF(COUNTIFS(Base!$B$3:$B$5001,C$162,Base!$A$3:$A$5001,"&gt;="&amp;$C$7,Base!$A$3:$A$5001,"&lt;="&amp;$B186,Base!$X$3:$X$5001,"&lt;&gt;")=0,"",SUMIFS(Base!$X$3:$X$5001,Base!$B$3:$B$5001,C$162,Base!$A$3:$A$5001,_xlfn.MAXIFS(Base!$A$3:$A$5001,Base!$B$3:$B$5001,C$162,Base!$A$3:$A$5001,"&gt;="&amp;$C$7,Base!$A$3:$A$5001,"&lt;="&amp;$B186,Base!$X$3:$X$5001,"&lt;&gt;"))))</f>
        <v/>
      </c>
      <c r="D186" t="str">
        <f>IF($A186&gt;$B$9,"",IF(COUNTIFS(Base!$B$3:$B$5001,D$162,Base!$A$3:$A$5001,"&gt;="&amp;$C$7,Base!$A$3:$A$5001,"&lt;="&amp;$B186,Base!$X$3:$X$5001,"&lt;&gt;")=0,"",SUMIFS(Base!$X$3:$X$5001,Base!$B$3:$B$5001,D$162,Base!$A$3:$A$5001,_xlfn.MAXIFS(Base!$A$3:$A$5001,Base!$B$3:$B$5001,D$162,Base!$A$3:$A$5001,"&gt;="&amp;$C$7,Base!$A$3:$A$5001,"&lt;="&amp;$B186,Base!$X$3:$X$5001,"&lt;&gt;"))))</f>
        <v/>
      </c>
      <c r="E186" t="str">
        <f>IF($A186&gt;$B$9,"",IF(COUNTIFS(Base!$B$3:$B$5001,E$162,Base!$A$3:$A$5001,"&gt;="&amp;$C$7,Base!$A$3:$A$5001,"&lt;="&amp;$B186,Base!$X$3:$X$5001,"&lt;&gt;")=0,"",SUMIFS(Base!$X$3:$X$5001,Base!$B$3:$B$5001,E$162,Base!$A$3:$A$5001,_xlfn.MAXIFS(Base!$A$3:$A$5001,Base!$B$3:$B$5001,E$162,Base!$A$3:$A$5001,"&gt;="&amp;$C$7,Base!$A$3:$A$5001,"&lt;="&amp;$B186,Base!$X$3:$X$5001,"&lt;&gt;"))))</f>
        <v/>
      </c>
      <c r="F186" t="str">
        <f>IF($A186&gt;$B$9,"",IF(COUNTIFS(Base!$B$3:$B$5001,F$162,Base!$A$3:$A$5001,"&gt;="&amp;$C$7,Base!$A$3:$A$5001,"&lt;="&amp;$B186,Base!$X$3:$X$5001,"&lt;&gt;")=0,"",SUMIFS(Base!$X$3:$X$5001,Base!$B$3:$B$5001,F$162,Base!$A$3:$A$5001,_xlfn.MAXIFS(Base!$A$3:$A$5001,Base!$B$3:$B$5001,F$162,Base!$A$3:$A$5001,"&gt;="&amp;$C$7,Base!$A$3:$A$5001,"&lt;="&amp;$B186,Base!$X$3:$X$5001,"&lt;&gt;"))))</f>
        <v/>
      </c>
      <c r="G186" t="str">
        <f>IF($A186&gt;$B$9,"",IF(COUNTIFS(Base!$B$3:$B$5001,G$162,Base!$A$3:$A$5001,"&gt;="&amp;$C$7,Base!$A$3:$A$5001,"&lt;="&amp;$B186,Base!$X$3:$X$5001,"&lt;&gt;")=0,"",SUMIFS(Base!$X$3:$X$5001,Base!$B$3:$B$5001,G$162,Base!$A$3:$A$5001,_xlfn.MAXIFS(Base!$A$3:$A$5001,Base!$B$3:$B$5001,G$162,Base!$A$3:$A$5001,"&gt;="&amp;$C$7,Base!$A$3:$A$5001,"&lt;="&amp;$B186,Base!$X$3:$X$5001,"&lt;&gt;"))))</f>
        <v/>
      </c>
      <c r="H186" t="str">
        <f>IF($A186&gt;$B$9,"",IF(COUNTIFS(Base!$B$3:$B$5001,H$162,Base!$A$3:$A$5001,"&gt;="&amp;$C$7,Base!$A$3:$A$5001,"&lt;="&amp;$B186,Base!$X$3:$X$5001,"&lt;&gt;")=0,"",SUMIFS(Base!$X$3:$X$5001,Base!$B$3:$B$5001,H$162,Base!$A$3:$A$5001,_xlfn.MAXIFS(Base!$A$3:$A$5001,Base!$B$3:$B$5001,H$162,Base!$A$3:$A$5001,"&gt;="&amp;$C$7,Base!$A$3:$A$5001,"&lt;="&amp;$B186,Base!$X$3:$X$5001,"&lt;&gt;"))))</f>
        <v/>
      </c>
      <c r="I186" t="str">
        <f>IF($A186&gt;$B$9,"",IF(COUNTIFS(Base!$B$3:$B$5001,I$162,Base!$A$3:$A$5001,"&gt;="&amp;$C$7,Base!$A$3:$A$5001,"&lt;="&amp;$B186,Base!$X$3:$X$5001,"&lt;&gt;")=0,"",SUMIFS(Base!$X$3:$X$5001,Base!$B$3:$B$5001,I$162,Base!$A$3:$A$5001,_xlfn.MAXIFS(Base!$A$3:$A$5001,Base!$B$3:$B$5001,I$162,Base!$A$3:$A$5001,"&gt;="&amp;$C$7,Base!$A$3:$A$5001,"&lt;="&amp;$B186,Base!$X$3:$X$5001,"&lt;&gt;"))))</f>
        <v/>
      </c>
      <c r="J186" t="str">
        <f>IF($A186&gt;$B$9,"",IF(COUNTIFS(Base!$B$3:$B$5001,J$162,Base!$A$3:$A$5001,"&gt;="&amp;$C$7,Base!$A$3:$A$5001,"&lt;="&amp;$B186,Base!$X$3:$X$5001,"&lt;&gt;")=0,"",SUMIFS(Base!$X$3:$X$5001,Base!$B$3:$B$5001,J$162,Base!$A$3:$A$5001,_xlfn.MAXIFS(Base!$A$3:$A$5001,Base!$B$3:$B$5001,J$162,Base!$A$3:$A$5001,"&gt;="&amp;$C$7,Base!$A$3:$A$5001,"&lt;="&amp;$B186,Base!$X$3:$X$5001,"&lt;&gt;"))))</f>
        <v/>
      </c>
      <c r="K186" t="str">
        <f>IF($A186&gt;$B$9,"",IF(COUNTIFS(Base!$B$3:$B$5001,K$162,Base!$A$3:$A$5001,"&gt;="&amp;$C$7,Base!$A$3:$A$5001,"&lt;="&amp;$B186,Base!$X$3:$X$5001,"&lt;&gt;")=0,"",SUMIFS(Base!$X$3:$X$5001,Base!$B$3:$B$5001,K$162,Base!$A$3:$A$5001,_xlfn.MAXIFS(Base!$A$3:$A$5001,Base!$B$3:$B$5001,K$162,Base!$A$3:$A$5001,"&gt;="&amp;$C$7,Base!$A$3:$A$5001,"&lt;="&amp;$B186,Base!$X$3:$X$5001,"&lt;&gt;"))))</f>
        <v/>
      </c>
    </row>
    <row r="187">
      <c r="A187">
        <v>25</v>
      </c>
      <c r="B187" s="152">
        <f>$B$36</f>
        <v>46290</v>
      </c>
      <c r="C187" t="str">
        <f>IF($A187&gt;$B$9,"",IF(COUNTIFS(Base!$B$3:$B$5001,C$162,Base!$A$3:$A$5001,"&gt;="&amp;$C$7,Base!$A$3:$A$5001,"&lt;="&amp;$B187,Base!$X$3:$X$5001,"&lt;&gt;")=0,"",SUMIFS(Base!$X$3:$X$5001,Base!$B$3:$B$5001,C$162,Base!$A$3:$A$5001,_xlfn.MAXIFS(Base!$A$3:$A$5001,Base!$B$3:$B$5001,C$162,Base!$A$3:$A$5001,"&gt;="&amp;$C$7,Base!$A$3:$A$5001,"&lt;="&amp;$B187,Base!$X$3:$X$5001,"&lt;&gt;"))))</f>
        <v/>
      </c>
      <c r="D187" t="str">
        <f>IF($A187&gt;$B$9,"",IF(COUNTIFS(Base!$B$3:$B$5001,D$162,Base!$A$3:$A$5001,"&gt;="&amp;$C$7,Base!$A$3:$A$5001,"&lt;="&amp;$B187,Base!$X$3:$X$5001,"&lt;&gt;")=0,"",SUMIFS(Base!$X$3:$X$5001,Base!$B$3:$B$5001,D$162,Base!$A$3:$A$5001,_xlfn.MAXIFS(Base!$A$3:$A$5001,Base!$B$3:$B$5001,D$162,Base!$A$3:$A$5001,"&gt;="&amp;$C$7,Base!$A$3:$A$5001,"&lt;="&amp;$B187,Base!$X$3:$X$5001,"&lt;&gt;"))))</f>
        <v/>
      </c>
      <c r="E187" t="str">
        <f>IF($A187&gt;$B$9,"",IF(COUNTIFS(Base!$B$3:$B$5001,E$162,Base!$A$3:$A$5001,"&gt;="&amp;$C$7,Base!$A$3:$A$5001,"&lt;="&amp;$B187,Base!$X$3:$X$5001,"&lt;&gt;")=0,"",SUMIFS(Base!$X$3:$X$5001,Base!$B$3:$B$5001,E$162,Base!$A$3:$A$5001,_xlfn.MAXIFS(Base!$A$3:$A$5001,Base!$B$3:$B$5001,E$162,Base!$A$3:$A$5001,"&gt;="&amp;$C$7,Base!$A$3:$A$5001,"&lt;="&amp;$B187,Base!$X$3:$X$5001,"&lt;&gt;"))))</f>
        <v/>
      </c>
      <c r="F187" t="str">
        <f>IF($A187&gt;$B$9,"",IF(COUNTIFS(Base!$B$3:$B$5001,F$162,Base!$A$3:$A$5001,"&gt;="&amp;$C$7,Base!$A$3:$A$5001,"&lt;="&amp;$B187,Base!$X$3:$X$5001,"&lt;&gt;")=0,"",SUMIFS(Base!$X$3:$X$5001,Base!$B$3:$B$5001,F$162,Base!$A$3:$A$5001,_xlfn.MAXIFS(Base!$A$3:$A$5001,Base!$B$3:$B$5001,F$162,Base!$A$3:$A$5001,"&gt;="&amp;$C$7,Base!$A$3:$A$5001,"&lt;="&amp;$B187,Base!$X$3:$X$5001,"&lt;&gt;"))))</f>
        <v/>
      </c>
      <c r="G187" t="str">
        <f>IF($A187&gt;$B$9,"",IF(COUNTIFS(Base!$B$3:$B$5001,G$162,Base!$A$3:$A$5001,"&gt;="&amp;$C$7,Base!$A$3:$A$5001,"&lt;="&amp;$B187,Base!$X$3:$X$5001,"&lt;&gt;")=0,"",SUMIFS(Base!$X$3:$X$5001,Base!$B$3:$B$5001,G$162,Base!$A$3:$A$5001,_xlfn.MAXIFS(Base!$A$3:$A$5001,Base!$B$3:$B$5001,G$162,Base!$A$3:$A$5001,"&gt;="&amp;$C$7,Base!$A$3:$A$5001,"&lt;="&amp;$B187,Base!$X$3:$X$5001,"&lt;&gt;"))))</f>
        <v/>
      </c>
      <c r="H187" t="str">
        <f>IF($A187&gt;$B$9,"",IF(COUNTIFS(Base!$B$3:$B$5001,H$162,Base!$A$3:$A$5001,"&gt;="&amp;$C$7,Base!$A$3:$A$5001,"&lt;="&amp;$B187,Base!$X$3:$X$5001,"&lt;&gt;")=0,"",SUMIFS(Base!$X$3:$X$5001,Base!$B$3:$B$5001,H$162,Base!$A$3:$A$5001,_xlfn.MAXIFS(Base!$A$3:$A$5001,Base!$B$3:$B$5001,H$162,Base!$A$3:$A$5001,"&gt;="&amp;$C$7,Base!$A$3:$A$5001,"&lt;="&amp;$B187,Base!$X$3:$X$5001,"&lt;&gt;"))))</f>
        <v/>
      </c>
      <c r="I187" t="str">
        <f>IF($A187&gt;$B$9,"",IF(COUNTIFS(Base!$B$3:$B$5001,I$162,Base!$A$3:$A$5001,"&gt;="&amp;$C$7,Base!$A$3:$A$5001,"&lt;="&amp;$B187,Base!$X$3:$X$5001,"&lt;&gt;")=0,"",SUMIFS(Base!$X$3:$X$5001,Base!$B$3:$B$5001,I$162,Base!$A$3:$A$5001,_xlfn.MAXIFS(Base!$A$3:$A$5001,Base!$B$3:$B$5001,I$162,Base!$A$3:$A$5001,"&gt;="&amp;$C$7,Base!$A$3:$A$5001,"&lt;="&amp;$B187,Base!$X$3:$X$5001,"&lt;&gt;"))))</f>
        <v/>
      </c>
      <c r="J187" t="str">
        <f>IF($A187&gt;$B$9,"",IF(COUNTIFS(Base!$B$3:$B$5001,J$162,Base!$A$3:$A$5001,"&gt;="&amp;$C$7,Base!$A$3:$A$5001,"&lt;="&amp;$B187,Base!$X$3:$X$5001,"&lt;&gt;")=0,"",SUMIFS(Base!$X$3:$X$5001,Base!$B$3:$B$5001,J$162,Base!$A$3:$A$5001,_xlfn.MAXIFS(Base!$A$3:$A$5001,Base!$B$3:$B$5001,J$162,Base!$A$3:$A$5001,"&gt;="&amp;$C$7,Base!$A$3:$A$5001,"&lt;="&amp;$B187,Base!$X$3:$X$5001,"&lt;&gt;"))))</f>
        <v/>
      </c>
      <c r="K187" t="str">
        <f>IF($A187&gt;$B$9,"",IF(COUNTIFS(Base!$B$3:$B$5001,K$162,Base!$A$3:$A$5001,"&gt;="&amp;$C$7,Base!$A$3:$A$5001,"&lt;="&amp;$B187,Base!$X$3:$X$5001,"&lt;&gt;")=0,"",SUMIFS(Base!$X$3:$X$5001,Base!$B$3:$B$5001,K$162,Base!$A$3:$A$5001,_xlfn.MAXIFS(Base!$A$3:$A$5001,Base!$B$3:$B$5001,K$162,Base!$A$3:$A$5001,"&gt;="&amp;$C$7,Base!$A$3:$A$5001,"&lt;="&amp;$B187,Base!$X$3:$X$5001,"&lt;&gt;"))))</f>
        <v/>
      </c>
    </row>
    <row r="188">
      <c r="A188">
        <v>26</v>
      </c>
      <c r="B188" s="152">
        <f>$B$37</f>
        <v>46291</v>
      </c>
      <c r="C188" t="str">
        <f>IF($A188&gt;$B$9,"",IF(COUNTIFS(Base!$B$3:$B$5001,C$162,Base!$A$3:$A$5001,"&gt;="&amp;$C$7,Base!$A$3:$A$5001,"&lt;="&amp;$B188,Base!$X$3:$X$5001,"&lt;&gt;")=0,"",SUMIFS(Base!$X$3:$X$5001,Base!$B$3:$B$5001,C$162,Base!$A$3:$A$5001,_xlfn.MAXIFS(Base!$A$3:$A$5001,Base!$B$3:$B$5001,C$162,Base!$A$3:$A$5001,"&gt;="&amp;$C$7,Base!$A$3:$A$5001,"&lt;="&amp;$B188,Base!$X$3:$X$5001,"&lt;&gt;"))))</f>
        <v/>
      </c>
      <c r="D188" t="str">
        <f>IF($A188&gt;$B$9,"",IF(COUNTIFS(Base!$B$3:$B$5001,D$162,Base!$A$3:$A$5001,"&gt;="&amp;$C$7,Base!$A$3:$A$5001,"&lt;="&amp;$B188,Base!$X$3:$X$5001,"&lt;&gt;")=0,"",SUMIFS(Base!$X$3:$X$5001,Base!$B$3:$B$5001,D$162,Base!$A$3:$A$5001,_xlfn.MAXIFS(Base!$A$3:$A$5001,Base!$B$3:$B$5001,D$162,Base!$A$3:$A$5001,"&gt;="&amp;$C$7,Base!$A$3:$A$5001,"&lt;="&amp;$B188,Base!$X$3:$X$5001,"&lt;&gt;"))))</f>
        <v/>
      </c>
      <c r="E188" t="str">
        <f>IF($A188&gt;$B$9,"",IF(COUNTIFS(Base!$B$3:$B$5001,E$162,Base!$A$3:$A$5001,"&gt;="&amp;$C$7,Base!$A$3:$A$5001,"&lt;="&amp;$B188,Base!$X$3:$X$5001,"&lt;&gt;")=0,"",SUMIFS(Base!$X$3:$X$5001,Base!$B$3:$B$5001,E$162,Base!$A$3:$A$5001,_xlfn.MAXIFS(Base!$A$3:$A$5001,Base!$B$3:$B$5001,E$162,Base!$A$3:$A$5001,"&gt;="&amp;$C$7,Base!$A$3:$A$5001,"&lt;="&amp;$B188,Base!$X$3:$X$5001,"&lt;&gt;"))))</f>
        <v/>
      </c>
      <c r="F188" t="str">
        <f>IF($A188&gt;$B$9,"",IF(COUNTIFS(Base!$B$3:$B$5001,F$162,Base!$A$3:$A$5001,"&gt;="&amp;$C$7,Base!$A$3:$A$5001,"&lt;="&amp;$B188,Base!$X$3:$X$5001,"&lt;&gt;")=0,"",SUMIFS(Base!$X$3:$X$5001,Base!$B$3:$B$5001,F$162,Base!$A$3:$A$5001,_xlfn.MAXIFS(Base!$A$3:$A$5001,Base!$B$3:$B$5001,F$162,Base!$A$3:$A$5001,"&gt;="&amp;$C$7,Base!$A$3:$A$5001,"&lt;="&amp;$B188,Base!$X$3:$X$5001,"&lt;&gt;"))))</f>
        <v/>
      </c>
      <c r="G188" t="str">
        <f>IF($A188&gt;$B$9,"",IF(COUNTIFS(Base!$B$3:$B$5001,G$162,Base!$A$3:$A$5001,"&gt;="&amp;$C$7,Base!$A$3:$A$5001,"&lt;="&amp;$B188,Base!$X$3:$X$5001,"&lt;&gt;")=0,"",SUMIFS(Base!$X$3:$X$5001,Base!$B$3:$B$5001,G$162,Base!$A$3:$A$5001,_xlfn.MAXIFS(Base!$A$3:$A$5001,Base!$B$3:$B$5001,G$162,Base!$A$3:$A$5001,"&gt;="&amp;$C$7,Base!$A$3:$A$5001,"&lt;="&amp;$B188,Base!$X$3:$X$5001,"&lt;&gt;"))))</f>
        <v/>
      </c>
      <c r="H188" t="str">
        <f>IF($A188&gt;$B$9,"",IF(COUNTIFS(Base!$B$3:$B$5001,H$162,Base!$A$3:$A$5001,"&gt;="&amp;$C$7,Base!$A$3:$A$5001,"&lt;="&amp;$B188,Base!$X$3:$X$5001,"&lt;&gt;")=0,"",SUMIFS(Base!$X$3:$X$5001,Base!$B$3:$B$5001,H$162,Base!$A$3:$A$5001,_xlfn.MAXIFS(Base!$A$3:$A$5001,Base!$B$3:$B$5001,H$162,Base!$A$3:$A$5001,"&gt;="&amp;$C$7,Base!$A$3:$A$5001,"&lt;="&amp;$B188,Base!$X$3:$X$5001,"&lt;&gt;"))))</f>
        <v/>
      </c>
      <c r="I188" t="str">
        <f>IF($A188&gt;$B$9,"",IF(COUNTIFS(Base!$B$3:$B$5001,I$162,Base!$A$3:$A$5001,"&gt;="&amp;$C$7,Base!$A$3:$A$5001,"&lt;="&amp;$B188,Base!$X$3:$X$5001,"&lt;&gt;")=0,"",SUMIFS(Base!$X$3:$X$5001,Base!$B$3:$B$5001,I$162,Base!$A$3:$A$5001,_xlfn.MAXIFS(Base!$A$3:$A$5001,Base!$B$3:$B$5001,I$162,Base!$A$3:$A$5001,"&gt;="&amp;$C$7,Base!$A$3:$A$5001,"&lt;="&amp;$B188,Base!$X$3:$X$5001,"&lt;&gt;"))))</f>
        <v/>
      </c>
      <c r="J188" t="str">
        <f>IF($A188&gt;$B$9,"",IF(COUNTIFS(Base!$B$3:$B$5001,J$162,Base!$A$3:$A$5001,"&gt;="&amp;$C$7,Base!$A$3:$A$5001,"&lt;="&amp;$B188,Base!$X$3:$X$5001,"&lt;&gt;")=0,"",SUMIFS(Base!$X$3:$X$5001,Base!$B$3:$B$5001,J$162,Base!$A$3:$A$5001,_xlfn.MAXIFS(Base!$A$3:$A$5001,Base!$B$3:$B$5001,J$162,Base!$A$3:$A$5001,"&gt;="&amp;$C$7,Base!$A$3:$A$5001,"&lt;="&amp;$B188,Base!$X$3:$X$5001,"&lt;&gt;"))))</f>
        <v/>
      </c>
      <c r="K188" t="str">
        <f>IF($A188&gt;$B$9,"",IF(COUNTIFS(Base!$B$3:$B$5001,K$162,Base!$A$3:$A$5001,"&gt;="&amp;$C$7,Base!$A$3:$A$5001,"&lt;="&amp;$B188,Base!$X$3:$X$5001,"&lt;&gt;")=0,"",SUMIFS(Base!$X$3:$X$5001,Base!$B$3:$B$5001,K$162,Base!$A$3:$A$5001,_xlfn.MAXIFS(Base!$A$3:$A$5001,Base!$B$3:$B$5001,K$162,Base!$A$3:$A$5001,"&gt;="&amp;$C$7,Base!$A$3:$A$5001,"&lt;="&amp;$B188,Base!$X$3:$X$5001,"&lt;&gt;"))))</f>
        <v/>
      </c>
    </row>
    <row r="189">
      <c r="A189">
        <v>27</v>
      </c>
      <c r="B189" s="152">
        <f>$B$38</f>
        <v>46292</v>
      </c>
      <c r="C189" t="str">
        <f>IF($A189&gt;$B$9,"",IF(COUNTIFS(Base!$B$3:$B$5001,C$162,Base!$A$3:$A$5001,"&gt;="&amp;$C$7,Base!$A$3:$A$5001,"&lt;="&amp;$B189,Base!$X$3:$X$5001,"&lt;&gt;")=0,"",SUMIFS(Base!$X$3:$X$5001,Base!$B$3:$B$5001,C$162,Base!$A$3:$A$5001,_xlfn.MAXIFS(Base!$A$3:$A$5001,Base!$B$3:$B$5001,C$162,Base!$A$3:$A$5001,"&gt;="&amp;$C$7,Base!$A$3:$A$5001,"&lt;="&amp;$B189,Base!$X$3:$X$5001,"&lt;&gt;"))))</f>
        <v/>
      </c>
      <c r="D189" t="str">
        <f>IF($A189&gt;$B$9,"",IF(COUNTIFS(Base!$B$3:$B$5001,D$162,Base!$A$3:$A$5001,"&gt;="&amp;$C$7,Base!$A$3:$A$5001,"&lt;="&amp;$B189,Base!$X$3:$X$5001,"&lt;&gt;")=0,"",SUMIFS(Base!$X$3:$X$5001,Base!$B$3:$B$5001,D$162,Base!$A$3:$A$5001,_xlfn.MAXIFS(Base!$A$3:$A$5001,Base!$B$3:$B$5001,D$162,Base!$A$3:$A$5001,"&gt;="&amp;$C$7,Base!$A$3:$A$5001,"&lt;="&amp;$B189,Base!$X$3:$X$5001,"&lt;&gt;"))))</f>
        <v/>
      </c>
      <c r="E189" t="str">
        <f>IF($A189&gt;$B$9,"",IF(COUNTIFS(Base!$B$3:$B$5001,E$162,Base!$A$3:$A$5001,"&gt;="&amp;$C$7,Base!$A$3:$A$5001,"&lt;="&amp;$B189,Base!$X$3:$X$5001,"&lt;&gt;")=0,"",SUMIFS(Base!$X$3:$X$5001,Base!$B$3:$B$5001,E$162,Base!$A$3:$A$5001,_xlfn.MAXIFS(Base!$A$3:$A$5001,Base!$B$3:$B$5001,E$162,Base!$A$3:$A$5001,"&gt;="&amp;$C$7,Base!$A$3:$A$5001,"&lt;="&amp;$B189,Base!$X$3:$X$5001,"&lt;&gt;"))))</f>
        <v/>
      </c>
      <c r="F189" t="str">
        <f>IF($A189&gt;$B$9,"",IF(COUNTIFS(Base!$B$3:$B$5001,F$162,Base!$A$3:$A$5001,"&gt;="&amp;$C$7,Base!$A$3:$A$5001,"&lt;="&amp;$B189,Base!$X$3:$X$5001,"&lt;&gt;")=0,"",SUMIFS(Base!$X$3:$X$5001,Base!$B$3:$B$5001,F$162,Base!$A$3:$A$5001,_xlfn.MAXIFS(Base!$A$3:$A$5001,Base!$B$3:$B$5001,F$162,Base!$A$3:$A$5001,"&gt;="&amp;$C$7,Base!$A$3:$A$5001,"&lt;="&amp;$B189,Base!$X$3:$X$5001,"&lt;&gt;"))))</f>
        <v/>
      </c>
      <c r="G189" t="str">
        <f>IF($A189&gt;$B$9,"",IF(COUNTIFS(Base!$B$3:$B$5001,G$162,Base!$A$3:$A$5001,"&gt;="&amp;$C$7,Base!$A$3:$A$5001,"&lt;="&amp;$B189,Base!$X$3:$X$5001,"&lt;&gt;")=0,"",SUMIFS(Base!$X$3:$X$5001,Base!$B$3:$B$5001,G$162,Base!$A$3:$A$5001,_xlfn.MAXIFS(Base!$A$3:$A$5001,Base!$B$3:$B$5001,G$162,Base!$A$3:$A$5001,"&gt;="&amp;$C$7,Base!$A$3:$A$5001,"&lt;="&amp;$B189,Base!$X$3:$X$5001,"&lt;&gt;"))))</f>
        <v/>
      </c>
      <c r="H189" t="str">
        <f>IF($A189&gt;$B$9,"",IF(COUNTIFS(Base!$B$3:$B$5001,H$162,Base!$A$3:$A$5001,"&gt;="&amp;$C$7,Base!$A$3:$A$5001,"&lt;="&amp;$B189,Base!$X$3:$X$5001,"&lt;&gt;")=0,"",SUMIFS(Base!$X$3:$X$5001,Base!$B$3:$B$5001,H$162,Base!$A$3:$A$5001,_xlfn.MAXIFS(Base!$A$3:$A$5001,Base!$B$3:$B$5001,H$162,Base!$A$3:$A$5001,"&gt;="&amp;$C$7,Base!$A$3:$A$5001,"&lt;="&amp;$B189,Base!$X$3:$X$5001,"&lt;&gt;"))))</f>
        <v/>
      </c>
      <c r="I189" t="str">
        <f>IF($A189&gt;$B$9,"",IF(COUNTIFS(Base!$B$3:$B$5001,I$162,Base!$A$3:$A$5001,"&gt;="&amp;$C$7,Base!$A$3:$A$5001,"&lt;="&amp;$B189,Base!$X$3:$X$5001,"&lt;&gt;")=0,"",SUMIFS(Base!$X$3:$X$5001,Base!$B$3:$B$5001,I$162,Base!$A$3:$A$5001,_xlfn.MAXIFS(Base!$A$3:$A$5001,Base!$B$3:$B$5001,I$162,Base!$A$3:$A$5001,"&gt;="&amp;$C$7,Base!$A$3:$A$5001,"&lt;="&amp;$B189,Base!$X$3:$X$5001,"&lt;&gt;"))))</f>
        <v/>
      </c>
      <c r="J189" t="str">
        <f>IF($A189&gt;$B$9,"",IF(COUNTIFS(Base!$B$3:$B$5001,J$162,Base!$A$3:$A$5001,"&gt;="&amp;$C$7,Base!$A$3:$A$5001,"&lt;="&amp;$B189,Base!$X$3:$X$5001,"&lt;&gt;")=0,"",SUMIFS(Base!$X$3:$X$5001,Base!$B$3:$B$5001,J$162,Base!$A$3:$A$5001,_xlfn.MAXIFS(Base!$A$3:$A$5001,Base!$B$3:$B$5001,J$162,Base!$A$3:$A$5001,"&gt;="&amp;$C$7,Base!$A$3:$A$5001,"&lt;="&amp;$B189,Base!$X$3:$X$5001,"&lt;&gt;"))))</f>
        <v/>
      </c>
      <c r="K189" t="str">
        <f>IF($A189&gt;$B$9,"",IF(COUNTIFS(Base!$B$3:$B$5001,K$162,Base!$A$3:$A$5001,"&gt;="&amp;$C$7,Base!$A$3:$A$5001,"&lt;="&amp;$B189,Base!$X$3:$X$5001,"&lt;&gt;")=0,"",SUMIFS(Base!$X$3:$X$5001,Base!$B$3:$B$5001,K$162,Base!$A$3:$A$5001,_xlfn.MAXIFS(Base!$A$3:$A$5001,Base!$B$3:$B$5001,K$162,Base!$A$3:$A$5001,"&gt;="&amp;$C$7,Base!$A$3:$A$5001,"&lt;="&amp;$B189,Base!$X$3:$X$5001,"&lt;&gt;"))))</f>
        <v/>
      </c>
    </row>
    <row r="190">
      <c r="A190">
        <v>28</v>
      </c>
      <c r="B190" s="152">
        <f>$B$39</f>
        <v>46293</v>
      </c>
      <c r="C190" t="str">
        <f>IF($A190&gt;$B$9,"",IF(COUNTIFS(Base!$B$3:$B$5001,C$162,Base!$A$3:$A$5001,"&gt;="&amp;$C$7,Base!$A$3:$A$5001,"&lt;="&amp;$B190,Base!$X$3:$X$5001,"&lt;&gt;")=0,"",SUMIFS(Base!$X$3:$X$5001,Base!$B$3:$B$5001,C$162,Base!$A$3:$A$5001,_xlfn.MAXIFS(Base!$A$3:$A$5001,Base!$B$3:$B$5001,C$162,Base!$A$3:$A$5001,"&gt;="&amp;$C$7,Base!$A$3:$A$5001,"&lt;="&amp;$B190,Base!$X$3:$X$5001,"&lt;&gt;"))))</f>
        <v/>
      </c>
      <c r="D190" t="str">
        <f>IF($A190&gt;$B$9,"",IF(COUNTIFS(Base!$B$3:$B$5001,D$162,Base!$A$3:$A$5001,"&gt;="&amp;$C$7,Base!$A$3:$A$5001,"&lt;="&amp;$B190,Base!$X$3:$X$5001,"&lt;&gt;")=0,"",SUMIFS(Base!$X$3:$X$5001,Base!$B$3:$B$5001,D$162,Base!$A$3:$A$5001,_xlfn.MAXIFS(Base!$A$3:$A$5001,Base!$B$3:$B$5001,D$162,Base!$A$3:$A$5001,"&gt;="&amp;$C$7,Base!$A$3:$A$5001,"&lt;="&amp;$B190,Base!$X$3:$X$5001,"&lt;&gt;"))))</f>
        <v/>
      </c>
      <c r="E190" t="str">
        <f>IF($A190&gt;$B$9,"",IF(COUNTIFS(Base!$B$3:$B$5001,E$162,Base!$A$3:$A$5001,"&gt;="&amp;$C$7,Base!$A$3:$A$5001,"&lt;="&amp;$B190,Base!$X$3:$X$5001,"&lt;&gt;")=0,"",SUMIFS(Base!$X$3:$X$5001,Base!$B$3:$B$5001,E$162,Base!$A$3:$A$5001,_xlfn.MAXIFS(Base!$A$3:$A$5001,Base!$B$3:$B$5001,E$162,Base!$A$3:$A$5001,"&gt;="&amp;$C$7,Base!$A$3:$A$5001,"&lt;="&amp;$B190,Base!$X$3:$X$5001,"&lt;&gt;"))))</f>
        <v/>
      </c>
      <c r="F190" t="str">
        <f>IF($A190&gt;$B$9,"",IF(COUNTIFS(Base!$B$3:$B$5001,F$162,Base!$A$3:$A$5001,"&gt;="&amp;$C$7,Base!$A$3:$A$5001,"&lt;="&amp;$B190,Base!$X$3:$X$5001,"&lt;&gt;")=0,"",SUMIFS(Base!$X$3:$X$5001,Base!$B$3:$B$5001,F$162,Base!$A$3:$A$5001,_xlfn.MAXIFS(Base!$A$3:$A$5001,Base!$B$3:$B$5001,F$162,Base!$A$3:$A$5001,"&gt;="&amp;$C$7,Base!$A$3:$A$5001,"&lt;="&amp;$B190,Base!$X$3:$X$5001,"&lt;&gt;"))))</f>
        <v/>
      </c>
      <c r="G190" t="str">
        <f>IF($A190&gt;$B$9,"",IF(COUNTIFS(Base!$B$3:$B$5001,G$162,Base!$A$3:$A$5001,"&gt;="&amp;$C$7,Base!$A$3:$A$5001,"&lt;="&amp;$B190,Base!$X$3:$X$5001,"&lt;&gt;")=0,"",SUMIFS(Base!$X$3:$X$5001,Base!$B$3:$B$5001,G$162,Base!$A$3:$A$5001,_xlfn.MAXIFS(Base!$A$3:$A$5001,Base!$B$3:$B$5001,G$162,Base!$A$3:$A$5001,"&gt;="&amp;$C$7,Base!$A$3:$A$5001,"&lt;="&amp;$B190,Base!$X$3:$X$5001,"&lt;&gt;"))))</f>
        <v/>
      </c>
      <c r="H190" t="str">
        <f>IF($A190&gt;$B$9,"",IF(COUNTIFS(Base!$B$3:$B$5001,H$162,Base!$A$3:$A$5001,"&gt;="&amp;$C$7,Base!$A$3:$A$5001,"&lt;="&amp;$B190,Base!$X$3:$X$5001,"&lt;&gt;")=0,"",SUMIFS(Base!$X$3:$X$5001,Base!$B$3:$B$5001,H$162,Base!$A$3:$A$5001,_xlfn.MAXIFS(Base!$A$3:$A$5001,Base!$B$3:$B$5001,H$162,Base!$A$3:$A$5001,"&gt;="&amp;$C$7,Base!$A$3:$A$5001,"&lt;="&amp;$B190,Base!$X$3:$X$5001,"&lt;&gt;"))))</f>
        <v/>
      </c>
      <c r="I190" t="str">
        <f>IF($A190&gt;$B$9,"",IF(COUNTIFS(Base!$B$3:$B$5001,I$162,Base!$A$3:$A$5001,"&gt;="&amp;$C$7,Base!$A$3:$A$5001,"&lt;="&amp;$B190,Base!$X$3:$X$5001,"&lt;&gt;")=0,"",SUMIFS(Base!$X$3:$X$5001,Base!$B$3:$B$5001,I$162,Base!$A$3:$A$5001,_xlfn.MAXIFS(Base!$A$3:$A$5001,Base!$B$3:$B$5001,I$162,Base!$A$3:$A$5001,"&gt;="&amp;$C$7,Base!$A$3:$A$5001,"&lt;="&amp;$B190,Base!$X$3:$X$5001,"&lt;&gt;"))))</f>
        <v/>
      </c>
      <c r="J190" t="str">
        <f>IF($A190&gt;$B$9,"",IF(COUNTIFS(Base!$B$3:$B$5001,J$162,Base!$A$3:$A$5001,"&gt;="&amp;$C$7,Base!$A$3:$A$5001,"&lt;="&amp;$B190,Base!$X$3:$X$5001,"&lt;&gt;")=0,"",SUMIFS(Base!$X$3:$X$5001,Base!$B$3:$B$5001,J$162,Base!$A$3:$A$5001,_xlfn.MAXIFS(Base!$A$3:$A$5001,Base!$B$3:$B$5001,J$162,Base!$A$3:$A$5001,"&gt;="&amp;$C$7,Base!$A$3:$A$5001,"&lt;="&amp;$B190,Base!$X$3:$X$5001,"&lt;&gt;"))))</f>
        <v/>
      </c>
      <c r="K190" t="str">
        <f>IF($A190&gt;$B$9,"",IF(COUNTIFS(Base!$B$3:$B$5001,K$162,Base!$A$3:$A$5001,"&gt;="&amp;$C$7,Base!$A$3:$A$5001,"&lt;="&amp;$B190,Base!$X$3:$X$5001,"&lt;&gt;")=0,"",SUMIFS(Base!$X$3:$X$5001,Base!$B$3:$B$5001,K$162,Base!$A$3:$A$5001,_xlfn.MAXIFS(Base!$A$3:$A$5001,Base!$B$3:$B$5001,K$162,Base!$A$3:$A$5001,"&gt;="&amp;$C$7,Base!$A$3:$A$5001,"&lt;="&amp;$B190,Base!$X$3:$X$5001,"&lt;&gt;"))))</f>
        <v/>
      </c>
    </row>
    <row r="191">
      <c r="A191">
        <v>29</v>
      </c>
      <c r="B191" s="152">
        <f>$B$40</f>
        <v>46294</v>
      </c>
      <c r="C191" t="str">
        <f>IF($A191&gt;$B$9,"",IF(COUNTIFS(Base!$B$3:$B$5001,C$162,Base!$A$3:$A$5001,"&gt;="&amp;$C$7,Base!$A$3:$A$5001,"&lt;="&amp;$B191,Base!$X$3:$X$5001,"&lt;&gt;")=0,"",SUMIFS(Base!$X$3:$X$5001,Base!$B$3:$B$5001,C$162,Base!$A$3:$A$5001,_xlfn.MAXIFS(Base!$A$3:$A$5001,Base!$B$3:$B$5001,C$162,Base!$A$3:$A$5001,"&gt;="&amp;$C$7,Base!$A$3:$A$5001,"&lt;="&amp;$B191,Base!$X$3:$X$5001,"&lt;&gt;"))))</f>
        <v/>
      </c>
      <c r="D191" t="str">
        <f>IF($A191&gt;$B$9,"",IF(COUNTIFS(Base!$B$3:$B$5001,D$162,Base!$A$3:$A$5001,"&gt;="&amp;$C$7,Base!$A$3:$A$5001,"&lt;="&amp;$B191,Base!$X$3:$X$5001,"&lt;&gt;")=0,"",SUMIFS(Base!$X$3:$X$5001,Base!$B$3:$B$5001,D$162,Base!$A$3:$A$5001,_xlfn.MAXIFS(Base!$A$3:$A$5001,Base!$B$3:$B$5001,D$162,Base!$A$3:$A$5001,"&gt;="&amp;$C$7,Base!$A$3:$A$5001,"&lt;="&amp;$B191,Base!$X$3:$X$5001,"&lt;&gt;"))))</f>
        <v/>
      </c>
      <c r="E191" t="str">
        <f>IF($A191&gt;$B$9,"",IF(COUNTIFS(Base!$B$3:$B$5001,E$162,Base!$A$3:$A$5001,"&gt;="&amp;$C$7,Base!$A$3:$A$5001,"&lt;="&amp;$B191,Base!$X$3:$X$5001,"&lt;&gt;")=0,"",SUMIFS(Base!$X$3:$X$5001,Base!$B$3:$B$5001,E$162,Base!$A$3:$A$5001,_xlfn.MAXIFS(Base!$A$3:$A$5001,Base!$B$3:$B$5001,E$162,Base!$A$3:$A$5001,"&gt;="&amp;$C$7,Base!$A$3:$A$5001,"&lt;="&amp;$B191,Base!$X$3:$X$5001,"&lt;&gt;"))))</f>
        <v/>
      </c>
      <c r="F191" t="str">
        <f>IF($A191&gt;$B$9,"",IF(COUNTIFS(Base!$B$3:$B$5001,F$162,Base!$A$3:$A$5001,"&gt;="&amp;$C$7,Base!$A$3:$A$5001,"&lt;="&amp;$B191,Base!$X$3:$X$5001,"&lt;&gt;")=0,"",SUMIFS(Base!$X$3:$X$5001,Base!$B$3:$B$5001,F$162,Base!$A$3:$A$5001,_xlfn.MAXIFS(Base!$A$3:$A$5001,Base!$B$3:$B$5001,F$162,Base!$A$3:$A$5001,"&gt;="&amp;$C$7,Base!$A$3:$A$5001,"&lt;="&amp;$B191,Base!$X$3:$X$5001,"&lt;&gt;"))))</f>
        <v/>
      </c>
      <c r="G191" t="str">
        <f>IF($A191&gt;$B$9,"",IF(COUNTIFS(Base!$B$3:$B$5001,G$162,Base!$A$3:$A$5001,"&gt;="&amp;$C$7,Base!$A$3:$A$5001,"&lt;="&amp;$B191,Base!$X$3:$X$5001,"&lt;&gt;")=0,"",SUMIFS(Base!$X$3:$X$5001,Base!$B$3:$B$5001,G$162,Base!$A$3:$A$5001,_xlfn.MAXIFS(Base!$A$3:$A$5001,Base!$B$3:$B$5001,G$162,Base!$A$3:$A$5001,"&gt;="&amp;$C$7,Base!$A$3:$A$5001,"&lt;="&amp;$B191,Base!$X$3:$X$5001,"&lt;&gt;"))))</f>
        <v/>
      </c>
      <c r="H191" t="str">
        <f>IF($A191&gt;$B$9,"",IF(COUNTIFS(Base!$B$3:$B$5001,H$162,Base!$A$3:$A$5001,"&gt;="&amp;$C$7,Base!$A$3:$A$5001,"&lt;="&amp;$B191,Base!$X$3:$X$5001,"&lt;&gt;")=0,"",SUMIFS(Base!$X$3:$X$5001,Base!$B$3:$B$5001,H$162,Base!$A$3:$A$5001,_xlfn.MAXIFS(Base!$A$3:$A$5001,Base!$B$3:$B$5001,H$162,Base!$A$3:$A$5001,"&gt;="&amp;$C$7,Base!$A$3:$A$5001,"&lt;="&amp;$B191,Base!$X$3:$X$5001,"&lt;&gt;"))))</f>
        <v/>
      </c>
      <c r="I191" t="str">
        <f>IF($A191&gt;$B$9,"",IF(COUNTIFS(Base!$B$3:$B$5001,I$162,Base!$A$3:$A$5001,"&gt;="&amp;$C$7,Base!$A$3:$A$5001,"&lt;="&amp;$B191,Base!$X$3:$X$5001,"&lt;&gt;")=0,"",SUMIFS(Base!$X$3:$X$5001,Base!$B$3:$B$5001,I$162,Base!$A$3:$A$5001,_xlfn.MAXIFS(Base!$A$3:$A$5001,Base!$B$3:$B$5001,I$162,Base!$A$3:$A$5001,"&gt;="&amp;$C$7,Base!$A$3:$A$5001,"&lt;="&amp;$B191,Base!$X$3:$X$5001,"&lt;&gt;"))))</f>
        <v/>
      </c>
      <c r="J191" t="str">
        <f>IF($A191&gt;$B$9,"",IF(COUNTIFS(Base!$B$3:$B$5001,J$162,Base!$A$3:$A$5001,"&gt;="&amp;$C$7,Base!$A$3:$A$5001,"&lt;="&amp;$B191,Base!$X$3:$X$5001,"&lt;&gt;")=0,"",SUMIFS(Base!$X$3:$X$5001,Base!$B$3:$B$5001,J$162,Base!$A$3:$A$5001,_xlfn.MAXIFS(Base!$A$3:$A$5001,Base!$B$3:$B$5001,J$162,Base!$A$3:$A$5001,"&gt;="&amp;$C$7,Base!$A$3:$A$5001,"&lt;="&amp;$B191,Base!$X$3:$X$5001,"&lt;&gt;"))))</f>
        <v/>
      </c>
      <c r="K191" t="str">
        <f>IF($A191&gt;$B$9,"",IF(COUNTIFS(Base!$B$3:$B$5001,K$162,Base!$A$3:$A$5001,"&gt;="&amp;$C$7,Base!$A$3:$A$5001,"&lt;="&amp;$B191,Base!$X$3:$X$5001,"&lt;&gt;")=0,"",SUMIFS(Base!$X$3:$X$5001,Base!$B$3:$B$5001,K$162,Base!$A$3:$A$5001,_xlfn.MAXIFS(Base!$A$3:$A$5001,Base!$B$3:$B$5001,K$162,Base!$A$3:$A$5001,"&gt;="&amp;$C$7,Base!$A$3:$A$5001,"&lt;="&amp;$B191,Base!$X$3:$X$5001,"&lt;&gt;"))))</f>
        <v/>
      </c>
    </row>
    <row r="192">
      <c r="A192">
        <v>30</v>
      </c>
      <c r="B192" s="152">
        <f>$B$41</f>
        <v>46295</v>
      </c>
      <c r="C192" t="str">
        <f>IF($A192&gt;$B$9,"",IF(COUNTIFS(Base!$B$3:$B$5001,C$162,Base!$A$3:$A$5001,"&gt;="&amp;$C$7,Base!$A$3:$A$5001,"&lt;="&amp;$B192,Base!$X$3:$X$5001,"&lt;&gt;")=0,"",SUMIFS(Base!$X$3:$X$5001,Base!$B$3:$B$5001,C$162,Base!$A$3:$A$5001,_xlfn.MAXIFS(Base!$A$3:$A$5001,Base!$B$3:$B$5001,C$162,Base!$A$3:$A$5001,"&gt;="&amp;$C$7,Base!$A$3:$A$5001,"&lt;="&amp;$B192,Base!$X$3:$X$5001,"&lt;&gt;"))))</f>
        <v/>
      </c>
      <c r="D192" t="str">
        <f>IF($A192&gt;$B$9,"",IF(COUNTIFS(Base!$B$3:$B$5001,D$162,Base!$A$3:$A$5001,"&gt;="&amp;$C$7,Base!$A$3:$A$5001,"&lt;="&amp;$B192,Base!$X$3:$X$5001,"&lt;&gt;")=0,"",SUMIFS(Base!$X$3:$X$5001,Base!$B$3:$B$5001,D$162,Base!$A$3:$A$5001,_xlfn.MAXIFS(Base!$A$3:$A$5001,Base!$B$3:$B$5001,D$162,Base!$A$3:$A$5001,"&gt;="&amp;$C$7,Base!$A$3:$A$5001,"&lt;="&amp;$B192,Base!$X$3:$X$5001,"&lt;&gt;"))))</f>
        <v/>
      </c>
      <c r="E192" t="str">
        <f>IF($A192&gt;$B$9,"",IF(COUNTIFS(Base!$B$3:$B$5001,E$162,Base!$A$3:$A$5001,"&gt;="&amp;$C$7,Base!$A$3:$A$5001,"&lt;="&amp;$B192,Base!$X$3:$X$5001,"&lt;&gt;")=0,"",SUMIFS(Base!$X$3:$X$5001,Base!$B$3:$B$5001,E$162,Base!$A$3:$A$5001,_xlfn.MAXIFS(Base!$A$3:$A$5001,Base!$B$3:$B$5001,E$162,Base!$A$3:$A$5001,"&gt;="&amp;$C$7,Base!$A$3:$A$5001,"&lt;="&amp;$B192,Base!$X$3:$X$5001,"&lt;&gt;"))))</f>
        <v/>
      </c>
      <c r="F192" t="str">
        <f>IF($A192&gt;$B$9,"",IF(COUNTIFS(Base!$B$3:$B$5001,F$162,Base!$A$3:$A$5001,"&gt;="&amp;$C$7,Base!$A$3:$A$5001,"&lt;="&amp;$B192,Base!$X$3:$X$5001,"&lt;&gt;")=0,"",SUMIFS(Base!$X$3:$X$5001,Base!$B$3:$B$5001,F$162,Base!$A$3:$A$5001,_xlfn.MAXIFS(Base!$A$3:$A$5001,Base!$B$3:$B$5001,F$162,Base!$A$3:$A$5001,"&gt;="&amp;$C$7,Base!$A$3:$A$5001,"&lt;="&amp;$B192,Base!$X$3:$X$5001,"&lt;&gt;"))))</f>
        <v/>
      </c>
      <c r="G192" t="str">
        <f>IF($A192&gt;$B$9,"",IF(COUNTIFS(Base!$B$3:$B$5001,G$162,Base!$A$3:$A$5001,"&gt;="&amp;$C$7,Base!$A$3:$A$5001,"&lt;="&amp;$B192,Base!$X$3:$X$5001,"&lt;&gt;")=0,"",SUMIFS(Base!$X$3:$X$5001,Base!$B$3:$B$5001,G$162,Base!$A$3:$A$5001,_xlfn.MAXIFS(Base!$A$3:$A$5001,Base!$B$3:$B$5001,G$162,Base!$A$3:$A$5001,"&gt;="&amp;$C$7,Base!$A$3:$A$5001,"&lt;="&amp;$B192,Base!$X$3:$X$5001,"&lt;&gt;"))))</f>
        <v/>
      </c>
      <c r="H192" t="str">
        <f>IF($A192&gt;$B$9,"",IF(COUNTIFS(Base!$B$3:$B$5001,H$162,Base!$A$3:$A$5001,"&gt;="&amp;$C$7,Base!$A$3:$A$5001,"&lt;="&amp;$B192,Base!$X$3:$X$5001,"&lt;&gt;")=0,"",SUMIFS(Base!$X$3:$X$5001,Base!$B$3:$B$5001,H$162,Base!$A$3:$A$5001,_xlfn.MAXIFS(Base!$A$3:$A$5001,Base!$B$3:$B$5001,H$162,Base!$A$3:$A$5001,"&gt;="&amp;$C$7,Base!$A$3:$A$5001,"&lt;="&amp;$B192,Base!$X$3:$X$5001,"&lt;&gt;"))))</f>
        <v/>
      </c>
      <c r="I192" t="str">
        <f>IF($A192&gt;$B$9,"",IF(COUNTIFS(Base!$B$3:$B$5001,I$162,Base!$A$3:$A$5001,"&gt;="&amp;$C$7,Base!$A$3:$A$5001,"&lt;="&amp;$B192,Base!$X$3:$X$5001,"&lt;&gt;")=0,"",SUMIFS(Base!$X$3:$X$5001,Base!$B$3:$B$5001,I$162,Base!$A$3:$A$5001,_xlfn.MAXIFS(Base!$A$3:$A$5001,Base!$B$3:$B$5001,I$162,Base!$A$3:$A$5001,"&gt;="&amp;$C$7,Base!$A$3:$A$5001,"&lt;="&amp;$B192,Base!$X$3:$X$5001,"&lt;&gt;"))))</f>
        <v/>
      </c>
      <c r="J192" t="str">
        <f>IF($A192&gt;$B$9,"",IF(COUNTIFS(Base!$B$3:$B$5001,J$162,Base!$A$3:$A$5001,"&gt;="&amp;$C$7,Base!$A$3:$A$5001,"&lt;="&amp;$B192,Base!$X$3:$X$5001,"&lt;&gt;")=0,"",SUMIFS(Base!$X$3:$X$5001,Base!$B$3:$B$5001,J$162,Base!$A$3:$A$5001,_xlfn.MAXIFS(Base!$A$3:$A$5001,Base!$B$3:$B$5001,J$162,Base!$A$3:$A$5001,"&gt;="&amp;$C$7,Base!$A$3:$A$5001,"&lt;="&amp;$B192,Base!$X$3:$X$5001,"&lt;&gt;"))))</f>
        <v/>
      </c>
      <c r="K192" t="str">
        <f>IF($A192&gt;$B$9,"",IF(COUNTIFS(Base!$B$3:$B$5001,K$162,Base!$A$3:$A$5001,"&gt;="&amp;$C$7,Base!$A$3:$A$5001,"&lt;="&amp;$B192,Base!$X$3:$X$5001,"&lt;&gt;")=0,"",SUMIFS(Base!$X$3:$X$5001,Base!$B$3:$B$5001,K$162,Base!$A$3:$A$5001,_xlfn.MAXIFS(Base!$A$3:$A$5001,Base!$B$3:$B$5001,K$162,Base!$A$3:$A$5001,"&gt;="&amp;$C$7,Base!$A$3:$A$5001,"&lt;="&amp;$B192,Base!$X$3:$X$5001,"&lt;&gt;"))))</f>
        <v/>
      </c>
    </row>
    <row r="193">
      <c r="A193">
        <v>31</v>
      </c>
      <c r="B193" s="152" t="str">
        <f>$B$42</f>
        <v/>
      </c>
      <c r="C193" t="str">
        <f>IF($A193&gt;$B$9,"",IF(COUNTIFS(Base!$B$3:$B$5001,C$162,Base!$A$3:$A$5001,"&gt;="&amp;$C$7,Base!$A$3:$A$5001,"&lt;="&amp;$B193,Base!$X$3:$X$5001,"&lt;&gt;")=0,"",SUMIFS(Base!$X$3:$X$5001,Base!$B$3:$B$5001,C$162,Base!$A$3:$A$5001,_xlfn.MAXIFS(Base!$A$3:$A$5001,Base!$B$3:$B$5001,C$162,Base!$A$3:$A$5001,"&gt;="&amp;$C$7,Base!$A$3:$A$5001,"&lt;="&amp;$B193,Base!$X$3:$X$5001,"&lt;&gt;"))))</f>
        <v/>
      </c>
      <c r="D193" t="str">
        <f>IF($A193&gt;$B$9,"",IF(COUNTIFS(Base!$B$3:$B$5001,D$162,Base!$A$3:$A$5001,"&gt;="&amp;$C$7,Base!$A$3:$A$5001,"&lt;="&amp;$B193,Base!$X$3:$X$5001,"&lt;&gt;")=0,"",SUMIFS(Base!$X$3:$X$5001,Base!$B$3:$B$5001,D$162,Base!$A$3:$A$5001,_xlfn.MAXIFS(Base!$A$3:$A$5001,Base!$B$3:$B$5001,D$162,Base!$A$3:$A$5001,"&gt;="&amp;$C$7,Base!$A$3:$A$5001,"&lt;="&amp;$B193,Base!$X$3:$X$5001,"&lt;&gt;"))))</f>
        <v/>
      </c>
      <c r="E193" t="str">
        <f>IF($A193&gt;$B$9,"",IF(COUNTIFS(Base!$B$3:$B$5001,E$162,Base!$A$3:$A$5001,"&gt;="&amp;$C$7,Base!$A$3:$A$5001,"&lt;="&amp;$B193,Base!$X$3:$X$5001,"&lt;&gt;")=0,"",SUMIFS(Base!$X$3:$X$5001,Base!$B$3:$B$5001,E$162,Base!$A$3:$A$5001,_xlfn.MAXIFS(Base!$A$3:$A$5001,Base!$B$3:$B$5001,E$162,Base!$A$3:$A$5001,"&gt;="&amp;$C$7,Base!$A$3:$A$5001,"&lt;="&amp;$B193,Base!$X$3:$X$5001,"&lt;&gt;"))))</f>
        <v/>
      </c>
      <c r="F193" t="str">
        <f>IF($A193&gt;$B$9,"",IF(COUNTIFS(Base!$B$3:$B$5001,F$162,Base!$A$3:$A$5001,"&gt;="&amp;$C$7,Base!$A$3:$A$5001,"&lt;="&amp;$B193,Base!$X$3:$X$5001,"&lt;&gt;")=0,"",SUMIFS(Base!$X$3:$X$5001,Base!$B$3:$B$5001,F$162,Base!$A$3:$A$5001,_xlfn.MAXIFS(Base!$A$3:$A$5001,Base!$B$3:$B$5001,F$162,Base!$A$3:$A$5001,"&gt;="&amp;$C$7,Base!$A$3:$A$5001,"&lt;="&amp;$B193,Base!$X$3:$X$5001,"&lt;&gt;"))))</f>
        <v/>
      </c>
      <c r="G193" t="str">
        <f>IF($A193&gt;$B$9,"",IF(COUNTIFS(Base!$B$3:$B$5001,G$162,Base!$A$3:$A$5001,"&gt;="&amp;$C$7,Base!$A$3:$A$5001,"&lt;="&amp;$B193,Base!$X$3:$X$5001,"&lt;&gt;")=0,"",SUMIFS(Base!$X$3:$X$5001,Base!$B$3:$B$5001,G$162,Base!$A$3:$A$5001,_xlfn.MAXIFS(Base!$A$3:$A$5001,Base!$B$3:$B$5001,G$162,Base!$A$3:$A$5001,"&gt;="&amp;$C$7,Base!$A$3:$A$5001,"&lt;="&amp;$B193,Base!$X$3:$X$5001,"&lt;&gt;"))))</f>
        <v/>
      </c>
      <c r="H193" t="str">
        <f>IF($A193&gt;$B$9,"",IF(COUNTIFS(Base!$B$3:$B$5001,H$162,Base!$A$3:$A$5001,"&gt;="&amp;$C$7,Base!$A$3:$A$5001,"&lt;="&amp;$B193,Base!$X$3:$X$5001,"&lt;&gt;")=0,"",SUMIFS(Base!$X$3:$X$5001,Base!$B$3:$B$5001,H$162,Base!$A$3:$A$5001,_xlfn.MAXIFS(Base!$A$3:$A$5001,Base!$B$3:$B$5001,H$162,Base!$A$3:$A$5001,"&gt;="&amp;$C$7,Base!$A$3:$A$5001,"&lt;="&amp;$B193,Base!$X$3:$X$5001,"&lt;&gt;"))))</f>
        <v/>
      </c>
      <c r="I193" t="str">
        <f>IF($A193&gt;$B$9,"",IF(COUNTIFS(Base!$B$3:$B$5001,I$162,Base!$A$3:$A$5001,"&gt;="&amp;$C$7,Base!$A$3:$A$5001,"&lt;="&amp;$B193,Base!$X$3:$X$5001,"&lt;&gt;")=0,"",SUMIFS(Base!$X$3:$X$5001,Base!$B$3:$B$5001,I$162,Base!$A$3:$A$5001,_xlfn.MAXIFS(Base!$A$3:$A$5001,Base!$B$3:$B$5001,I$162,Base!$A$3:$A$5001,"&gt;="&amp;$C$7,Base!$A$3:$A$5001,"&lt;="&amp;$B193,Base!$X$3:$X$5001,"&lt;&gt;"))))</f>
        <v/>
      </c>
      <c r="J193" t="str">
        <f>IF($A193&gt;$B$9,"",IF(COUNTIFS(Base!$B$3:$B$5001,J$162,Base!$A$3:$A$5001,"&gt;="&amp;$C$7,Base!$A$3:$A$5001,"&lt;="&amp;$B193,Base!$X$3:$X$5001,"&lt;&gt;")=0,"",SUMIFS(Base!$X$3:$X$5001,Base!$B$3:$B$5001,J$162,Base!$A$3:$A$5001,_xlfn.MAXIFS(Base!$A$3:$A$5001,Base!$B$3:$B$5001,J$162,Base!$A$3:$A$5001,"&gt;="&amp;$C$7,Base!$A$3:$A$5001,"&lt;="&amp;$B193,Base!$X$3:$X$5001,"&lt;&gt;"))))</f>
        <v/>
      </c>
      <c r="K193" t="str">
        <f>IF($A193&gt;$B$9,"",IF(COUNTIFS(Base!$B$3:$B$5001,K$162,Base!$A$3:$A$5001,"&gt;="&amp;$C$7,Base!$A$3:$A$5001,"&lt;="&amp;$B193,Base!$X$3:$X$5001,"&lt;&gt;")=0,"",SUMIFS(Base!$X$3:$X$5001,Base!$B$3:$B$5001,K$162,Base!$A$3:$A$5001,_xlfn.MAXIFS(Base!$A$3:$A$5001,Base!$B$3:$B$5001,K$162,Base!$A$3:$A$5001,"&gt;="&amp;$C$7,Base!$A$3:$A$5001,"&lt;="&amp;$B193,Base!$X$3:$X$5001,"&lt;&gt;"))))</f>
        <v/>
      </c>
    </row>
    <row r="194">
      <c r="A194" t="inlineStr">
        <is>
          <t xml:space="preserve">Mês anterior (último)</t>
        </is>
      </c>
      <c r="C194" t="str">
        <f>IF(COUNTIFS(Base!$B$3:$B$5001,C$162,Base!$A$3:$A$5001,"&gt;="&amp;$C$8,Base!$A$3:$A$5001,"&lt;="&amp;$D$8,Base!$X$3:$X$5001,"&lt;&gt;")=0,"",SUMIFS(Base!$X$3:$X$5001,Base!$B$3:$B$5001,C$162,Base!$A$3:$A$5001,_xlfn.MAXIFS(Base!$A$3:$A$5001,Base!$B$3:$B$5001,C$162,Base!$A$3:$A$5001,"&gt;="&amp;$C$8,Base!$A$3:$A$5001,"&lt;="&amp;$D$8,Base!$X$3:$X$5001,"&lt;&gt;")))</f>
        <v/>
      </c>
      <c r="D194" t="str">
        <f>IF(COUNTIFS(Base!$B$3:$B$5001,D$162,Base!$A$3:$A$5001,"&gt;="&amp;$C$8,Base!$A$3:$A$5001,"&lt;="&amp;$D$8,Base!$X$3:$X$5001,"&lt;&gt;")=0,"",SUMIFS(Base!$X$3:$X$5001,Base!$B$3:$B$5001,D$162,Base!$A$3:$A$5001,_xlfn.MAXIFS(Base!$A$3:$A$5001,Base!$B$3:$B$5001,D$162,Base!$A$3:$A$5001,"&gt;="&amp;$C$8,Base!$A$3:$A$5001,"&lt;="&amp;$D$8,Base!$X$3:$X$5001,"&lt;&gt;")))</f>
        <v/>
      </c>
      <c r="E194" t="str">
        <f>IF(COUNTIFS(Base!$B$3:$B$5001,E$162,Base!$A$3:$A$5001,"&gt;="&amp;$C$8,Base!$A$3:$A$5001,"&lt;="&amp;$D$8,Base!$X$3:$X$5001,"&lt;&gt;")=0,"",SUMIFS(Base!$X$3:$X$5001,Base!$B$3:$B$5001,E$162,Base!$A$3:$A$5001,_xlfn.MAXIFS(Base!$A$3:$A$5001,Base!$B$3:$B$5001,E$162,Base!$A$3:$A$5001,"&gt;="&amp;$C$8,Base!$A$3:$A$5001,"&lt;="&amp;$D$8,Base!$X$3:$X$5001,"&lt;&gt;")))</f>
        <v/>
      </c>
      <c r="F194" t="str">
        <f>IF(COUNTIFS(Base!$B$3:$B$5001,F$162,Base!$A$3:$A$5001,"&gt;="&amp;$C$8,Base!$A$3:$A$5001,"&lt;="&amp;$D$8,Base!$X$3:$X$5001,"&lt;&gt;")=0,"",SUMIFS(Base!$X$3:$X$5001,Base!$B$3:$B$5001,F$162,Base!$A$3:$A$5001,_xlfn.MAXIFS(Base!$A$3:$A$5001,Base!$B$3:$B$5001,F$162,Base!$A$3:$A$5001,"&gt;="&amp;$C$8,Base!$A$3:$A$5001,"&lt;="&amp;$D$8,Base!$X$3:$X$5001,"&lt;&gt;")))</f>
        <v/>
      </c>
      <c r="G194" t="str">
        <f>IF(COUNTIFS(Base!$B$3:$B$5001,G$162,Base!$A$3:$A$5001,"&gt;="&amp;$C$8,Base!$A$3:$A$5001,"&lt;="&amp;$D$8,Base!$X$3:$X$5001,"&lt;&gt;")=0,"",SUMIFS(Base!$X$3:$X$5001,Base!$B$3:$B$5001,G$162,Base!$A$3:$A$5001,_xlfn.MAXIFS(Base!$A$3:$A$5001,Base!$B$3:$B$5001,G$162,Base!$A$3:$A$5001,"&gt;="&amp;$C$8,Base!$A$3:$A$5001,"&lt;="&amp;$D$8,Base!$X$3:$X$5001,"&lt;&gt;")))</f>
        <v/>
      </c>
      <c r="H194" t="str">
        <f>IF(COUNTIFS(Base!$B$3:$B$5001,H$162,Base!$A$3:$A$5001,"&gt;="&amp;$C$8,Base!$A$3:$A$5001,"&lt;="&amp;$D$8,Base!$X$3:$X$5001,"&lt;&gt;")=0,"",SUMIFS(Base!$X$3:$X$5001,Base!$B$3:$B$5001,H$162,Base!$A$3:$A$5001,_xlfn.MAXIFS(Base!$A$3:$A$5001,Base!$B$3:$B$5001,H$162,Base!$A$3:$A$5001,"&gt;="&amp;$C$8,Base!$A$3:$A$5001,"&lt;="&amp;$D$8,Base!$X$3:$X$5001,"&lt;&gt;")))</f>
        <v/>
      </c>
      <c r="I194" t="str">
        <f>IF(COUNTIFS(Base!$B$3:$B$5001,I$162,Base!$A$3:$A$5001,"&gt;="&amp;$C$8,Base!$A$3:$A$5001,"&lt;="&amp;$D$8,Base!$X$3:$X$5001,"&lt;&gt;")=0,"",SUMIFS(Base!$X$3:$X$5001,Base!$B$3:$B$5001,I$162,Base!$A$3:$A$5001,_xlfn.MAXIFS(Base!$A$3:$A$5001,Base!$B$3:$B$5001,I$162,Base!$A$3:$A$5001,"&gt;="&amp;$C$8,Base!$A$3:$A$5001,"&lt;="&amp;$D$8,Base!$X$3:$X$5001,"&lt;&gt;")))</f>
        <v/>
      </c>
      <c r="J194" t="str">
        <f>IF(COUNTIFS(Base!$B$3:$B$5001,J$162,Base!$A$3:$A$5001,"&gt;="&amp;$C$8,Base!$A$3:$A$5001,"&lt;="&amp;$D$8,Base!$X$3:$X$5001,"&lt;&gt;")=0,"",SUMIFS(Base!$X$3:$X$5001,Base!$B$3:$B$5001,J$162,Base!$A$3:$A$5001,_xlfn.MAXIFS(Base!$A$3:$A$5001,Base!$B$3:$B$5001,J$162,Base!$A$3:$A$5001,"&gt;="&amp;$C$8,Base!$A$3:$A$5001,"&lt;="&amp;$D$8,Base!$X$3:$X$5001,"&lt;&gt;")))</f>
        <v/>
      </c>
      <c r="K194" t="str">
        <f>IF(COUNTIFS(Base!$B$3:$B$5001,K$162,Base!$A$3:$A$5001,"&gt;="&amp;$C$8,Base!$A$3:$A$5001,"&lt;="&amp;$D$8,Base!$X$3:$X$5001,"&lt;&gt;")=0,"",SUMIFS(Base!$X$3:$X$5001,Base!$B$3:$B$5001,K$162,Base!$A$3:$A$5001,_xlfn.MAXIFS(Base!$A$3:$A$5001,Base!$B$3:$B$5001,K$162,Base!$A$3:$A$5001,"&gt;="&amp;$C$8,Base!$A$3:$A$5001,"&lt;="&amp;$D$8,Base!$X$3:$X$5001,"&lt;&gt;")))</f>
        <v/>
      </c>
    </row>
    <row r="197">
      <c r="A197" s="145" t="inlineStr">
        <is>
          <t xml:space="preserve">Posições Ocupadas</t>
        </is>
      </c>
      <c r="B197" s="145" t="inlineStr">
        <is>
          <t xml:space="preserve">Data</t>
        </is>
      </c>
      <c r="C197" s="145" t="inlineStr">
        <is>
          <t xml:space="preserve">BASF</t>
        </is>
      </c>
      <c r="D197" s="145" t="inlineStr">
        <is>
          <t xml:space="preserve">BEAUTYBIZ</t>
        </is>
      </c>
      <c r="E197" s="145" t="inlineStr">
        <is>
          <t xml:space="preserve">BOTICÁRIO</t>
        </is>
      </c>
      <c r="F197" s="145" t="inlineStr">
        <is>
          <t xml:space="preserve">SUPPLY</t>
        </is>
      </c>
      <c r="G197" s="145" t="inlineStr">
        <is>
          <t xml:space="preserve">GE VERNOVA</t>
        </is>
      </c>
      <c r="H197" s="145" t="inlineStr">
        <is>
          <t xml:space="preserve">VESTAS</t>
        </is>
      </c>
      <c r="I197" s="145" t="inlineStr">
        <is>
          <t xml:space="preserve">VEDACIT</t>
        </is>
      </c>
      <c r="J197" s="145" t="inlineStr">
        <is>
          <t xml:space="preserve">OMNLIFE</t>
        </is>
      </c>
      <c r="K197" s="145" t="inlineStr">
        <is>
          <t xml:space="preserve">ALPARGATAS</t>
        </is>
      </c>
    </row>
    <row r="198">
      <c r="A198">
        <v>1</v>
      </c>
      <c r="B198" s="152">
        <f>$B$12</f>
        <v>46266</v>
      </c>
      <c r="C198" t="str">
        <f>IF($A198&gt;$B$9,"",IF(COUNTIFS(Base!$B$3:$B$5001,C$197,Base!$A$3:$A$5001,"&gt;="&amp;$C$7,Base!$A$3:$A$5001,"&lt;="&amp;$B198,Base!$Y$3:$Y$5001,"&lt;&gt;")=0,"",SUMIFS(Base!$Y$3:$Y$5001,Base!$B$3:$B$5001,C$197,Base!$A$3:$A$5001,_xlfn.MAXIFS(Base!$A$3:$A$5001,Base!$B$3:$B$5001,C$197,Base!$A$3:$A$5001,"&gt;="&amp;$C$7,Base!$A$3:$A$5001,"&lt;="&amp;$B198,Base!$Y$3:$Y$5001,"&lt;&gt;"))))</f>
        <v/>
      </c>
      <c r="D198" t="str">
        <f>IF($A198&gt;$B$9,"",IF(COUNTIFS(Base!$B$3:$B$5001,D$197,Base!$A$3:$A$5001,"&gt;="&amp;$C$7,Base!$A$3:$A$5001,"&lt;="&amp;$B198,Base!$Y$3:$Y$5001,"&lt;&gt;")=0,"",SUMIFS(Base!$Y$3:$Y$5001,Base!$B$3:$B$5001,D$197,Base!$A$3:$A$5001,_xlfn.MAXIFS(Base!$A$3:$A$5001,Base!$B$3:$B$5001,D$197,Base!$A$3:$A$5001,"&gt;="&amp;$C$7,Base!$A$3:$A$5001,"&lt;="&amp;$B198,Base!$Y$3:$Y$5001,"&lt;&gt;"))))</f>
        <v/>
      </c>
      <c r="E198" t="str">
        <f>IF($A198&gt;$B$9,"",IF(COUNTIFS(Base!$B$3:$B$5001,E$197,Base!$A$3:$A$5001,"&gt;="&amp;$C$7,Base!$A$3:$A$5001,"&lt;="&amp;$B198,Base!$Y$3:$Y$5001,"&lt;&gt;")=0,"",SUMIFS(Base!$Y$3:$Y$5001,Base!$B$3:$B$5001,E$197,Base!$A$3:$A$5001,_xlfn.MAXIFS(Base!$A$3:$A$5001,Base!$B$3:$B$5001,E$197,Base!$A$3:$A$5001,"&gt;="&amp;$C$7,Base!$A$3:$A$5001,"&lt;="&amp;$B198,Base!$Y$3:$Y$5001,"&lt;&gt;"))))</f>
        <v/>
      </c>
      <c r="F198" t="str">
        <f>IF($A198&gt;$B$9,"",IF(COUNTIFS(Base!$B$3:$B$5001,F$197,Base!$A$3:$A$5001,"&gt;="&amp;$C$7,Base!$A$3:$A$5001,"&lt;="&amp;$B198,Base!$Y$3:$Y$5001,"&lt;&gt;")=0,"",SUMIFS(Base!$Y$3:$Y$5001,Base!$B$3:$B$5001,F$197,Base!$A$3:$A$5001,_xlfn.MAXIFS(Base!$A$3:$A$5001,Base!$B$3:$B$5001,F$197,Base!$A$3:$A$5001,"&gt;="&amp;$C$7,Base!$A$3:$A$5001,"&lt;="&amp;$B198,Base!$Y$3:$Y$5001,"&lt;&gt;"))))</f>
        <v/>
      </c>
      <c r="G198" t="str">
        <f>IF($A198&gt;$B$9,"",IF(COUNTIFS(Base!$B$3:$B$5001,G$197,Base!$A$3:$A$5001,"&gt;="&amp;$C$7,Base!$A$3:$A$5001,"&lt;="&amp;$B198,Base!$Y$3:$Y$5001,"&lt;&gt;")=0,"",SUMIFS(Base!$Y$3:$Y$5001,Base!$B$3:$B$5001,G$197,Base!$A$3:$A$5001,_xlfn.MAXIFS(Base!$A$3:$A$5001,Base!$B$3:$B$5001,G$197,Base!$A$3:$A$5001,"&gt;="&amp;$C$7,Base!$A$3:$A$5001,"&lt;="&amp;$B198,Base!$Y$3:$Y$5001,"&lt;&gt;"))))</f>
        <v/>
      </c>
      <c r="H198" t="str">
        <f>IF($A198&gt;$B$9,"",IF(COUNTIFS(Base!$B$3:$B$5001,H$197,Base!$A$3:$A$5001,"&gt;="&amp;$C$7,Base!$A$3:$A$5001,"&lt;="&amp;$B198,Base!$Y$3:$Y$5001,"&lt;&gt;")=0,"",SUMIFS(Base!$Y$3:$Y$5001,Base!$B$3:$B$5001,H$197,Base!$A$3:$A$5001,_xlfn.MAXIFS(Base!$A$3:$A$5001,Base!$B$3:$B$5001,H$197,Base!$A$3:$A$5001,"&gt;="&amp;$C$7,Base!$A$3:$A$5001,"&lt;="&amp;$B198,Base!$Y$3:$Y$5001,"&lt;&gt;"))))</f>
        <v/>
      </c>
      <c r="I198" t="str">
        <f>IF($A198&gt;$B$9,"",IF(COUNTIFS(Base!$B$3:$B$5001,I$197,Base!$A$3:$A$5001,"&gt;="&amp;$C$7,Base!$A$3:$A$5001,"&lt;="&amp;$B198,Base!$Y$3:$Y$5001,"&lt;&gt;")=0,"",SUMIFS(Base!$Y$3:$Y$5001,Base!$B$3:$B$5001,I$197,Base!$A$3:$A$5001,_xlfn.MAXIFS(Base!$A$3:$A$5001,Base!$B$3:$B$5001,I$197,Base!$A$3:$A$5001,"&gt;="&amp;$C$7,Base!$A$3:$A$5001,"&lt;="&amp;$B198,Base!$Y$3:$Y$5001,"&lt;&gt;"))))</f>
        <v/>
      </c>
      <c r="J198" t="str">
        <f>IF($A198&gt;$B$9,"",IF(COUNTIFS(Base!$B$3:$B$5001,J$197,Base!$A$3:$A$5001,"&gt;="&amp;$C$7,Base!$A$3:$A$5001,"&lt;="&amp;$B198,Base!$Y$3:$Y$5001,"&lt;&gt;")=0,"",SUMIFS(Base!$Y$3:$Y$5001,Base!$B$3:$B$5001,J$197,Base!$A$3:$A$5001,_xlfn.MAXIFS(Base!$A$3:$A$5001,Base!$B$3:$B$5001,J$197,Base!$A$3:$A$5001,"&gt;="&amp;$C$7,Base!$A$3:$A$5001,"&lt;="&amp;$B198,Base!$Y$3:$Y$5001,"&lt;&gt;"))))</f>
        <v/>
      </c>
      <c r="K198" t="str">
        <f>IF($A198&gt;$B$9,"",IF(COUNTIFS(Base!$B$3:$B$5001,K$197,Base!$A$3:$A$5001,"&gt;="&amp;$C$7,Base!$A$3:$A$5001,"&lt;="&amp;$B198,Base!$Y$3:$Y$5001,"&lt;&gt;")=0,"",SUMIFS(Base!$Y$3:$Y$5001,Base!$B$3:$B$5001,K$197,Base!$A$3:$A$5001,_xlfn.MAXIFS(Base!$A$3:$A$5001,Base!$B$3:$B$5001,K$197,Base!$A$3:$A$5001,"&gt;="&amp;$C$7,Base!$A$3:$A$5001,"&lt;="&amp;$B198,Base!$Y$3:$Y$5001,"&lt;&gt;"))))</f>
        <v/>
      </c>
    </row>
    <row r="199">
      <c r="A199">
        <v>2</v>
      </c>
      <c r="B199" s="152">
        <f>$B$13</f>
        <v>46267</v>
      </c>
      <c r="C199" t="str">
        <f>IF($A199&gt;$B$9,"",IF(COUNTIFS(Base!$B$3:$B$5001,C$197,Base!$A$3:$A$5001,"&gt;="&amp;$C$7,Base!$A$3:$A$5001,"&lt;="&amp;$B199,Base!$Y$3:$Y$5001,"&lt;&gt;")=0,"",SUMIFS(Base!$Y$3:$Y$5001,Base!$B$3:$B$5001,C$197,Base!$A$3:$A$5001,_xlfn.MAXIFS(Base!$A$3:$A$5001,Base!$B$3:$B$5001,C$197,Base!$A$3:$A$5001,"&gt;="&amp;$C$7,Base!$A$3:$A$5001,"&lt;="&amp;$B199,Base!$Y$3:$Y$5001,"&lt;&gt;"))))</f>
        <v/>
      </c>
      <c r="D199" t="str">
        <f>IF($A199&gt;$B$9,"",IF(COUNTIFS(Base!$B$3:$B$5001,D$197,Base!$A$3:$A$5001,"&gt;="&amp;$C$7,Base!$A$3:$A$5001,"&lt;="&amp;$B199,Base!$Y$3:$Y$5001,"&lt;&gt;")=0,"",SUMIFS(Base!$Y$3:$Y$5001,Base!$B$3:$B$5001,D$197,Base!$A$3:$A$5001,_xlfn.MAXIFS(Base!$A$3:$A$5001,Base!$B$3:$B$5001,D$197,Base!$A$3:$A$5001,"&gt;="&amp;$C$7,Base!$A$3:$A$5001,"&lt;="&amp;$B199,Base!$Y$3:$Y$5001,"&lt;&gt;"))))</f>
        <v/>
      </c>
      <c r="E199" t="str">
        <f>IF($A199&gt;$B$9,"",IF(COUNTIFS(Base!$B$3:$B$5001,E$197,Base!$A$3:$A$5001,"&gt;="&amp;$C$7,Base!$A$3:$A$5001,"&lt;="&amp;$B199,Base!$Y$3:$Y$5001,"&lt;&gt;")=0,"",SUMIFS(Base!$Y$3:$Y$5001,Base!$B$3:$B$5001,E$197,Base!$A$3:$A$5001,_xlfn.MAXIFS(Base!$A$3:$A$5001,Base!$B$3:$B$5001,E$197,Base!$A$3:$A$5001,"&gt;="&amp;$C$7,Base!$A$3:$A$5001,"&lt;="&amp;$B199,Base!$Y$3:$Y$5001,"&lt;&gt;"))))</f>
        <v/>
      </c>
      <c r="F199" t="str">
        <f>IF($A199&gt;$B$9,"",IF(COUNTIFS(Base!$B$3:$B$5001,F$197,Base!$A$3:$A$5001,"&gt;="&amp;$C$7,Base!$A$3:$A$5001,"&lt;="&amp;$B199,Base!$Y$3:$Y$5001,"&lt;&gt;")=0,"",SUMIFS(Base!$Y$3:$Y$5001,Base!$B$3:$B$5001,F$197,Base!$A$3:$A$5001,_xlfn.MAXIFS(Base!$A$3:$A$5001,Base!$B$3:$B$5001,F$197,Base!$A$3:$A$5001,"&gt;="&amp;$C$7,Base!$A$3:$A$5001,"&lt;="&amp;$B199,Base!$Y$3:$Y$5001,"&lt;&gt;"))))</f>
        <v/>
      </c>
      <c r="G199" t="str">
        <f>IF($A199&gt;$B$9,"",IF(COUNTIFS(Base!$B$3:$B$5001,G$197,Base!$A$3:$A$5001,"&gt;="&amp;$C$7,Base!$A$3:$A$5001,"&lt;="&amp;$B199,Base!$Y$3:$Y$5001,"&lt;&gt;")=0,"",SUMIFS(Base!$Y$3:$Y$5001,Base!$B$3:$B$5001,G$197,Base!$A$3:$A$5001,_xlfn.MAXIFS(Base!$A$3:$A$5001,Base!$B$3:$B$5001,G$197,Base!$A$3:$A$5001,"&gt;="&amp;$C$7,Base!$A$3:$A$5001,"&lt;="&amp;$B199,Base!$Y$3:$Y$5001,"&lt;&gt;"))))</f>
        <v/>
      </c>
      <c r="H199" t="str">
        <f>IF($A199&gt;$B$9,"",IF(COUNTIFS(Base!$B$3:$B$5001,H$197,Base!$A$3:$A$5001,"&gt;="&amp;$C$7,Base!$A$3:$A$5001,"&lt;="&amp;$B199,Base!$Y$3:$Y$5001,"&lt;&gt;")=0,"",SUMIFS(Base!$Y$3:$Y$5001,Base!$B$3:$B$5001,H$197,Base!$A$3:$A$5001,_xlfn.MAXIFS(Base!$A$3:$A$5001,Base!$B$3:$B$5001,H$197,Base!$A$3:$A$5001,"&gt;="&amp;$C$7,Base!$A$3:$A$5001,"&lt;="&amp;$B199,Base!$Y$3:$Y$5001,"&lt;&gt;"))))</f>
        <v/>
      </c>
      <c r="I199" t="str">
        <f>IF($A199&gt;$B$9,"",IF(COUNTIFS(Base!$B$3:$B$5001,I$197,Base!$A$3:$A$5001,"&gt;="&amp;$C$7,Base!$A$3:$A$5001,"&lt;="&amp;$B199,Base!$Y$3:$Y$5001,"&lt;&gt;")=0,"",SUMIFS(Base!$Y$3:$Y$5001,Base!$B$3:$B$5001,I$197,Base!$A$3:$A$5001,_xlfn.MAXIFS(Base!$A$3:$A$5001,Base!$B$3:$B$5001,I$197,Base!$A$3:$A$5001,"&gt;="&amp;$C$7,Base!$A$3:$A$5001,"&lt;="&amp;$B199,Base!$Y$3:$Y$5001,"&lt;&gt;"))))</f>
        <v/>
      </c>
      <c r="J199" t="str">
        <f>IF($A199&gt;$B$9,"",IF(COUNTIFS(Base!$B$3:$B$5001,J$197,Base!$A$3:$A$5001,"&gt;="&amp;$C$7,Base!$A$3:$A$5001,"&lt;="&amp;$B199,Base!$Y$3:$Y$5001,"&lt;&gt;")=0,"",SUMIFS(Base!$Y$3:$Y$5001,Base!$B$3:$B$5001,J$197,Base!$A$3:$A$5001,_xlfn.MAXIFS(Base!$A$3:$A$5001,Base!$B$3:$B$5001,J$197,Base!$A$3:$A$5001,"&gt;="&amp;$C$7,Base!$A$3:$A$5001,"&lt;="&amp;$B199,Base!$Y$3:$Y$5001,"&lt;&gt;"))))</f>
        <v/>
      </c>
      <c r="K199" t="str">
        <f>IF($A199&gt;$B$9,"",IF(COUNTIFS(Base!$B$3:$B$5001,K$197,Base!$A$3:$A$5001,"&gt;="&amp;$C$7,Base!$A$3:$A$5001,"&lt;="&amp;$B199,Base!$Y$3:$Y$5001,"&lt;&gt;")=0,"",SUMIFS(Base!$Y$3:$Y$5001,Base!$B$3:$B$5001,K$197,Base!$A$3:$A$5001,_xlfn.MAXIFS(Base!$A$3:$A$5001,Base!$B$3:$B$5001,K$197,Base!$A$3:$A$5001,"&gt;="&amp;$C$7,Base!$A$3:$A$5001,"&lt;="&amp;$B199,Base!$Y$3:$Y$5001,"&lt;&gt;"))))</f>
        <v/>
      </c>
    </row>
    <row r="200">
      <c r="A200">
        <v>3</v>
      </c>
      <c r="B200" s="152">
        <f>$B$14</f>
        <v>46268</v>
      </c>
      <c r="C200" t="str">
        <f>IF($A200&gt;$B$9,"",IF(COUNTIFS(Base!$B$3:$B$5001,C$197,Base!$A$3:$A$5001,"&gt;="&amp;$C$7,Base!$A$3:$A$5001,"&lt;="&amp;$B200,Base!$Y$3:$Y$5001,"&lt;&gt;")=0,"",SUMIFS(Base!$Y$3:$Y$5001,Base!$B$3:$B$5001,C$197,Base!$A$3:$A$5001,_xlfn.MAXIFS(Base!$A$3:$A$5001,Base!$B$3:$B$5001,C$197,Base!$A$3:$A$5001,"&gt;="&amp;$C$7,Base!$A$3:$A$5001,"&lt;="&amp;$B200,Base!$Y$3:$Y$5001,"&lt;&gt;"))))</f>
        <v/>
      </c>
      <c r="D200" t="str">
        <f>IF($A200&gt;$B$9,"",IF(COUNTIFS(Base!$B$3:$B$5001,D$197,Base!$A$3:$A$5001,"&gt;="&amp;$C$7,Base!$A$3:$A$5001,"&lt;="&amp;$B200,Base!$Y$3:$Y$5001,"&lt;&gt;")=0,"",SUMIFS(Base!$Y$3:$Y$5001,Base!$B$3:$B$5001,D$197,Base!$A$3:$A$5001,_xlfn.MAXIFS(Base!$A$3:$A$5001,Base!$B$3:$B$5001,D$197,Base!$A$3:$A$5001,"&gt;="&amp;$C$7,Base!$A$3:$A$5001,"&lt;="&amp;$B200,Base!$Y$3:$Y$5001,"&lt;&gt;"))))</f>
        <v/>
      </c>
      <c r="E200" t="str">
        <f>IF($A200&gt;$B$9,"",IF(COUNTIFS(Base!$B$3:$B$5001,E$197,Base!$A$3:$A$5001,"&gt;="&amp;$C$7,Base!$A$3:$A$5001,"&lt;="&amp;$B200,Base!$Y$3:$Y$5001,"&lt;&gt;")=0,"",SUMIFS(Base!$Y$3:$Y$5001,Base!$B$3:$B$5001,E$197,Base!$A$3:$A$5001,_xlfn.MAXIFS(Base!$A$3:$A$5001,Base!$B$3:$B$5001,E$197,Base!$A$3:$A$5001,"&gt;="&amp;$C$7,Base!$A$3:$A$5001,"&lt;="&amp;$B200,Base!$Y$3:$Y$5001,"&lt;&gt;"))))</f>
        <v/>
      </c>
      <c r="F200" t="str">
        <f>IF($A200&gt;$B$9,"",IF(COUNTIFS(Base!$B$3:$B$5001,F$197,Base!$A$3:$A$5001,"&gt;="&amp;$C$7,Base!$A$3:$A$5001,"&lt;="&amp;$B200,Base!$Y$3:$Y$5001,"&lt;&gt;")=0,"",SUMIFS(Base!$Y$3:$Y$5001,Base!$B$3:$B$5001,F$197,Base!$A$3:$A$5001,_xlfn.MAXIFS(Base!$A$3:$A$5001,Base!$B$3:$B$5001,F$197,Base!$A$3:$A$5001,"&gt;="&amp;$C$7,Base!$A$3:$A$5001,"&lt;="&amp;$B200,Base!$Y$3:$Y$5001,"&lt;&gt;"))))</f>
        <v/>
      </c>
      <c r="G200" t="str">
        <f>IF($A200&gt;$B$9,"",IF(COUNTIFS(Base!$B$3:$B$5001,G$197,Base!$A$3:$A$5001,"&gt;="&amp;$C$7,Base!$A$3:$A$5001,"&lt;="&amp;$B200,Base!$Y$3:$Y$5001,"&lt;&gt;")=0,"",SUMIFS(Base!$Y$3:$Y$5001,Base!$B$3:$B$5001,G$197,Base!$A$3:$A$5001,_xlfn.MAXIFS(Base!$A$3:$A$5001,Base!$B$3:$B$5001,G$197,Base!$A$3:$A$5001,"&gt;="&amp;$C$7,Base!$A$3:$A$5001,"&lt;="&amp;$B200,Base!$Y$3:$Y$5001,"&lt;&gt;"))))</f>
        <v/>
      </c>
      <c r="H200" t="str">
        <f>IF($A200&gt;$B$9,"",IF(COUNTIFS(Base!$B$3:$B$5001,H$197,Base!$A$3:$A$5001,"&gt;="&amp;$C$7,Base!$A$3:$A$5001,"&lt;="&amp;$B200,Base!$Y$3:$Y$5001,"&lt;&gt;")=0,"",SUMIFS(Base!$Y$3:$Y$5001,Base!$B$3:$B$5001,H$197,Base!$A$3:$A$5001,_xlfn.MAXIFS(Base!$A$3:$A$5001,Base!$B$3:$B$5001,H$197,Base!$A$3:$A$5001,"&gt;="&amp;$C$7,Base!$A$3:$A$5001,"&lt;="&amp;$B200,Base!$Y$3:$Y$5001,"&lt;&gt;"))))</f>
        <v/>
      </c>
      <c r="I200" t="str">
        <f>IF($A200&gt;$B$9,"",IF(COUNTIFS(Base!$B$3:$B$5001,I$197,Base!$A$3:$A$5001,"&gt;="&amp;$C$7,Base!$A$3:$A$5001,"&lt;="&amp;$B200,Base!$Y$3:$Y$5001,"&lt;&gt;")=0,"",SUMIFS(Base!$Y$3:$Y$5001,Base!$B$3:$B$5001,I$197,Base!$A$3:$A$5001,_xlfn.MAXIFS(Base!$A$3:$A$5001,Base!$B$3:$B$5001,I$197,Base!$A$3:$A$5001,"&gt;="&amp;$C$7,Base!$A$3:$A$5001,"&lt;="&amp;$B200,Base!$Y$3:$Y$5001,"&lt;&gt;"))))</f>
        <v/>
      </c>
      <c r="J200" t="str">
        <f>IF($A200&gt;$B$9,"",IF(COUNTIFS(Base!$B$3:$B$5001,J$197,Base!$A$3:$A$5001,"&gt;="&amp;$C$7,Base!$A$3:$A$5001,"&lt;="&amp;$B200,Base!$Y$3:$Y$5001,"&lt;&gt;")=0,"",SUMIFS(Base!$Y$3:$Y$5001,Base!$B$3:$B$5001,J$197,Base!$A$3:$A$5001,_xlfn.MAXIFS(Base!$A$3:$A$5001,Base!$B$3:$B$5001,J$197,Base!$A$3:$A$5001,"&gt;="&amp;$C$7,Base!$A$3:$A$5001,"&lt;="&amp;$B200,Base!$Y$3:$Y$5001,"&lt;&gt;"))))</f>
        <v/>
      </c>
      <c r="K200" t="str">
        <f>IF($A200&gt;$B$9,"",IF(COUNTIFS(Base!$B$3:$B$5001,K$197,Base!$A$3:$A$5001,"&gt;="&amp;$C$7,Base!$A$3:$A$5001,"&lt;="&amp;$B200,Base!$Y$3:$Y$5001,"&lt;&gt;")=0,"",SUMIFS(Base!$Y$3:$Y$5001,Base!$B$3:$B$5001,K$197,Base!$A$3:$A$5001,_xlfn.MAXIFS(Base!$A$3:$A$5001,Base!$B$3:$B$5001,K$197,Base!$A$3:$A$5001,"&gt;="&amp;$C$7,Base!$A$3:$A$5001,"&lt;="&amp;$B200,Base!$Y$3:$Y$5001,"&lt;&gt;"))))</f>
        <v/>
      </c>
    </row>
    <row r="201">
      <c r="A201">
        <v>4</v>
      </c>
      <c r="B201" s="152">
        <f>$B$15</f>
        <v>46269</v>
      </c>
      <c r="C201" t="str">
        <f>IF($A201&gt;$B$9,"",IF(COUNTIFS(Base!$B$3:$B$5001,C$197,Base!$A$3:$A$5001,"&gt;="&amp;$C$7,Base!$A$3:$A$5001,"&lt;="&amp;$B201,Base!$Y$3:$Y$5001,"&lt;&gt;")=0,"",SUMIFS(Base!$Y$3:$Y$5001,Base!$B$3:$B$5001,C$197,Base!$A$3:$A$5001,_xlfn.MAXIFS(Base!$A$3:$A$5001,Base!$B$3:$B$5001,C$197,Base!$A$3:$A$5001,"&gt;="&amp;$C$7,Base!$A$3:$A$5001,"&lt;="&amp;$B201,Base!$Y$3:$Y$5001,"&lt;&gt;"))))</f>
        <v/>
      </c>
      <c r="D201" t="str">
        <f>IF($A201&gt;$B$9,"",IF(COUNTIFS(Base!$B$3:$B$5001,D$197,Base!$A$3:$A$5001,"&gt;="&amp;$C$7,Base!$A$3:$A$5001,"&lt;="&amp;$B201,Base!$Y$3:$Y$5001,"&lt;&gt;")=0,"",SUMIFS(Base!$Y$3:$Y$5001,Base!$B$3:$B$5001,D$197,Base!$A$3:$A$5001,_xlfn.MAXIFS(Base!$A$3:$A$5001,Base!$B$3:$B$5001,D$197,Base!$A$3:$A$5001,"&gt;="&amp;$C$7,Base!$A$3:$A$5001,"&lt;="&amp;$B201,Base!$Y$3:$Y$5001,"&lt;&gt;"))))</f>
        <v/>
      </c>
      <c r="E201" t="str">
        <f>IF($A201&gt;$B$9,"",IF(COUNTIFS(Base!$B$3:$B$5001,E$197,Base!$A$3:$A$5001,"&gt;="&amp;$C$7,Base!$A$3:$A$5001,"&lt;="&amp;$B201,Base!$Y$3:$Y$5001,"&lt;&gt;")=0,"",SUMIFS(Base!$Y$3:$Y$5001,Base!$B$3:$B$5001,E$197,Base!$A$3:$A$5001,_xlfn.MAXIFS(Base!$A$3:$A$5001,Base!$B$3:$B$5001,E$197,Base!$A$3:$A$5001,"&gt;="&amp;$C$7,Base!$A$3:$A$5001,"&lt;="&amp;$B201,Base!$Y$3:$Y$5001,"&lt;&gt;"))))</f>
        <v/>
      </c>
      <c r="F201" t="str">
        <f>IF($A201&gt;$B$9,"",IF(COUNTIFS(Base!$B$3:$B$5001,F$197,Base!$A$3:$A$5001,"&gt;="&amp;$C$7,Base!$A$3:$A$5001,"&lt;="&amp;$B201,Base!$Y$3:$Y$5001,"&lt;&gt;")=0,"",SUMIFS(Base!$Y$3:$Y$5001,Base!$B$3:$B$5001,F$197,Base!$A$3:$A$5001,_xlfn.MAXIFS(Base!$A$3:$A$5001,Base!$B$3:$B$5001,F$197,Base!$A$3:$A$5001,"&gt;="&amp;$C$7,Base!$A$3:$A$5001,"&lt;="&amp;$B201,Base!$Y$3:$Y$5001,"&lt;&gt;"))))</f>
        <v/>
      </c>
      <c r="G201" t="str">
        <f>IF($A201&gt;$B$9,"",IF(COUNTIFS(Base!$B$3:$B$5001,G$197,Base!$A$3:$A$5001,"&gt;="&amp;$C$7,Base!$A$3:$A$5001,"&lt;="&amp;$B201,Base!$Y$3:$Y$5001,"&lt;&gt;")=0,"",SUMIFS(Base!$Y$3:$Y$5001,Base!$B$3:$B$5001,G$197,Base!$A$3:$A$5001,_xlfn.MAXIFS(Base!$A$3:$A$5001,Base!$B$3:$B$5001,G$197,Base!$A$3:$A$5001,"&gt;="&amp;$C$7,Base!$A$3:$A$5001,"&lt;="&amp;$B201,Base!$Y$3:$Y$5001,"&lt;&gt;"))))</f>
        <v/>
      </c>
      <c r="H201" t="str">
        <f>IF($A201&gt;$B$9,"",IF(COUNTIFS(Base!$B$3:$B$5001,H$197,Base!$A$3:$A$5001,"&gt;="&amp;$C$7,Base!$A$3:$A$5001,"&lt;="&amp;$B201,Base!$Y$3:$Y$5001,"&lt;&gt;")=0,"",SUMIFS(Base!$Y$3:$Y$5001,Base!$B$3:$B$5001,H$197,Base!$A$3:$A$5001,_xlfn.MAXIFS(Base!$A$3:$A$5001,Base!$B$3:$B$5001,H$197,Base!$A$3:$A$5001,"&gt;="&amp;$C$7,Base!$A$3:$A$5001,"&lt;="&amp;$B201,Base!$Y$3:$Y$5001,"&lt;&gt;"))))</f>
        <v/>
      </c>
      <c r="I201" t="str">
        <f>IF($A201&gt;$B$9,"",IF(COUNTIFS(Base!$B$3:$B$5001,I$197,Base!$A$3:$A$5001,"&gt;="&amp;$C$7,Base!$A$3:$A$5001,"&lt;="&amp;$B201,Base!$Y$3:$Y$5001,"&lt;&gt;")=0,"",SUMIFS(Base!$Y$3:$Y$5001,Base!$B$3:$B$5001,I$197,Base!$A$3:$A$5001,_xlfn.MAXIFS(Base!$A$3:$A$5001,Base!$B$3:$B$5001,I$197,Base!$A$3:$A$5001,"&gt;="&amp;$C$7,Base!$A$3:$A$5001,"&lt;="&amp;$B201,Base!$Y$3:$Y$5001,"&lt;&gt;"))))</f>
        <v/>
      </c>
      <c r="J201" t="str">
        <f>IF($A201&gt;$B$9,"",IF(COUNTIFS(Base!$B$3:$B$5001,J$197,Base!$A$3:$A$5001,"&gt;="&amp;$C$7,Base!$A$3:$A$5001,"&lt;="&amp;$B201,Base!$Y$3:$Y$5001,"&lt;&gt;")=0,"",SUMIFS(Base!$Y$3:$Y$5001,Base!$B$3:$B$5001,J$197,Base!$A$3:$A$5001,_xlfn.MAXIFS(Base!$A$3:$A$5001,Base!$B$3:$B$5001,J$197,Base!$A$3:$A$5001,"&gt;="&amp;$C$7,Base!$A$3:$A$5001,"&lt;="&amp;$B201,Base!$Y$3:$Y$5001,"&lt;&gt;"))))</f>
        <v/>
      </c>
      <c r="K201" t="str">
        <f>IF($A201&gt;$B$9,"",IF(COUNTIFS(Base!$B$3:$B$5001,K$197,Base!$A$3:$A$5001,"&gt;="&amp;$C$7,Base!$A$3:$A$5001,"&lt;="&amp;$B201,Base!$Y$3:$Y$5001,"&lt;&gt;")=0,"",SUMIFS(Base!$Y$3:$Y$5001,Base!$B$3:$B$5001,K$197,Base!$A$3:$A$5001,_xlfn.MAXIFS(Base!$A$3:$A$5001,Base!$B$3:$B$5001,K$197,Base!$A$3:$A$5001,"&gt;="&amp;$C$7,Base!$A$3:$A$5001,"&lt;="&amp;$B201,Base!$Y$3:$Y$5001,"&lt;&gt;"))))</f>
        <v/>
      </c>
    </row>
    <row r="202">
      <c r="A202">
        <v>5</v>
      </c>
      <c r="B202" s="152">
        <f>$B$16</f>
        <v>46270</v>
      </c>
      <c r="C202" t="str">
        <f>IF($A202&gt;$B$9,"",IF(COUNTIFS(Base!$B$3:$B$5001,C$197,Base!$A$3:$A$5001,"&gt;="&amp;$C$7,Base!$A$3:$A$5001,"&lt;="&amp;$B202,Base!$Y$3:$Y$5001,"&lt;&gt;")=0,"",SUMIFS(Base!$Y$3:$Y$5001,Base!$B$3:$B$5001,C$197,Base!$A$3:$A$5001,_xlfn.MAXIFS(Base!$A$3:$A$5001,Base!$B$3:$B$5001,C$197,Base!$A$3:$A$5001,"&gt;="&amp;$C$7,Base!$A$3:$A$5001,"&lt;="&amp;$B202,Base!$Y$3:$Y$5001,"&lt;&gt;"))))</f>
        <v/>
      </c>
      <c r="D202" t="str">
        <f>IF($A202&gt;$B$9,"",IF(COUNTIFS(Base!$B$3:$B$5001,D$197,Base!$A$3:$A$5001,"&gt;="&amp;$C$7,Base!$A$3:$A$5001,"&lt;="&amp;$B202,Base!$Y$3:$Y$5001,"&lt;&gt;")=0,"",SUMIFS(Base!$Y$3:$Y$5001,Base!$B$3:$B$5001,D$197,Base!$A$3:$A$5001,_xlfn.MAXIFS(Base!$A$3:$A$5001,Base!$B$3:$B$5001,D$197,Base!$A$3:$A$5001,"&gt;="&amp;$C$7,Base!$A$3:$A$5001,"&lt;="&amp;$B202,Base!$Y$3:$Y$5001,"&lt;&gt;"))))</f>
        <v/>
      </c>
      <c r="E202" t="str">
        <f>IF($A202&gt;$B$9,"",IF(COUNTIFS(Base!$B$3:$B$5001,E$197,Base!$A$3:$A$5001,"&gt;="&amp;$C$7,Base!$A$3:$A$5001,"&lt;="&amp;$B202,Base!$Y$3:$Y$5001,"&lt;&gt;")=0,"",SUMIFS(Base!$Y$3:$Y$5001,Base!$B$3:$B$5001,E$197,Base!$A$3:$A$5001,_xlfn.MAXIFS(Base!$A$3:$A$5001,Base!$B$3:$B$5001,E$197,Base!$A$3:$A$5001,"&gt;="&amp;$C$7,Base!$A$3:$A$5001,"&lt;="&amp;$B202,Base!$Y$3:$Y$5001,"&lt;&gt;"))))</f>
        <v/>
      </c>
      <c r="F202" t="str">
        <f>IF($A202&gt;$B$9,"",IF(COUNTIFS(Base!$B$3:$B$5001,F$197,Base!$A$3:$A$5001,"&gt;="&amp;$C$7,Base!$A$3:$A$5001,"&lt;="&amp;$B202,Base!$Y$3:$Y$5001,"&lt;&gt;")=0,"",SUMIFS(Base!$Y$3:$Y$5001,Base!$B$3:$B$5001,F$197,Base!$A$3:$A$5001,_xlfn.MAXIFS(Base!$A$3:$A$5001,Base!$B$3:$B$5001,F$197,Base!$A$3:$A$5001,"&gt;="&amp;$C$7,Base!$A$3:$A$5001,"&lt;="&amp;$B202,Base!$Y$3:$Y$5001,"&lt;&gt;"))))</f>
        <v/>
      </c>
      <c r="G202" t="str">
        <f>IF($A202&gt;$B$9,"",IF(COUNTIFS(Base!$B$3:$B$5001,G$197,Base!$A$3:$A$5001,"&gt;="&amp;$C$7,Base!$A$3:$A$5001,"&lt;="&amp;$B202,Base!$Y$3:$Y$5001,"&lt;&gt;")=0,"",SUMIFS(Base!$Y$3:$Y$5001,Base!$B$3:$B$5001,G$197,Base!$A$3:$A$5001,_xlfn.MAXIFS(Base!$A$3:$A$5001,Base!$B$3:$B$5001,G$197,Base!$A$3:$A$5001,"&gt;="&amp;$C$7,Base!$A$3:$A$5001,"&lt;="&amp;$B202,Base!$Y$3:$Y$5001,"&lt;&gt;"))))</f>
        <v/>
      </c>
      <c r="H202" t="str">
        <f>IF($A202&gt;$B$9,"",IF(COUNTIFS(Base!$B$3:$B$5001,H$197,Base!$A$3:$A$5001,"&gt;="&amp;$C$7,Base!$A$3:$A$5001,"&lt;="&amp;$B202,Base!$Y$3:$Y$5001,"&lt;&gt;")=0,"",SUMIFS(Base!$Y$3:$Y$5001,Base!$B$3:$B$5001,H$197,Base!$A$3:$A$5001,_xlfn.MAXIFS(Base!$A$3:$A$5001,Base!$B$3:$B$5001,H$197,Base!$A$3:$A$5001,"&gt;="&amp;$C$7,Base!$A$3:$A$5001,"&lt;="&amp;$B202,Base!$Y$3:$Y$5001,"&lt;&gt;"))))</f>
        <v/>
      </c>
      <c r="I202" t="str">
        <f>IF($A202&gt;$B$9,"",IF(COUNTIFS(Base!$B$3:$B$5001,I$197,Base!$A$3:$A$5001,"&gt;="&amp;$C$7,Base!$A$3:$A$5001,"&lt;="&amp;$B202,Base!$Y$3:$Y$5001,"&lt;&gt;")=0,"",SUMIFS(Base!$Y$3:$Y$5001,Base!$B$3:$B$5001,I$197,Base!$A$3:$A$5001,_xlfn.MAXIFS(Base!$A$3:$A$5001,Base!$B$3:$B$5001,I$197,Base!$A$3:$A$5001,"&gt;="&amp;$C$7,Base!$A$3:$A$5001,"&lt;="&amp;$B202,Base!$Y$3:$Y$5001,"&lt;&gt;"))))</f>
        <v/>
      </c>
      <c r="J202" t="str">
        <f>IF($A202&gt;$B$9,"",IF(COUNTIFS(Base!$B$3:$B$5001,J$197,Base!$A$3:$A$5001,"&gt;="&amp;$C$7,Base!$A$3:$A$5001,"&lt;="&amp;$B202,Base!$Y$3:$Y$5001,"&lt;&gt;")=0,"",SUMIFS(Base!$Y$3:$Y$5001,Base!$B$3:$B$5001,J$197,Base!$A$3:$A$5001,_xlfn.MAXIFS(Base!$A$3:$A$5001,Base!$B$3:$B$5001,J$197,Base!$A$3:$A$5001,"&gt;="&amp;$C$7,Base!$A$3:$A$5001,"&lt;="&amp;$B202,Base!$Y$3:$Y$5001,"&lt;&gt;"))))</f>
        <v/>
      </c>
      <c r="K202" t="str">
        <f>IF($A202&gt;$B$9,"",IF(COUNTIFS(Base!$B$3:$B$5001,K$197,Base!$A$3:$A$5001,"&gt;="&amp;$C$7,Base!$A$3:$A$5001,"&lt;="&amp;$B202,Base!$Y$3:$Y$5001,"&lt;&gt;")=0,"",SUMIFS(Base!$Y$3:$Y$5001,Base!$B$3:$B$5001,K$197,Base!$A$3:$A$5001,_xlfn.MAXIFS(Base!$A$3:$A$5001,Base!$B$3:$B$5001,K$197,Base!$A$3:$A$5001,"&gt;="&amp;$C$7,Base!$A$3:$A$5001,"&lt;="&amp;$B202,Base!$Y$3:$Y$5001,"&lt;&gt;"))))</f>
        <v/>
      </c>
    </row>
    <row r="203">
      <c r="A203">
        <v>6</v>
      </c>
      <c r="B203" s="152">
        <f>$B$17</f>
        <v>46271</v>
      </c>
      <c r="C203" t="str">
        <f>IF($A203&gt;$B$9,"",IF(COUNTIFS(Base!$B$3:$B$5001,C$197,Base!$A$3:$A$5001,"&gt;="&amp;$C$7,Base!$A$3:$A$5001,"&lt;="&amp;$B203,Base!$Y$3:$Y$5001,"&lt;&gt;")=0,"",SUMIFS(Base!$Y$3:$Y$5001,Base!$B$3:$B$5001,C$197,Base!$A$3:$A$5001,_xlfn.MAXIFS(Base!$A$3:$A$5001,Base!$B$3:$B$5001,C$197,Base!$A$3:$A$5001,"&gt;="&amp;$C$7,Base!$A$3:$A$5001,"&lt;="&amp;$B203,Base!$Y$3:$Y$5001,"&lt;&gt;"))))</f>
        <v/>
      </c>
      <c r="D203" t="str">
        <f>IF($A203&gt;$B$9,"",IF(COUNTIFS(Base!$B$3:$B$5001,D$197,Base!$A$3:$A$5001,"&gt;="&amp;$C$7,Base!$A$3:$A$5001,"&lt;="&amp;$B203,Base!$Y$3:$Y$5001,"&lt;&gt;")=0,"",SUMIFS(Base!$Y$3:$Y$5001,Base!$B$3:$B$5001,D$197,Base!$A$3:$A$5001,_xlfn.MAXIFS(Base!$A$3:$A$5001,Base!$B$3:$B$5001,D$197,Base!$A$3:$A$5001,"&gt;="&amp;$C$7,Base!$A$3:$A$5001,"&lt;="&amp;$B203,Base!$Y$3:$Y$5001,"&lt;&gt;"))))</f>
        <v/>
      </c>
      <c r="E203" t="str">
        <f>IF($A203&gt;$B$9,"",IF(COUNTIFS(Base!$B$3:$B$5001,E$197,Base!$A$3:$A$5001,"&gt;="&amp;$C$7,Base!$A$3:$A$5001,"&lt;="&amp;$B203,Base!$Y$3:$Y$5001,"&lt;&gt;")=0,"",SUMIFS(Base!$Y$3:$Y$5001,Base!$B$3:$B$5001,E$197,Base!$A$3:$A$5001,_xlfn.MAXIFS(Base!$A$3:$A$5001,Base!$B$3:$B$5001,E$197,Base!$A$3:$A$5001,"&gt;="&amp;$C$7,Base!$A$3:$A$5001,"&lt;="&amp;$B203,Base!$Y$3:$Y$5001,"&lt;&gt;"))))</f>
        <v/>
      </c>
      <c r="F203" t="str">
        <f>IF($A203&gt;$B$9,"",IF(COUNTIFS(Base!$B$3:$B$5001,F$197,Base!$A$3:$A$5001,"&gt;="&amp;$C$7,Base!$A$3:$A$5001,"&lt;="&amp;$B203,Base!$Y$3:$Y$5001,"&lt;&gt;")=0,"",SUMIFS(Base!$Y$3:$Y$5001,Base!$B$3:$B$5001,F$197,Base!$A$3:$A$5001,_xlfn.MAXIFS(Base!$A$3:$A$5001,Base!$B$3:$B$5001,F$197,Base!$A$3:$A$5001,"&gt;="&amp;$C$7,Base!$A$3:$A$5001,"&lt;="&amp;$B203,Base!$Y$3:$Y$5001,"&lt;&gt;"))))</f>
        <v/>
      </c>
      <c r="G203" t="str">
        <f>IF($A203&gt;$B$9,"",IF(COUNTIFS(Base!$B$3:$B$5001,G$197,Base!$A$3:$A$5001,"&gt;="&amp;$C$7,Base!$A$3:$A$5001,"&lt;="&amp;$B203,Base!$Y$3:$Y$5001,"&lt;&gt;")=0,"",SUMIFS(Base!$Y$3:$Y$5001,Base!$B$3:$B$5001,G$197,Base!$A$3:$A$5001,_xlfn.MAXIFS(Base!$A$3:$A$5001,Base!$B$3:$B$5001,G$197,Base!$A$3:$A$5001,"&gt;="&amp;$C$7,Base!$A$3:$A$5001,"&lt;="&amp;$B203,Base!$Y$3:$Y$5001,"&lt;&gt;"))))</f>
        <v/>
      </c>
      <c r="H203" t="str">
        <f>IF($A203&gt;$B$9,"",IF(COUNTIFS(Base!$B$3:$B$5001,H$197,Base!$A$3:$A$5001,"&gt;="&amp;$C$7,Base!$A$3:$A$5001,"&lt;="&amp;$B203,Base!$Y$3:$Y$5001,"&lt;&gt;")=0,"",SUMIFS(Base!$Y$3:$Y$5001,Base!$B$3:$B$5001,H$197,Base!$A$3:$A$5001,_xlfn.MAXIFS(Base!$A$3:$A$5001,Base!$B$3:$B$5001,H$197,Base!$A$3:$A$5001,"&gt;="&amp;$C$7,Base!$A$3:$A$5001,"&lt;="&amp;$B203,Base!$Y$3:$Y$5001,"&lt;&gt;"))))</f>
        <v/>
      </c>
      <c r="I203" t="str">
        <f>IF($A203&gt;$B$9,"",IF(COUNTIFS(Base!$B$3:$B$5001,I$197,Base!$A$3:$A$5001,"&gt;="&amp;$C$7,Base!$A$3:$A$5001,"&lt;="&amp;$B203,Base!$Y$3:$Y$5001,"&lt;&gt;")=0,"",SUMIFS(Base!$Y$3:$Y$5001,Base!$B$3:$B$5001,I$197,Base!$A$3:$A$5001,_xlfn.MAXIFS(Base!$A$3:$A$5001,Base!$B$3:$B$5001,I$197,Base!$A$3:$A$5001,"&gt;="&amp;$C$7,Base!$A$3:$A$5001,"&lt;="&amp;$B203,Base!$Y$3:$Y$5001,"&lt;&gt;"))))</f>
        <v/>
      </c>
      <c r="J203" t="str">
        <f>IF($A203&gt;$B$9,"",IF(COUNTIFS(Base!$B$3:$B$5001,J$197,Base!$A$3:$A$5001,"&gt;="&amp;$C$7,Base!$A$3:$A$5001,"&lt;="&amp;$B203,Base!$Y$3:$Y$5001,"&lt;&gt;")=0,"",SUMIFS(Base!$Y$3:$Y$5001,Base!$B$3:$B$5001,J$197,Base!$A$3:$A$5001,_xlfn.MAXIFS(Base!$A$3:$A$5001,Base!$B$3:$B$5001,J$197,Base!$A$3:$A$5001,"&gt;="&amp;$C$7,Base!$A$3:$A$5001,"&lt;="&amp;$B203,Base!$Y$3:$Y$5001,"&lt;&gt;"))))</f>
        <v/>
      </c>
      <c r="K203" t="str">
        <f>IF($A203&gt;$B$9,"",IF(COUNTIFS(Base!$B$3:$B$5001,K$197,Base!$A$3:$A$5001,"&gt;="&amp;$C$7,Base!$A$3:$A$5001,"&lt;="&amp;$B203,Base!$Y$3:$Y$5001,"&lt;&gt;")=0,"",SUMIFS(Base!$Y$3:$Y$5001,Base!$B$3:$B$5001,K$197,Base!$A$3:$A$5001,_xlfn.MAXIFS(Base!$A$3:$A$5001,Base!$B$3:$B$5001,K$197,Base!$A$3:$A$5001,"&gt;="&amp;$C$7,Base!$A$3:$A$5001,"&lt;="&amp;$B203,Base!$Y$3:$Y$5001,"&lt;&gt;"))))</f>
        <v/>
      </c>
    </row>
    <row r="204">
      <c r="A204">
        <v>7</v>
      </c>
      <c r="B204" s="152">
        <f>$B$18</f>
        <v>46272</v>
      </c>
      <c r="C204" t="str">
        <f>IF($A204&gt;$B$9,"",IF(COUNTIFS(Base!$B$3:$B$5001,C$197,Base!$A$3:$A$5001,"&gt;="&amp;$C$7,Base!$A$3:$A$5001,"&lt;="&amp;$B204,Base!$Y$3:$Y$5001,"&lt;&gt;")=0,"",SUMIFS(Base!$Y$3:$Y$5001,Base!$B$3:$B$5001,C$197,Base!$A$3:$A$5001,_xlfn.MAXIFS(Base!$A$3:$A$5001,Base!$B$3:$B$5001,C$197,Base!$A$3:$A$5001,"&gt;="&amp;$C$7,Base!$A$3:$A$5001,"&lt;="&amp;$B204,Base!$Y$3:$Y$5001,"&lt;&gt;"))))</f>
        <v/>
      </c>
      <c r="D204" t="str">
        <f>IF($A204&gt;$B$9,"",IF(COUNTIFS(Base!$B$3:$B$5001,D$197,Base!$A$3:$A$5001,"&gt;="&amp;$C$7,Base!$A$3:$A$5001,"&lt;="&amp;$B204,Base!$Y$3:$Y$5001,"&lt;&gt;")=0,"",SUMIFS(Base!$Y$3:$Y$5001,Base!$B$3:$B$5001,D$197,Base!$A$3:$A$5001,_xlfn.MAXIFS(Base!$A$3:$A$5001,Base!$B$3:$B$5001,D$197,Base!$A$3:$A$5001,"&gt;="&amp;$C$7,Base!$A$3:$A$5001,"&lt;="&amp;$B204,Base!$Y$3:$Y$5001,"&lt;&gt;"))))</f>
        <v/>
      </c>
      <c r="E204" t="str">
        <f>IF($A204&gt;$B$9,"",IF(COUNTIFS(Base!$B$3:$B$5001,E$197,Base!$A$3:$A$5001,"&gt;="&amp;$C$7,Base!$A$3:$A$5001,"&lt;="&amp;$B204,Base!$Y$3:$Y$5001,"&lt;&gt;")=0,"",SUMIFS(Base!$Y$3:$Y$5001,Base!$B$3:$B$5001,E$197,Base!$A$3:$A$5001,_xlfn.MAXIFS(Base!$A$3:$A$5001,Base!$B$3:$B$5001,E$197,Base!$A$3:$A$5001,"&gt;="&amp;$C$7,Base!$A$3:$A$5001,"&lt;="&amp;$B204,Base!$Y$3:$Y$5001,"&lt;&gt;"))))</f>
        <v/>
      </c>
      <c r="F204" t="str">
        <f>IF($A204&gt;$B$9,"",IF(COUNTIFS(Base!$B$3:$B$5001,F$197,Base!$A$3:$A$5001,"&gt;="&amp;$C$7,Base!$A$3:$A$5001,"&lt;="&amp;$B204,Base!$Y$3:$Y$5001,"&lt;&gt;")=0,"",SUMIFS(Base!$Y$3:$Y$5001,Base!$B$3:$B$5001,F$197,Base!$A$3:$A$5001,_xlfn.MAXIFS(Base!$A$3:$A$5001,Base!$B$3:$B$5001,F$197,Base!$A$3:$A$5001,"&gt;="&amp;$C$7,Base!$A$3:$A$5001,"&lt;="&amp;$B204,Base!$Y$3:$Y$5001,"&lt;&gt;"))))</f>
        <v/>
      </c>
      <c r="G204" t="str">
        <f>IF($A204&gt;$B$9,"",IF(COUNTIFS(Base!$B$3:$B$5001,G$197,Base!$A$3:$A$5001,"&gt;="&amp;$C$7,Base!$A$3:$A$5001,"&lt;="&amp;$B204,Base!$Y$3:$Y$5001,"&lt;&gt;")=0,"",SUMIFS(Base!$Y$3:$Y$5001,Base!$B$3:$B$5001,G$197,Base!$A$3:$A$5001,_xlfn.MAXIFS(Base!$A$3:$A$5001,Base!$B$3:$B$5001,G$197,Base!$A$3:$A$5001,"&gt;="&amp;$C$7,Base!$A$3:$A$5001,"&lt;="&amp;$B204,Base!$Y$3:$Y$5001,"&lt;&gt;"))))</f>
        <v/>
      </c>
      <c r="H204" t="str">
        <f>IF($A204&gt;$B$9,"",IF(COUNTIFS(Base!$B$3:$B$5001,H$197,Base!$A$3:$A$5001,"&gt;="&amp;$C$7,Base!$A$3:$A$5001,"&lt;="&amp;$B204,Base!$Y$3:$Y$5001,"&lt;&gt;")=0,"",SUMIFS(Base!$Y$3:$Y$5001,Base!$B$3:$B$5001,H$197,Base!$A$3:$A$5001,_xlfn.MAXIFS(Base!$A$3:$A$5001,Base!$B$3:$B$5001,H$197,Base!$A$3:$A$5001,"&gt;="&amp;$C$7,Base!$A$3:$A$5001,"&lt;="&amp;$B204,Base!$Y$3:$Y$5001,"&lt;&gt;"))))</f>
        <v/>
      </c>
      <c r="I204" t="str">
        <f>IF($A204&gt;$B$9,"",IF(COUNTIFS(Base!$B$3:$B$5001,I$197,Base!$A$3:$A$5001,"&gt;="&amp;$C$7,Base!$A$3:$A$5001,"&lt;="&amp;$B204,Base!$Y$3:$Y$5001,"&lt;&gt;")=0,"",SUMIFS(Base!$Y$3:$Y$5001,Base!$B$3:$B$5001,I$197,Base!$A$3:$A$5001,_xlfn.MAXIFS(Base!$A$3:$A$5001,Base!$B$3:$B$5001,I$197,Base!$A$3:$A$5001,"&gt;="&amp;$C$7,Base!$A$3:$A$5001,"&lt;="&amp;$B204,Base!$Y$3:$Y$5001,"&lt;&gt;"))))</f>
        <v/>
      </c>
      <c r="J204" t="str">
        <f>IF($A204&gt;$B$9,"",IF(COUNTIFS(Base!$B$3:$B$5001,J$197,Base!$A$3:$A$5001,"&gt;="&amp;$C$7,Base!$A$3:$A$5001,"&lt;="&amp;$B204,Base!$Y$3:$Y$5001,"&lt;&gt;")=0,"",SUMIFS(Base!$Y$3:$Y$5001,Base!$B$3:$B$5001,J$197,Base!$A$3:$A$5001,_xlfn.MAXIFS(Base!$A$3:$A$5001,Base!$B$3:$B$5001,J$197,Base!$A$3:$A$5001,"&gt;="&amp;$C$7,Base!$A$3:$A$5001,"&lt;="&amp;$B204,Base!$Y$3:$Y$5001,"&lt;&gt;"))))</f>
        <v/>
      </c>
      <c r="K204" t="str">
        <f>IF($A204&gt;$B$9,"",IF(COUNTIFS(Base!$B$3:$B$5001,K$197,Base!$A$3:$A$5001,"&gt;="&amp;$C$7,Base!$A$3:$A$5001,"&lt;="&amp;$B204,Base!$Y$3:$Y$5001,"&lt;&gt;")=0,"",SUMIFS(Base!$Y$3:$Y$5001,Base!$B$3:$B$5001,K$197,Base!$A$3:$A$5001,_xlfn.MAXIFS(Base!$A$3:$A$5001,Base!$B$3:$B$5001,K$197,Base!$A$3:$A$5001,"&gt;="&amp;$C$7,Base!$A$3:$A$5001,"&lt;="&amp;$B204,Base!$Y$3:$Y$5001,"&lt;&gt;"))))</f>
        <v/>
      </c>
    </row>
    <row r="205">
      <c r="A205">
        <v>8</v>
      </c>
      <c r="B205" s="152">
        <f>$B$19</f>
        <v>46273</v>
      </c>
      <c r="C205" t="str">
        <f>IF($A205&gt;$B$9,"",IF(COUNTIFS(Base!$B$3:$B$5001,C$197,Base!$A$3:$A$5001,"&gt;="&amp;$C$7,Base!$A$3:$A$5001,"&lt;="&amp;$B205,Base!$Y$3:$Y$5001,"&lt;&gt;")=0,"",SUMIFS(Base!$Y$3:$Y$5001,Base!$B$3:$B$5001,C$197,Base!$A$3:$A$5001,_xlfn.MAXIFS(Base!$A$3:$A$5001,Base!$B$3:$B$5001,C$197,Base!$A$3:$A$5001,"&gt;="&amp;$C$7,Base!$A$3:$A$5001,"&lt;="&amp;$B205,Base!$Y$3:$Y$5001,"&lt;&gt;"))))</f>
        <v/>
      </c>
      <c r="D205" t="str">
        <f>IF($A205&gt;$B$9,"",IF(COUNTIFS(Base!$B$3:$B$5001,D$197,Base!$A$3:$A$5001,"&gt;="&amp;$C$7,Base!$A$3:$A$5001,"&lt;="&amp;$B205,Base!$Y$3:$Y$5001,"&lt;&gt;")=0,"",SUMIFS(Base!$Y$3:$Y$5001,Base!$B$3:$B$5001,D$197,Base!$A$3:$A$5001,_xlfn.MAXIFS(Base!$A$3:$A$5001,Base!$B$3:$B$5001,D$197,Base!$A$3:$A$5001,"&gt;="&amp;$C$7,Base!$A$3:$A$5001,"&lt;="&amp;$B205,Base!$Y$3:$Y$5001,"&lt;&gt;"))))</f>
        <v/>
      </c>
      <c r="E205" t="str">
        <f>IF($A205&gt;$B$9,"",IF(COUNTIFS(Base!$B$3:$B$5001,E$197,Base!$A$3:$A$5001,"&gt;="&amp;$C$7,Base!$A$3:$A$5001,"&lt;="&amp;$B205,Base!$Y$3:$Y$5001,"&lt;&gt;")=0,"",SUMIFS(Base!$Y$3:$Y$5001,Base!$B$3:$B$5001,E$197,Base!$A$3:$A$5001,_xlfn.MAXIFS(Base!$A$3:$A$5001,Base!$B$3:$B$5001,E$197,Base!$A$3:$A$5001,"&gt;="&amp;$C$7,Base!$A$3:$A$5001,"&lt;="&amp;$B205,Base!$Y$3:$Y$5001,"&lt;&gt;"))))</f>
        <v/>
      </c>
      <c r="F205" t="str">
        <f>IF($A205&gt;$B$9,"",IF(COUNTIFS(Base!$B$3:$B$5001,F$197,Base!$A$3:$A$5001,"&gt;="&amp;$C$7,Base!$A$3:$A$5001,"&lt;="&amp;$B205,Base!$Y$3:$Y$5001,"&lt;&gt;")=0,"",SUMIFS(Base!$Y$3:$Y$5001,Base!$B$3:$B$5001,F$197,Base!$A$3:$A$5001,_xlfn.MAXIFS(Base!$A$3:$A$5001,Base!$B$3:$B$5001,F$197,Base!$A$3:$A$5001,"&gt;="&amp;$C$7,Base!$A$3:$A$5001,"&lt;="&amp;$B205,Base!$Y$3:$Y$5001,"&lt;&gt;"))))</f>
        <v/>
      </c>
      <c r="G205" t="str">
        <f>IF($A205&gt;$B$9,"",IF(COUNTIFS(Base!$B$3:$B$5001,G$197,Base!$A$3:$A$5001,"&gt;="&amp;$C$7,Base!$A$3:$A$5001,"&lt;="&amp;$B205,Base!$Y$3:$Y$5001,"&lt;&gt;")=0,"",SUMIFS(Base!$Y$3:$Y$5001,Base!$B$3:$B$5001,G$197,Base!$A$3:$A$5001,_xlfn.MAXIFS(Base!$A$3:$A$5001,Base!$B$3:$B$5001,G$197,Base!$A$3:$A$5001,"&gt;="&amp;$C$7,Base!$A$3:$A$5001,"&lt;="&amp;$B205,Base!$Y$3:$Y$5001,"&lt;&gt;"))))</f>
        <v/>
      </c>
      <c r="H205" t="str">
        <f>IF($A205&gt;$B$9,"",IF(COUNTIFS(Base!$B$3:$B$5001,H$197,Base!$A$3:$A$5001,"&gt;="&amp;$C$7,Base!$A$3:$A$5001,"&lt;="&amp;$B205,Base!$Y$3:$Y$5001,"&lt;&gt;")=0,"",SUMIFS(Base!$Y$3:$Y$5001,Base!$B$3:$B$5001,H$197,Base!$A$3:$A$5001,_xlfn.MAXIFS(Base!$A$3:$A$5001,Base!$B$3:$B$5001,H$197,Base!$A$3:$A$5001,"&gt;="&amp;$C$7,Base!$A$3:$A$5001,"&lt;="&amp;$B205,Base!$Y$3:$Y$5001,"&lt;&gt;"))))</f>
        <v/>
      </c>
      <c r="I205" t="str">
        <f>IF($A205&gt;$B$9,"",IF(COUNTIFS(Base!$B$3:$B$5001,I$197,Base!$A$3:$A$5001,"&gt;="&amp;$C$7,Base!$A$3:$A$5001,"&lt;="&amp;$B205,Base!$Y$3:$Y$5001,"&lt;&gt;")=0,"",SUMIFS(Base!$Y$3:$Y$5001,Base!$B$3:$B$5001,I$197,Base!$A$3:$A$5001,_xlfn.MAXIFS(Base!$A$3:$A$5001,Base!$B$3:$B$5001,I$197,Base!$A$3:$A$5001,"&gt;="&amp;$C$7,Base!$A$3:$A$5001,"&lt;="&amp;$B205,Base!$Y$3:$Y$5001,"&lt;&gt;"))))</f>
        <v/>
      </c>
      <c r="J205" t="str">
        <f>IF($A205&gt;$B$9,"",IF(COUNTIFS(Base!$B$3:$B$5001,J$197,Base!$A$3:$A$5001,"&gt;="&amp;$C$7,Base!$A$3:$A$5001,"&lt;="&amp;$B205,Base!$Y$3:$Y$5001,"&lt;&gt;")=0,"",SUMIFS(Base!$Y$3:$Y$5001,Base!$B$3:$B$5001,J$197,Base!$A$3:$A$5001,_xlfn.MAXIFS(Base!$A$3:$A$5001,Base!$B$3:$B$5001,J$197,Base!$A$3:$A$5001,"&gt;="&amp;$C$7,Base!$A$3:$A$5001,"&lt;="&amp;$B205,Base!$Y$3:$Y$5001,"&lt;&gt;"))))</f>
        <v/>
      </c>
      <c r="K205" t="str">
        <f>IF($A205&gt;$B$9,"",IF(COUNTIFS(Base!$B$3:$B$5001,K$197,Base!$A$3:$A$5001,"&gt;="&amp;$C$7,Base!$A$3:$A$5001,"&lt;="&amp;$B205,Base!$Y$3:$Y$5001,"&lt;&gt;")=0,"",SUMIFS(Base!$Y$3:$Y$5001,Base!$B$3:$B$5001,K$197,Base!$A$3:$A$5001,_xlfn.MAXIFS(Base!$A$3:$A$5001,Base!$B$3:$B$5001,K$197,Base!$A$3:$A$5001,"&gt;="&amp;$C$7,Base!$A$3:$A$5001,"&lt;="&amp;$B205,Base!$Y$3:$Y$5001,"&lt;&gt;"))))</f>
        <v/>
      </c>
    </row>
    <row r="206">
      <c r="A206">
        <v>9</v>
      </c>
      <c r="B206" s="152">
        <f>$B$20</f>
        <v>46274</v>
      </c>
      <c r="C206" t="str">
        <f>IF($A206&gt;$B$9,"",IF(COUNTIFS(Base!$B$3:$B$5001,C$197,Base!$A$3:$A$5001,"&gt;="&amp;$C$7,Base!$A$3:$A$5001,"&lt;="&amp;$B206,Base!$Y$3:$Y$5001,"&lt;&gt;")=0,"",SUMIFS(Base!$Y$3:$Y$5001,Base!$B$3:$B$5001,C$197,Base!$A$3:$A$5001,_xlfn.MAXIFS(Base!$A$3:$A$5001,Base!$B$3:$B$5001,C$197,Base!$A$3:$A$5001,"&gt;="&amp;$C$7,Base!$A$3:$A$5001,"&lt;="&amp;$B206,Base!$Y$3:$Y$5001,"&lt;&gt;"))))</f>
        <v/>
      </c>
      <c r="D206" t="str">
        <f>IF($A206&gt;$B$9,"",IF(COUNTIFS(Base!$B$3:$B$5001,D$197,Base!$A$3:$A$5001,"&gt;="&amp;$C$7,Base!$A$3:$A$5001,"&lt;="&amp;$B206,Base!$Y$3:$Y$5001,"&lt;&gt;")=0,"",SUMIFS(Base!$Y$3:$Y$5001,Base!$B$3:$B$5001,D$197,Base!$A$3:$A$5001,_xlfn.MAXIFS(Base!$A$3:$A$5001,Base!$B$3:$B$5001,D$197,Base!$A$3:$A$5001,"&gt;="&amp;$C$7,Base!$A$3:$A$5001,"&lt;="&amp;$B206,Base!$Y$3:$Y$5001,"&lt;&gt;"))))</f>
        <v/>
      </c>
      <c r="E206" t="str">
        <f>IF($A206&gt;$B$9,"",IF(COUNTIFS(Base!$B$3:$B$5001,E$197,Base!$A$3:$A$5001,"&gt;="&amp;$C$7,Base!$A$3:$A$5001,"&lt;="&amp;$B206,Base!$Y$3:$Y$5001,"&lt;&gt;")=0,"",SUMIFS(Base!$Y$3:$Y$5001,Base!$B$3:$B$5001,E$197,Base!$A$3:$A$5001,_xlfn.MAXIFS(Base!$A$3:$A$5001,Base!$B$3:$B$5001,E$197,Base!$A$3:$A$5001,"&gt;="&amp;$C$7,Base!$A$3:$A$5001,"&lt;="&amp;$B206,Base!$Y$3:$Y$5001,"&lt;&gt;"))))</f>
        <v/>
      </c>
      <c r="F206" t="str">
        <f>IF($A206&gt;$B$9,"",IF(COUNTIFS(Base!$B$3:$B$5001,F$197,Base!$A$3:$A$5001,"&gt;="&amp;$C$7,Base!$A$3:$A$5001,"&lt;="&amp;$B206,Base!$Y$3:$Y$5001,"&lt;&gt;")=0,"",SUMIFS(Base!$Y$3:$Y$5001,Base!$B$3:$B$5001,F$197,Base!$A$3:$A$5001,_xlfn.MAXIFS(Base!$A$3:$A$5001,Base!$B$3:$B$5001,F$197,Base!$A$3:$A$5001,"&gt;="&amp;$C$7,Base!$A$3:$A$5001,"&lt;="&amp;$B206,Base!$Y$3:$Y$5001,"&lt;&gt;"))))</f>
        <v/>
      </c>
      <c r="G206" t="str">
        <f>IF($A206&gt;$B$9,"",IF(COUNTIFS(Base!$B$3:$B$5001,G$197,Base!$A$3:$A$5001,"&gt;="&amp;$C$7,Base!$A$3:$A$5001,"&lt;="&amp;$B206,Base!$Y$3:$Y$5001,"&lt;&gt;")=0,"",SUMIFS(Base!$Y$3:$Y$5001,Base!$B$3:$B$5001,G$197,Base!$A$3:$A$5001,_xlfn.MAXIFS(Base!$A$3:$A$5001,Base!$B$3:$B$5001,G$197,Base!$A$3:$A$5001,"&gt;="&amp;$C$7,Base!$A$3:$A$5001,"&lt;="&amp;$B206,Base!$Y$3:$Y$5001,"&lt;&gt;"))))</f>
        <v/>
      </c>
      <c r="H206" t="str">
        <f>IF($A206&gt;$B$9,"",IF(COUNTIFS(Base!$B$3:$B$5001,H$197,Base!$A$3:$A$5001,"&gt;="&amp;$C$7,Base!$A$3:$A$5001,"&lt;="&amp;$B206,Base!$Y$3:$Y$5001,"&lt;&gt;")=0,"",SUMIFS(Base!$Y$3:$Y$5001,Base!$B$3:$B$5001,H$197,Base!$A$3:$A$5001,_xlfn.MAXIFS(Base!$A$3:$A$5001,Base!$B$3:$B$5001,H$197,Base!$A$3:$A$5001,"&gt;="&amp;$C$7,Base!$A$3:$A$5001,"&lt;="&amp;$B206,Base!$Y$3:$Y$5001,"&lt;&gt;"))))</f>
        <v/>
      </c>
      <c r="I206" t="str">
        <f>IF($A206&gt;$B$9,"",IF(COUNTIFS(Base!$B$3:$B$5001,I$197,Base!$A$3:$A$5001,"&gt;="&amp;$C$7,Base!$A$3:$A$5001,"&lt;="&amp;$B206,Base!$Y$3:$Y$5001,"&lt;&gt;")=0,"",SUMIFS(Base!$Y$3:$Y$5001,Base!$B$3:$B$5001,I$197,Base!$A$3:$A$5001,_xlfn.MAXIFS(Base!$A$3:$A$5001,Base!$B$3:$B$5001,I$197,Base!$A$3:$A$5001,"&gt;="&amp;$C$7,Base!$A$3:$A$5001,"&lt;="&amp;$B206,Base!$Y$3:$Y$5001,"&lt;&gt;"))))</f>
        <v/>
      </c>
      <c r="J206" t="str">
        <f>IF($A206&gt;$B$9,"",IF(COUNTIFS(Base!$B$3:$B$5001,J$197,Base!$A$3:$A$5001,"&gt;="&amp;$C$7,Base!$A$3:$A$5001,"&lt;="&amp;$B206,Base!$Y$3:$Y$5001,"&lt;&gt;")=0,"",SUMIFS(Base!$Y$3:$Y$5001,Base!$B$3:$B$5001,J$197,Base!$A$3:$A$5001,_xlfn.MAXIFS(Base!$A$3:$A$5001,Base!$B$3:$B$5001,J$197,Base!$A$3:$A$5001,"&gt;="&amp;$C$7,Base!$A$3:$A$5001,"&lt;="&amp;$B206,Base!$Y$3:$Y$5001,"&lt;&gt;"))))</f>
        <v/>
      </c>
      <c r="K206" t="str">
        <f>IF($A206&gt;$B$9,"",IF(COUNTIFS(Base!$B$3:$B$5001,K$197,Base!$A$3:$A$5001,"&gt;="&amp;$C$7,Base!$A$3:$A$5001,"&lt;="&amp;$B206,Base!$Y$3:$Y$5001,"&lt;&gt;")=0,"",SUMIFS(Base!$Y$3:$Y$5001,Base!$B$3:$B$5001,K$197,Base!$A$3:$A$5001,_xlfn.MAXIFS(Base!$A$3:$A$5001,Base!$B$3:$B$5001,K$197,Base!$A$3:$A$5001,"&gt;="&amp;$C$7,Base!$A$3:$A$5001,"&lt;="&amp;$B206,Base!$Y$3:$Y$5001,"&lt;&gt;"))))</f>
        <v/>
      </c>
    </row>
    <row r="207">
      <c r="A207">
        <v>10</v>
      </c>
      <c r="B207" s="152">
        <f>$B$21</f>
        <v>46275</v>
      </c>
      <c r="C207" t="str">
        <f>IF($A207&gt;$B$9,"",IF(COUNTIFS(Base!$B$3:$B$5001,C$197,Base!$A$3:$A$5001,"&gt;="&amp;$C$7,Base!$A$3:$A$5001,"&lt;="&amp;$B207,Base!$Y$3:$Y$5001,"&lt;&gt;")=0,"",SUMIFS(Base!$Y$3:$Y$5001,Base!$B$3:$B$5001,C$197,Base!$A$3:$A$5001,_xlfn.MAXIFS(Base!$A$3:$A$5001,Base!$B$3:$B$5001,C$197,Base!$A$3:$A$5001,"&gt;="&amp;$C$7,Base!$A$3:$A$5001,"&lt;="&amp;$B207,Base!$Y$3:$Y$5001,"&lt;&gt;"))))</f>
        <v/>
      </c>
      <c r="D207" t="str">
        <f>IF($A207&gt;$B$9,"",IF(COUNTIFS(Base!$B$3:$B$5001,D$197,Base!$A$3:$A$5001,"&gt;="&amp;$C$7,Base!$A$3:$A$5001,"&lt;="&amp;$B207,Base!$Y$3:$Y$5001,"&lt;&gt;")=0,"",SUMIFS(Base!$Y$3:$Y$5001,Base!$B$3:$B$5001,D$197,Base!$A$3:$A$5001,_xlfn.MAXIFS(Base!$A$3:$A$5001,Base!$B$3:$B$5001,D$197,Base!$A$3:$A$5001,"&gt;="&amp;$C$7,Base!$A$3:$A$5001,"&lt;="&amp;$B207,Base!$Y$3:$Y$5001,"&lt;&gt;"))))</f>
        <v/>
      </c>
      <c r="E207" t="str">
        <f>IF($A207&gt;$B$9,"",IF(COUNTIFS(Base!$B$3:$B$5001,E$197,Base!$A$3:$A$5001,"&gt;="&amp;$C$7,Base!$A$3:$A$5001,"&lt;="&amp;$B207,Base!$Y$3:$Y$5001,"&lt;&gt;")=0,"",SUMIFS(Base!$Y$3:$Y$5001,Base!$B$3:$B$5001,E$197,Base!$A$3:$A$5001,_xlfn.MAXIFS(Base!$A$3:$A$5001,Base!$B$3:$B$5001,E$197,Base!$A$3:$A$5001,"&gt;="&amp;$C$7,Base!$A$3:$A$5001,"&lt;="&amp;$B207,Base!$Y$3:$Y$5001,"&lt;&gt;"))))</f>
        <v/>
      </c>
      <c r="F207" t="str">
        <f>IF($A207&gt;$B$9,"",IF(COUNTIFS(Base!$B$3:$B$5001,F$197,Base!$A$3:$A$5001,"&gt;="&amp;$C$7,Base!$A$3:$A$5001,"&lt;="&amp;$B207,Base!$Y$3:$Y$5001,"&lt;&gt;")=0,"",SUMIFS(Base!$Y$3:$Y$5001,Base!$B$3:$B$5001,F$197,Base!$A$3:$A$5001,_xlfn.MAXIFS(Base!$A$3:$A$5001,Base!$B$3:$B$5001,F$197,Base!$A$3:$A$5001,"&gt;="&amp;$C$7,Base!$A$3:$A$5001,"&lt;="&amp;$B207,Base!$Y$3:$Y$5001,"&lt;&gt;"))))</f>
        <v/>
      </c>
      <c r="G207" t="str">
        <f>IF($A207&gt;$B$9,"",IF(COUNTIFS(Base!$B$3:$B$5001,G$197,Base!$A$3:$A$5001,"&gt;="&amp;$C$7,Base!$A$3:$A$5001,"&lt;="&amp;$B207,Base!$Y$3:$Y$5001,"&lt;&gt;")=0,"",SUMIFS(Base!$Y$3:$Y$5001,Base!$B$3:$B$5001,G$197,Base!$A$3:$A$5001,_xlfn.MAXIFS(Base!$A$3:$A$5001,Base!$B$3:$B$5001,G$197,Base!$A$3:$A$5001,"&gt;="&amp;$C$7,Base!$A$3:$A$5001,"&lt;="&amp;$B207,Base!$Y$3:$Y$5001,"&lt;&gt;"))))</f>
        <v/>
      </c>
      <c r="H207" t="str">
        <f>IF($A207&gt;$B$9,"",IF(COUNTIFS(Base!$B$3:$B$5001,H$197,Base!$A$3:$A$5001,"&gt;="&amp;$C$7,Base!$A$3:$A$5001,"&lt;="&amp;$B207,Base!$Y$3:$Y$5001,"&lt;&gt;")=0,"",SUMIFS(Base!$Y$3:$Y$5001,Base!$B$3:$B$5001,H$197,Base!$A$3:$A$5001,_xlfn.MAXIFS(Base!$A$3:$A$5001,Base!$B$3:$B$5001,H$197,Base!$A$3:$A$5001,"&gt;="&amp;$C$7,Base!$A$3:$A$5001,"&lt;="&amp;$B207,Base!$Y$3:$Y$5001,"&lt;&gt;"))))</f>
        <v/>
      </c>
      <c r="I207" t="str">
        <f>IF($A207&gt;$B$9,"",IF(COUNTIFS(Base!$B$3:$B$5001,I$197,Base!$A$3:$A$5001,"&gt;="&amp;$C$7,Base!$A$3:$A$5001,"&lt;="&amp;$B207,Base!$Y$3:$Y$5001,"&lt;&gt;")=0,"",SUMIFS(Base!$Y$3:$Y$5001,Base!$B$3:$B$5001,I$197,Base!$A$3:$A$5001,_xlfn.MAXIFS(Base!$A$3:$A$5001,Base!$B$3:$B$5001,I$197,Base!$A$3:$A$5001,"&gt;="&amp;$C$7,Base!$A$3:$A$5001,"&lt;="&amp;$B207,Base!$Y$3:$Y$5001,"&lt;&gt;"))))</f>
        <v/>
      </c>
      <c r="J207" t="str">
        <f>IF($A207&gt;$B$9,"",IF(COUNTIFS(Base!$B$3:$B$5001,J$197,Base!$A$3:$A$5001,"&gt;="&amp;$C$7,Base!$A$3:$A$5001,"&lt;="&amp;$B207,Base!$Y$3:$Y$5001,"&lt;&gt;")=0,"",SUMIFS(Base!$Y$3:$Y$5001,Base!$B$3:$B$5001,J$197,Base!$A$3:$A$5001,_xlfn.MAXIFS(Base!$A$3:$A$5001,Base!$B$3:$B$5001,J$197,Base!$A$3:$A$5001,"&gt;="&amp;$C$7,Base!$A$3:$A$5001,"&lt;="&amp;$B207,Base!$Y$3:$Y$5001,"&lt;&gt;"))))</f>
        <v/>
      </c>
      <c r="K207" t="str">
        <f>IF($A207&gt;$B$9,"",IF(COUNTIFS(Base!$B$3:$B$5001,K$197,Base!$A$3:$A$5001,"&gt;="&amp;$C$7,Base!$A$3:$A$5001,"&lt;="&amp;$B207,Base!$Y$3:$Y$5001,"&lt;&gt;")=0,"",SUMIFS(Base!$Y$3:$Y$5001,Base!$B$3:$B$5001,K$197,Base!$A$3:$A$5001,_xlfn.MAXIFS(Base!$A$3:$A$5001,Base!$B$3:$B$5001,K$197,Base!$A$3:$A$5001,"&gt;="&amp;$C$7,Base!$A$3:$A$5001,"&lt;="&amp;$B207,Base!$Y$3:$Y$5001,"&lt;&gt;"))))</f>
        <v/>
      </c>
    </row>
    <row r="208">
      <c r="A208">
        <v>11</v>
      </c>
      <c r="B208" s="152">
        <f>$B$22</f>
        <v>46276</v>
      </c>
      <c r="C208" t="str">
        <f>IF($A208&gt;$B$9,"",IF(COUNTIFS(Base!$B$3:$B$5001,C$197,Base!$A$3:$A$5001,"&gt;="&amp;$C$7,Base!$A$3:$A$5001,"&lt;="&amp;$B208,Base!$Y$3:$Y$5001,"&lt;&gt;")=0,"",SUMIFS(Base!$Y$3:$Y$5001,Base!$B$3:$B$5001,C$197,Base!$A$3:$A$5001,_xlfn.MAXIFS(Base!$A$3:$A$5001,Base!$B$3:$B$5001,C$197,Base!$A$3:$A$5001,"&gt;="&amp;$C$7,Base!$A$3:$A$5001,"&lt;="&amp;$B208,Base!$Y$3:$Y$5001,"&lt;&gt;"))))</f>
        <v/>
      </c>
      <c r="D208" t="str">
        <f>IF($A208&gt;$B$9,"",IF(COUNTIFS(Base!$B$3:$B$5001,D$197,Base!$A$3:$A$5001,"&gt;="&amp;$C$7,Base!$A$3:$A$5001,"&lt;="&amp;$B208,Base!$Y$3:$Y$5001,"&lt;&gt;")=0,"",SUMIFS(Base!$Y$3:$Y$5001,Base!$B$3:$B$5001,D$197,Base!$A$3:$A$5001,_xlfn.MAXIFS(Base!$A$3:$A$5001,Base!$B$3:$B$5001,D$197,Base!$A$3:$A$5001,"&gt;="&amp;$C$7,Base!$A$3:$A$5001,"&lt;="&amp;$B208,Base!$Y$3:$Y$5001,"&lt;&gt;"))))</f>
        <v/>
      </c>
      <c r="E208" t="str">
        <f>IF($A208&gt;$B$9,"",IF(COUNTIFS(Base!$B$3:$B$5001,E$197,Base!$A$3:$A$5001,"&gt;="&amp;$C$7,Base!$A$3:$A$5001,"&lt;="&amp;$B208,Base!$Y$3:$Y$5001,"&lt;&gt;")=0,"",SUMIFS(Base!$Y$3:$Y$5001,Base!$B$3:$B$5001,E$197,Base!$A$3:$A$5001,_xlfn.MAXIFS(Base!$A$3:$A$5001,Base!$B$3:$B$5001,E$197,Base!$A$3:$A$5001,"&gt;="&amp;$C$7,Base!$A$3:$A$5001,"&lt;="&amp;$B208,Base!$Y$3:$Y$5001,"&lt;&gt;"))))</f>
        <v/>
      </c>
      <c r="F208" t="str">
        <f>IF($A208&gt;$B$9,"",IF(COUNTIFS(Base!$B$3:$B$5001,F$197,Base!$A$3:$A$5001,"&gt;="&amp;$C$7,Base!$A$3:$A$5001,"&lt;="&amp;$B208,Base!$Y$3:$Y$5001,"&lt;&gt;")=0,"",SUMIFS(Base!$Y$3:$Y$5001,Base!$B$3:$B$5001,F$197,Base!$A$3:$A$5001,_xlfn.MAXIFS(Base!$A$3:$A$5001,Base!$B$3:$B$5001,F$197,Base!$A$3:$A$5001,"&gt;="&amp;$C$7,Base!$A$3:$A$5001,"&lt;="&amp;$B208,Base!$Y$3:$Y$5001,"&lt;&gt;"))))</f>
        <v/>
      </c>
      <c r="G208" t="str">
        <f>IF($A208&gt;$B$9,"",IF(COUNTIFS(Base!$B$3:$B$5001,G$197,Base!$A$3:$A$5001,"&gt;="&amp;$C$7,Base!$A$3:$A$5001,"&lt;="&amp;$B208,Base!$Y$3:$Y$5001,"&lt;&gt;")=0,"",SUMIFS(Base!$Y$3:$Y$5001,Base!$B$3:$B$5001,G$197,Base!$A$3:$A$5001,_xlfn.MAXIFS(Base!$A$3:$A$5001,Base!$B$3:$B$5001,G$197,Base!$A$3:$A$5001,"&gt;="&amp;$C$7,Base!$A$3:$A$5001,"&lt;="&amp;$B208,Base!$Y$3:$Y$5001,"&lt;&gt;"))))</f>
        <v/>
      </c>
      <c r="H208" t="str">
        <f>IF($A208&gt;$B$9,"",IF(COUNTIFS(Base!$B$3:$B$5001,H$197,Base!$A$3:$A$5001,"&gt;="&amp;$C$7,Base!$A$3:$A$5001,"&lt;="&amp;$B208,Base!$Y$3:$Y$5001,"&lt;&gt;")=0,"",SUMIFS(Base!$Y$3:$Y$5001,Base!$B$3:$B$5001,H$197,Base!$A$3:$A$5001,_xlfn.MAXIFS(Base!$A$3:$A$5001,Base!$B$3:$B$5001,H$197,Base!$A$3:$A$5001,"&gt;="&amp;$C$7,Base!$A$3:$A$5001,"&lt;="&amp;$B208,Base!$Y$3:$Y$5001,"&lt;&gt;"))))</f>
        <v/>
      </c>
      <c r="I208" t="str">
        <f>IF($A208&gt;$B$9,"",IF(COUNTIFS(Base!$B$3:$B$5001,I$197,Base!$A$3:$A$5001,"&gt;="&amp;$C$7,Base!$A$3:$A$5001,"&lt;="&amp;$B208,Base!$Y$3:$Y$5001,"&lt;&gt;")=0,"",SUMIFS(Base!$Y$3:$Y$5001,Base!$B$3:$B$5001,I$197,Base!$A$3:$A$5001,_xlfn.MAXIFS(Base!$A$3:$A$5001,Base!$B$3:$B$5001,I$197,Base!$A$3:$A$5001,"&gt;="&amp;$C$7,Base!$A$3:$A$5001,"&lt;="&amp;$B208,Base!$Y$3:$Y$5001,"&lt;&gt;"))))</f>
        <v/>
      </c>
      <c r="J208" t="str">
        <f>IF($A208&gt;$B$9,"",IF(COUNTIFS(Base!$B$3:$B$5001,J$197,Base!$A$3:$A$5001,"&gt;="&amp;$C$7,Base!$A$3:$A$5001,"&lt;="&amp;$B208,Base!$Y$3:$Y$5001,"&lt;&gt;")=0,"",SUMIFS(Base!$Y$3:$Y$5001,Base!$B$3:$B$5001,J$197,Base!$A$3:$A$5001,_xlfn.MAXIFS(Base!$A$3:$A$5001,Base!$B$3:$B$5001,J$197,Base!$A$3:$A$5001,"&gt;="&amp;$C$7,Base!$A$3:$A$5001,"&lt;="&amp;$B208,Base!$Y$3:$Y$5001,"&lt;&gt;"))))</f>
        <v/>
      </c>
      <c r="K208" t="str">
        <f>IF($A208&gt;$B$9,"",IF(COUNTIFS(Base!$B$3:$B$5001,K$197,Base!$A$3:$A$5001,"&gt;="&amp;$C$7,Base!$A$3:$A$5001,"&lt;="&amp;$B208,Base!$Y$3:$Y$5001,"&lt;&gt;")=0,"",SUMIFS(Base!$Y$3:$Y$5001,Base!$B$3:$B$5001,K$197,Base!$A$3:$A$5001,_xlfn.MAXIFS(Base!$A$3:$A$5001,Base!$B$3:$B$5001,K$197,Base!$A$3:$A$5001,"&gt;="&amp;$C$7,Base!$A$3:$A$5001,"&lt;="&amp;$B208,Base!$Y$3:$Y$5001,"&lt;&gt;"))))</f>
        <v/>
      </c>
    </row>
    <row r="209">
      <c r="A209">
        <v>12</v>
      </c>
      <c r="B209" s="152">
        <f>$B$23</f>
        <v>46277</v>
      </c>
      <c r="C209" t="str">
        <f>IF($A209&gt;$B$9,"",IF(COUNTIFS(Base!$B$3:$B$5001,C$197,Base!$A$3:$A$5001,"&gt;="&amp;$C$7,Base!$A$3:$A$5001,"&lt;="&amp;$B209,Base!$Y$3:$Y$5001,"&lt;&gt;")=0,"",SUMIFS(Base!$Y$3:$Y$5001,Base!$B$3:$B$5001,C$197,Base!$A$3:$A$5001,_xlfn.MAXIFS(Base!$A$3:$A$5001,Base!$B$3:$B$5001,C$197,Base!$A$3:$A$5001,"&gt;="&amp;$C$7,Base!$A$3:$A$5001,"&lt;="&amp;$B209,Base!$Y$3:$Y$5001,"&lt;&gt;"))))</f>
        <v/>
      </c>
      <c r="D209" t="str">
        <f>IF($A209&gt;$B$9,"",IF(COUNTIFS(Base!$B$3:$B$5001,D$197,Base!$A$3:$A$5001,"&gt;="&amp;$C$7,Base!$A$3:$A$5001,"&lt;="&amp;$B209,Base!$Y$3:$Y$5001,"&lt;&gt;")=0,"",SUMIFS(Base!$Y$3:$Y$5001,Base!$B$3:$B$5001,D$197,Base!$A$3:$A$5001,_xlfn.MAXIFS(Base!$A$3:$A$5001,Base!$B$3:$B$5001,D$197,Base!$A$3:$A$5001,"&gt;="&amp;$C$7,Base!$A$3:$A$5001,"&lt;="&amp;$B209,Base!$Y$3:$Y$5001,"&lt;&gt;"))))</f>
        <v/>
      </c>
      <c r="E209" t="str">
        <f>IF($A209&gt;$B$9,"",IF(COUNTIFS(Base!$B$3:$B$5001,E$197,Base!$A$3:$A$5001,"&gt;="&amp;$C$7,Base!$A$3:$A$5001,"&lt;="&amp;$B209,Base!$Y$3:$Y$5001,"&lt;&gt;")=0,"",SUMIFS(Base!$Y$3:$Y$5001,Base!$B$3:$B$5001,E$197,Base!$A$3:$A$5001,_xlfn.MAXIFS(Base!$A$3:$A$5001,Base!$B$3:$B$5001,E$197,Base!$A$3:$A$5001,"&gt;="&amp;$C$7,Base!$A$3:$A$5001,"&lt;="&amp;$B209,Base!$Y$3:$Y$5001,"&lt;&gt;"))))</f>
        <v/>
      </c>
      <c r="F209" t="str">
        <f>IF($A209&gt;$B$9,"",IF(COUNTIFS(Base!$B$3:$B$5001,F$197,Base!$A$3:$A$5001,"&gt;="&amp;$C$7,Base!$A$3:$A$5001,"&lt;="&amp;$B209,Base!$Y$3:$Y$5001,"&lt;&gt;")=0,"",SUMIFS(Base!$Y$3:$Y$5001,Base!$B$3:$B$5001,F$197,Base!$A$3:$A$5001,_xlfn.MAXIFS(Base!$A$3:$A$5001,Base!$B$3:$B$5001,F$197,Base!$A$3:$A$5001,"&gt;="&amp;$C$7,Base!$A$3:$A$5001,"&lt;="&amp;$B209,Base!$Y$3:$Y$5001,"&lt;&gt;"))))</f>
        <v/>
      </c>
      <c r="G209" t="str">
        <f>IF($A209&gt;$B$9,"",IF(COUNTIFS(Base!$B$3:$B$5001,G$197,Base!$A$3:$A$5001,"&gt;="&amp;$C$7,Base!$A$3:$A$5001,"&lt;="&amp;$B209,Base!$Y$3:$Y$5001,"&lt;&gt;")=0,"",SUMIFS(Base!$Y$3:$Y$5001,Base!$B$3:$B$5001,G$197,Base!$A$3:$A$5001,_xlfn.MAXIFS(Base!$A$3:$A$5001,Base!$B$3:$B$5001,G$197,Base!$A$3:$A$5001,"&gt;="&amp;$C$7,Base!$A$3:$A$5001,"&lt;="&amp;$B209,Base!$Y$3:$Y$5001,"&lt;&gt;"))))</f>
        <v/>
      </c>
      <c r="H209" t="str">
        <f>IF($A209&gt;$B$9,"",IF(COUNTIFS(Base!$B$3:$B$5001,H$197,Base!$A$3:$A$5001,"&gt;="&amp;$C$7,Base!$A$3:$A$5001,"&lt;="&amp;$B209,Base!$Y$3:$Y$5001,"&lt;&gt;")=0,"",SUMIFS(Base!$Y$3:$Y$5001,Base!$B$3:$B$5001,H$197,Base!$A$3:$A$5001,_xlfn.MAXIFS(Base!$A$3:$A$5001,Base!$B$3:$B$5001,H$197,Base!$A$3:$A$5001,"&gt;="&amp;$C$7,Base!$A$3:$A$5001,"&lt;="&amp;$B209,Base!$Y$3:$Y$5001,"&lt;&gt;"))))</f>
        <v/>
      </c>
      <c r="I209" t="str">
        <f>IF($A209&gt;$B$9,"",IF(COUNTIFS(Base!$B$3:$B$5001,I$197,Base!$A$3:$A$5001,"&gt;="&amp;$C$7,Base!$A$3:$A$5001,"&lt;="&amp;$B209,Base!$Y$3:$Y$5001,"&lt;&gt;")=0,"",SUMIFS(Base!$Y$3:$Y$5001,Base!$B$3:$B$5001,I$197,Base!$A$3:$A$5001,_xlfn.MAXIFS(Base!$A$3:$A$5001,Base!$B$3:$B$5001,I$197,Base!$A$3:$A$5001,"&gt;="&amp;$C$7,Base!$A$3:$A$5001,"&lt;="&amp;$B209,Base!$Y$3:$Y$5001,"&lt;&gt;"))))</f>
        <v/>
      </c>
      <c r="J209" t="str">
        <f>IF($A209&gt;$B$9,"",IF(COUNTIFS(Base!$B$3:$B$5001,J$197,Base!$A$3:$A$5001,"&gt;="&amp;$C$7,Base!$A$3:$A$5001,"&lt;="&amp;$B209,Base!$Y$3:$Y$5001,"&lt;&gt;")=0,"",SUMIFS(Base!$Y$3:$Y$5001,Base!$B$3:$B$5001,J$197,Base!$A$3:$A$5001,_xlfn.MAXIFS(Base!$A$3:$A$5001,Base!$B$3:$B$5001,J$197,Base!$A$3:$A$5001,"&gt;="&amp;$C$7,Base!$A$3:$A$5001,"&lt;="&amp;$B209,Base!$Y$3:$Y$5001,"&lt;&gt;"))))</f>
        <v/>
      </c>
      <c r="K209" t="str">
        <f>IF($A209&gt;$B$9,"",IF(COUNTIFS(Base!$B$3:$B$5001,K$197,Base!$A$3:$A$5001,"&gt;="&amp;$C$7,Base!$A$3:$A$5001,"&lt;="&amp;$B209,Base!$Y$3:$Y$5001,"&lt;&gt;")=0,"",SUMIFS(Base!$Y$3:$Y$5001,Base!$B$3:$B$5001,K$197,Base!$A$3:$A$5001,_xlfn.MAXIFS(Base!$A$3:$A$5001,Base!$B$3:$B$5001,K$197,Base!$A$3:$A$5001,"&gt;="&amp;$C$7,Base!$A$3:$A$5001,"&lt;="&amp;$B209,Base!$Y$3:$Y$5001,"&lt;&gt;"))))</f>
        <v/>
      </c>
    </row>
    <row r="210">
      <c r="A210">
        <v>13</v>
      </c>
      <c r="B210" s="152">
        <f>$B$24</f>
        <v>46278</v>
      </c>
      <c r="C210" t="str">
        <f>IF($A210&gt;$B$9,"",IF(COUNTIFS(Base!$B$3:$B$5001,C$197,Base!$A$3:$A$5001,"&gt;="&amp;$C$7,Base!$A$3:$A$5001,"&lt;="&amp;$B210,Base!$Y$3:$Y$5001,"&lt;&gt;")=0,"",SUMIFS(Base!$Y$3:$Y$5001,Base!$B$3:$B$5001,C$197,Base!$A$3:$A$5001,_xlfn.MAXIFS(Base!$A$3:$A$5001,Base!$B$3:$B$5001,C$197,Base!$A$3:$A$5001,"&gt;="&amp;$C$7,Base!$A$3:$A$5001,"&lt;="&amp;$B210,Base!$Y$3:$Y$5001,"&lt;&gt;"))))</f>
        <v/>
      </c>
      <c r="D210" t="str">
        <f>IF($A210&gt;$B$9,"",IF(COUNTIFS(Base!$B$3:$B$5001,D$197,Base!$A$3:$A$5001,"&gt;="&amp;$C$7,Base!$A$3:$A$5001,"&lt;="&amp;$B210,Base!$Y$3:$Y$5001,"&lt;&gt;")=0,"",SUMIFS(Base!$Y$3:$Y$5001,Base!$B$3:$B$5001,D$197,Base!$A$3:$A$5001,_xlfn.MAXIFS(Base!$A$3:$A$5001,Base!$B$3:$B$5001,D$197,Base!$A$3:$A$5001,"&gt;="&amp;$C$7,Base!$A$3:$A$5001,"&lt;="&amp;$B210,Base!$Y$3:$Y$5001,"&lt;&gt;"))))</f>
        <v/>
      </c>
      <c r="E210" t="str">
        <f>IF($A210&gt;$B$9,"",IF(COUNTIFS(Base!$B$3:$B$5001,E$197,Base!$A$3:$A$5001,"&gt;="&amp;$C$7,Base!$A$3:$A$5001,"&lt;="&amp;$B210,Base!$Y$3:$Y$5001,"&lt;&gt;")=0,"",SUMIFS(Base!$Y$3:$Y$5001,Base!$B$3:$B$5001,E$197,Base!$A$3:$A$5001,_xlfn.MAXIFS(Base!$A$3:$A$5001,Base!$B$3:$B$5001,E$197,Base!$A$3:$A$5001,"&gt;="&amp;$C$7,Base!$A$3:$A$5001,"&lt;="&amp;$B210,Base!$Y$3:$Y$5001,"&lt;&gt;"))))</f>
        <v/>
      </c>
      <c r="F210" t="str">
        <f>IF($A210&gt;$B$9,"",IF(COUNTIFS(Base!$B$3:$B$5001,F$197,Base!$A$3:$A$5001,"&gt;="&amp;$C$7,Base!$A$3:$A$5001,"&lt;="&amp;$B210,Base!$Y$3:$Y$5001,"&lt;&gt;")=0,"",SUMIFS(Base!$Y$3:$Y$5001,Base!$B$3:$B$5001,F$197,Base!$A$3:$A$5001,_xlfn.MAXIFS(Base!$A$3:$A$5001,Base!$B$3:$B$5001,F$197,Base!$A$3:$A$5001,"&gt;="&amp;$C$7,Base!$A$3:$A$5001,"&lt;="&amp;$B210,Base!$Y$3:$Y$5001,"&lt;&gt;"))))</f>
        <v/>
      </c>
      <c r="G210" t="str">
        <f>IF($A210&gt;$B$9,"",IF(COUNTIFS(Base!$B$3:$B$5001,G$197,Base!$A$3:$A$5001,"&gt;="&amp;$C$7,Base!$A$3:$A$5001,"&lt;="&amp;$B210,Base!$Y$3:$Y$5001,"&lt;&gt;")=0,"",SUMIFS(Base!$Y$3:$Y$5001,Base!$B$3:$B$5001,G$197,Base!$A$3:$A$5001,_xlfn.MAXIFS(Base!$A$3:$A$5001,Base!$B$3:$B$5001,G$197,Base!$A$3:$A$5001,"&gt;="&amp;$C$7,Base!$A$3:$A$5001,"&lt;="&amp;$B210,Base!$Y$3:$Y$5001,"&lt;&gt;"))))</f>
        <v/>
      </c>
      <c r="H210" t="str">
        <f>IF($A210&gt;$B$9,"",IF(COUNTIFS(Base!$B$3:$B$5001,H$197,Base!$A$3:$A$5001,"&gt;="&amp;$C$7,Base!$A$3:$A$5001,"&lt;="&amp;$B210,Base!$Y$3:$Y$5001,"&lt;&gt;")=0,"",SUMIFS(Base!$Y$3:$Y$5001,Base!$B$3:$B$5001,H$197,Base!$A$3:$A$5001,_xlfn.MAXIFS(Base!$A$3:$A$5001,Base!$B$3:$B$5001,H$197,Base!$A$3:$A$5001,"&gt;="&amp;$C$7,Base!$A$3:$A$5001,"&lt;="&amp;$B210,Base!$Y$3:$Y$5001,"&lt;&gt;"))))</f>
        <v/>
      </c>
      <c r="I210" t="str">
        <f>IF($A210&gt;$B$9,"",IF(COUNTIFS(Base!$B$3:$B$5001,I$197,Base!$A$3:$A$5001,"&gt;="&amp;$C$7,Base!$A$3:$A$5001,"&lt;="&amp;$B210,Base!$Y$3:$Y$5001,"&lt;&gt;")=0,"",SUMIFS(Base!$Y$3:$Y$5001,Base!$B$3:$B$5001,I$197,Base!$A$3:$A$5001,_xlfn.MAXIFS(Base!$A$3:$A$5001,Base!$B$3:$B$5001,I$197,Base!$A$3:$A$5001,"&gt;="&amp;$C$7,Base!$A$3:$A$5001,"&lt;="&amp;$B210,Base!$Y$3:$Y$5001,"&lt;&gt;"))))</f>
        <v/>
      </c>
      <c r="J210" t="str">
        <f>IF($A210&gt;$B$9,"",IF(COUNTIFS(Base!$B$3:$B$5001,J$197,Base!$A$3:$A$5001,"&gt;="&amp;$C$7,Base!$A$3:$A$5001,"&lt;="&amp;$B210,Base!$Y$3:$Y$5001,"&lt;&gt;")=0,"",SUMIFS(Base!$Y$3:$Y$5001,Base!$B$3:$B$5001,J$197,Base!$A$3:$A$5001,_xlfn.MAXIFS(Base!$A$3:$A$5001,Base!$B$3:$B$5001,J$197,Base!$A$3:$A$5001,"&gt;="&amp;$C$7,Base!$A$3:$A$5001,"&lt;="&amp;$B210,Base!$Y$3:$Y$5001,"&lt;&gt;"))))</f>
        <v/>
      </c>
      <c r="K210" t="str">
        <f>IF($A210&gt;$B$9,"",IF(COUNTIFS(Base!$B$3:$B$5001,K$197,Base!$A$3:$A$5001,"&gt;="&amp;$C$7,Base!$A$3:$A$5001,"&lt;="&amp;$B210,Base!$Y$3:$Y$5001,"&lt;&gt;")=0,"",SUMIFS(Base!$Y$3:$Y$5001,Base!$B$3:$B$5001,K$197,Base!$A$3:$A$5001,_xlfn.MAXIFS(Base!$A$3:$A$5001,Base!$B$3:$B$5001,K$197,Base!$A$3:$A$5001,"&gt;="&amp;$C$7,Base!$A$3:$A$5001,"&lt;="&amp;$B210,Base!$Y$3:$Y$5001,"&lt;&gt;"))))</f>
        <v/>
      </c>
    </row>
    <row r="211">
      <c r="A211">
        <v>14</v>
      </c>
      <c r="B211" s="152">
        <f>$B$25</f>
        <v>46279</v>
      </c>
      <c r="C211" t="str">
        <f>IF($A211&gt;$B$9,"",IF(COUNTIFS(Base!$B$3:$B$5001,C$197,Base!$A$3:$A$5001,"&gt;="&amp;$C$7,Base!$A$3:$A$5001,"&lt;="&amp;$B211,Base!$Y$3:$Y$5001,"&lt;&gt;")=0,"",SUMIFS(Base!$Y$3:$Y$5001,Base!$B$3:$B$5001,C$197,Base!$A$3:$A$5001,_xlfn.MAXIFS(Base!$A$3:$A$5001,Base!$B$3:$B$5001,C$197,Base!$A$3:$A$5001,"&gt;="&amp;$C$7,Base!$A$3:$A$5001,"&lt;="&amp;$B211,Base!$Y$3:$Y$5001,"&lt;&gt;"))))</f>
        <v/>
      </c>
      <c r="D211" t="str">
        <f>IF($A211&gt;$B$9,"",IF(COUNTIFS(Base!$B$3:$B$5001,D$197,Base!$A$3:$A$5001,"&gt;="&amp;$C$7,Base!$A$3:$A$5001,"&lt;="&amp;$B211,Base!$Y$3:$Y$5001,"&lt;&gt;")=0,"",SUMIFS(Base!$Y$3:$Y$5001,Base!$B$3:$B$5001,D$197,Base!$A$3:$A$5001,_xlfn.MAXIFS(Base!$A$3:$A$5001,Base!$B$3:$B$5001,D$197,Base!$A$3:$A$5001,"&gt;="&amp;$C$7,Base!$A$3:$A$5001,"&lt;="&amp;$B211,Base!$Y$3:$Y$5001,"&lt;&gt;"))))</f>
        <v/>
      </c>
      <c r="E211" t="str">
        <f>IF($A211&gt;$B$9,"",IF(COUNTIFS(Base!$B$3:$B$5001,E$197,Base!$A$3:$A$5001,"&gt;="&amp;$C$7,Base!$A$3:$A$5001,"&lt;="&amp;$B211,Base!$Y$3:$Y$5001,"&lt;&gt;")=0,"",SUMIFS(Base!$Y$3:$Y$5001,Base!$B$3:$B$5001,E$197,Base!$A$3:$A$5001,_xlfn.MAXIFS(Base!$A$3:$A$5001,Base!$B$3:$B$5001,E$197,Base!$A$3:$A$5001,"&gt;="&amp;$C$7,Base!$A$3:$A$5001,"&lt;="&amp;$B211,Base!$Y$3:$Y$5001,"&lt;&gt;"))))</f>
        <v/>
      </c>
      <c r="F211" t="str">
        <f>IF($A211&gt;$B$9,"",IF(COUNTIFS(Base!$B$3:$B$5001,F$197,Base!$A$3:$A$5001,"&gt;="&amp;$C$7,Base!$A$3:$A$5001,"&lt;="&amp;$B211,Base!$Y$3:$Y$5001,"&lt;&gt;")=0,"",SUMIFS(Base!$Y$3:$Y$5001,Base!$B$3:$B$5001,F$197,Base!$A$3:$A$5001,_xlfn.MAXIFS(Base!$A$3:$A$5001,Base!$B$3:$B$5001,F$197,Base!$A$3:$A$5001,"&gt;="&amp;$C$7,Base!$A$3:$A$5001,"&lt;="&amp;$B211,Base!$Y$3:$Y$5001,"&lt;&gt;"))))</f>
        <v/>
      </c>
      <c r="G211" t="str">
        <f>IF($A211&gt;$B$9,"",IF(COUNTIFS(Base!$B$3:$B$5001,G$197,Base!$A$3:$A$5001,"&gt;="&amp;$C$7,Base!$A$3:$A$5001,"&lt;="&amp;$B211,Base!$Y$3:$Y$5001,"&lt;&gt;")=0,"",SUMIFS(Base!$Y$3:$Y$5001,Base!$B$3:$B$5001,G$197,Base!$A$3:$A$5001,_xlfn.MAXIFS(Base!$A$3:$A$5001,Base!$B$3:$B$5001,G$197,Base!$A$3:$A$5001,"&gt;="&amp;$C$7,Base!$A$3:$A$5001,"&lt;="&amp;$B211,Base!$Y$3:$Y$5001,"&lt;&gt;"))))</f>
        <v/>
      </c>
      <c r="H211" t="str">
        <f>IF($A211&gt;$B$9,"",IF(COUNTIFS(Base!$B$3:$B$5001,H$197,Base!$A$3:$A$5001,"&gt;="&amp;$C$7,Base!$A$3:$A$5001,"&lt;="&amp;$B211,Base!$Y$3:$Y$5001,"&lt;&gt;")=0,"",SUMIFS(Base!$Y$3:$Y$5001,Base!$B$3:$B$5001,H$197,Base!$A$3:$A$5001,_xlfn.MAXIFS(Base!$A$3:$A$5001,Base!$B$3:$B$5001,H$197,Base!$A$3:$A$5001,"&gt;="&amp;$C$7,Base!$A$3:$A$5001,"&lt;="&amp;$B211,Base!$Y$3:$Y$5001,"&lt;&gt;"))))</f>
        <v/>
      </c>
      <c r="I211" t="str">
        <f>IF($A211&gt;$B$9,"",IF(COUNTIFS(Base!$B$3:$B$5001,I$197,Base!$A$3:$A$5001,"&gt;="&amp;$C$7,Base!$A$3:$A$5001,"&lt;="&amp;$B211,Base!$Y$3:$Y$5001,"&lt;&gt;")=0,"",SUMIFS(Base!$Y$3:$Y$5001,Base!$B$3:$B$5001,I$197,Base!$A$3:$A$5001,_xlfn.MAXIFS(Base!$A$3:$A$5001,Base!$B$3:$B$5001,I$197,Base!$A$3:$A$5001,"&gt;="&amp;$C$7,Base!$A$3:$A$5001,"&lt;="&amp;$B211,Base!$Y$3:$Y$5001,"&lt;&gt;"))))</f>
        <v/>
      </c>
      <c r="J211" t="str">
        <f>IF($A211&gt;$B$9,"",IF(COUNTIFS(Base!$B$3:$B$5001,J$197,Base!$A$3:$A$5001,"&gt;="&amp;$C$7,Base!$A$3:$A$5001,"&lt;="&amp;$B211,Base!$Y$3:$Y$5001,"&lt;&gt;")=0,"",SUMIFS(Base!$Y$3:$Y$5001,Base!$B$3:$B$5001,J$197,Base!$A$3:$A$5001,_xlfn.MAXIFS(Base!$A$3:$A$5001,Base!$B$3:$B$5001,J$197,Base!$A$3:$A$5001,"&gt;="&amp;$C$7,Base!$A$3:$A$5001,"&lt;="&amp;$B211,Base!$Y$3:$Y$5001,"&lt;&gt;"))))</f>
        <v/>
      </c>
      <c r="K211" t="str">
        <f>IF($A211&gt;$B$9,"",IF(COUNTIFS(Base!$B$3:$B$5001,K$197,Base!$A$3:$A$5001,"&gt;="&amp;$C$7,Base!$A$3:$A$5001,"&lt;="&amp;$B211,Base!$Y$3:$Y$5001,"&lt;&gt;")=0,"",SUMIFS(Base!$Y$3:$Y$5001,Base!$B$3:$B$5001,K$197,Base!$A$3:$A$5001,_xlfn.MAXIFS(Base!$A$3:$A$5001,Base!$B$3:$B$5001,K$197,Base!$A$3:$A$5001,"&gt;="&amp;$C$7,Base!$A$3:$A$5001,"&lt;="&amp;$B211,Base!$Y$3:$Y$5001,"&lt;&gt;"))))</f>
        <v/>
      </c>
    </row>
    <row r="212">
      <c r="A212">
        <v>15</v>
      </c>
      <c r="B212" s="152">
        <f>$B$26</f>
        <v>46280</v>
      </c>
      <c r="C212" t="str">
        <f>IF($A212&gt;$B$9,"",IF(COUNTIFS(Base!$B$3:$B$5001,C$197,Base!$A$3:$A$5001,"&gt;="&amp;$C$7,Base!$A$3:$A$5001,"&lt;="&amp;$B212,Base!$Y$3:$Y$5001,"&lt;&gt;")=0,"",SUMIFS(Base!$Y$3:$Y$5001,Base!$B$3:$B$5001,C$197,Base!$A$3:$A$5001,_xlfn.MAXIFS(Base!$A$3:$A$5001,Base!$B$3:$B$5001,C$197,Base!$A$3:$A$5001,"&gt;="&amp;$C$7,Base!$A$3:$A$5001,"&lt;="&amp;$B212,Base!$Y$3:$Y$5001,"&lt;&gt;"))))</f>
        <v/>
      </c>
      <c r="D212" t="str">
        <f>IF($A212&gt;$B$9,"",IF(COUNTIFS(Base!$B$3:$B$5001,D$197,Base!$A$3:$A$5001,"&gt;="&amp;$C$7,Base!$A$3:$A$5001,"&lt;="&amp;$B212,Base!$Y$3:$Y$5001,"&lt;&gt;")=0,"",SUMIFS(Base!$Y$3:$Y$5001,Base!$B$3:$B$5001,D$197,Base!$A$3:$A$5001,_xlfn.MAXIFS(Base!$A$3:$A$5001,Base!$B$3:$B$5001,D$197,Base!$A$3:$A$5001,"&gt;="&amp;$C$7,Base!$A$3:$A$5001,"&lt;="&amp;$B212,Base!$Y$3:$Y$5001,"&lt;&gt;"))))</f>
        <v/>
      </c>
      <c r="E212" t="str">
        <f>IF($A212&gt;$B$9,"",IF(COUNTIFS(Base!$B$3:$B$5001,E$197,Base!$A$3:$A$5001,"&gt;="&amp;$C$7,Base!$A$3:$A$5001,"&lt;="&amp;$B212,Base!$Y$3:$Y$5001,"&lt;&gt;")=0,"",SUMIFS(Base!$Y$3:$Y$5001,Base!$B$3:$B$5001,E$197,Base!$A$3:$A$5001,_xlfn.MAXIFS(Base!$A$3:$A$5001,Base!$B$3:$B$5001,E$197,Base!$A$3:$A$5001,"&gt;="&amp;$C$7,Base!$A$3:$A$5001,"&lt;="&amp;$B212,Base!$Y$3:$Y$5001,"&lt;&gt;"))))</f>
        <v/>
      </c>
      <c r="F212" t="str">
        <f>IF($A212&gt;$B$9,"",IF(COUNTIFS(Base!$B$3:$B$5001,F$197,Base!$A$3:$A$5001,"&gt;="&amp;$C$7,Base!$A$3:$A$5001,"&lt;="&amp;$B212,Base!$Y$3:$Y$5001,"&lt;&gt;")=0,"",SUMIFS(Base!$Y$3:$Y$5001,Base!$B$3:$B$5001,F$197,Base!$A$3:$A$5001,_xlfn.MAXIFS(Base!$A$3:$A$5001,Base!$B$3:$B$5001,F$197,Base!$A$3:$A$5001,"&gt;="&amp;$C$7,Base!$A$3:$A$5001,"&lt;="&amp;$B212,Base!$Y$3:$Y$5001,"&lt;&gt;"))))</f>
        <v/>
      </c>
      <c r="G212" t="str">
        <f>IF($A212&gt;$B$9,"",IF(COUNTIFS(Base!$B$3:$B$5001,G$197,Base!$A$3:$A$5001,"&gt;="&amp;$C$7,Base!$A$3:$A$5001,"&lt;="&amp;$B212,Base!$Y$3:$Y$5001,"&lt;&gt;")=0,"",SUMIFS(Base!$Y$3:$Y$5001,Base!$B$3:$B$5001,G$197,Base!$A$3:$A$5001,_xlfn.MAXIFS(Base!$A$3:$A$5001,Base!$B$3:$B$5001,G$197,Base!$A$3:$A$5001,"&gt;="&amp;$C$7,Base!$A$3:$A$5001,"&lt;="&amp;$B212,Base!$Y$3:$Y$5001,"&lt;&gt;"))))</f>
        <v/>
      </c>
      <c r="H212" t="str">
        <f>IF($A212&gt;$B$9,"",IF(COUNTIFS(Base!$B$3:$B$5001,H$197,Base!$A$3:$A$5001,"&gt;="&amp;$C$7,Base!$A$3:$A$5001,"&lt;="&amp;$B212,Base!$Y$3:$Y$5001,"&lt;&gt;")=0,"",SUMIFS(Base!$Y$3:$Y$5001,Base!$B$3:$B$5001,H$197,Base!$A$3:$A$5001,_xlfn.MAXIFS(Base!$A$3:$A$5001,Base!$B$3:$B$5001,H$197,Base!$A$3:$A$5001,"&gt;="&amp;$C$7,Base!$A$3:$A$5001,"&lt;="&amp;$B212,Base!$Y$3:$Y$5001,"&lt;&gt;"))))</f>
        <v/>
      </c>
      <c r="I212" t="str">
        <f>IF($A212&gt;$B$9,"",IF(COUNTIFS(Base!$B$3:$B$5001,I$197,Base!$A$3:$A$5001,"&gt;="&amp;$C$7,Base!$A$3:$A$5001,"&lt;="&amp;$B212,Base!$Y$3:$Y$5001,"&lt;&gt;")=0,"",SUMIFS(Base!$Y$3:$Y$5001,Base!$B$3:$B$5001,I$197,Base!$A$3:$A$5001,_xlfn.MAXIFS(Base!$A$3:$A$5001,Base!$B$3:$B$5001,I$197,Base!$A$3:$A$5001,"&gt;="&amp;$C$7,Base!$A$3:$A$5001,"&lt;="&amp;$B212,Base!$Y$3:$Y$5001,"&lt;&gt;"))))</f>
        <v/>
      </c>
      <c r="J212" t="str">
        <f>IF($A212&gt;$B$9,"",IF(COUNTIFS(Base!$B$3:$B$5001,J$197,Base!$A$3:$A$5001,"&gt;="&amp;$C$7,Base!$A$3:$A$5001,"&lt;="&amp;$B212,Base!$Y$3:$Y$5001,"&lt;&gt;")=0,"",SUMIFS(Base!$Y$3:$Y$5001,Base!$B$3:$B$5001,J$197,Base!$A$3:$A$5001,_xlfn.MAXIFS(Base!$A$3:$A$5001,Base!$B$3:$B$5001,J$197,Base!$A$3:$A$5001,"&gt;="&amp;$C$7,Base!$A$3:$A$5001,"&lt;="&amp;$B212,Base!$Y$3:$Y$5001,"&lt;&gt;"))))</f>
        <v/>
      </c>
      <c r="K212" t="str">
        <f>IF($A212&gt;$B$9,"",IF(COUNTIFS(Base!$B$3:$B$5001,K$197,Base!$A$3:$A$5001,"&gt;="&amp;$C$7,Base!$A$3:$A$5001,"&lt;="&amp;$B212,Base!$Y$3:$Y$5001,"&lt;&gt;")=0,"",SUMIFS(Base!$Y$3:$Y$5001,Base!$B$3:$B$5001,K$197,Base!$A$3:$A$5001,_xlfn.MAXIFS(Base!$A$3:$A$5001,Base!$B$3:$B$5001,K$197,Base!$A$3:$A$5001,"&gt;="&amp;$C$7,Base!$A$3:$A$5001,"&lt;="&amp;$B212,Base!$Y$3:$Y$5001,"&lt;&gt;"))))</f>
        <v/>
      </c>
    </row>
    <row r="213">
      <c r="A213">
        <v>16</v>
      </c>
      <c r="B213" s="152">
        <f>$B$27</f>
        <v>46281</v>
      </c>
      <c r="C213" t="str">
        <f>IF($A213&gt;$B$9,"",IF(COUNTIFS(Base!$B$3:$B$5001,C$197,Base!$A$3:$A$5001,"&gt;="&amp;$C$7,Base!$A$3:$A$5001,"&lt;="&amp;$B213,Base!$Y$3:$Y$5001,"&lt;&gt;")=0,"",SUMIFS(Base!$Y$3:$Y$5001,Base!$B$3:$B$5001,C$197,Base!$A$3:$A$5001,_xlfn.MAXIFS(Base!$A$3:$A$5001,Base!$B$3:$B$5001,C$197,Base!$A$3:$A$5001,"&gt;="&amp;$C$7,Base!$A$3:$A$5001,"&lt;="&amp;$B213,Base!$Y$3:$Y$5001,"&lt;&gt;"))))</f>
        <v/>
      </c>
      <c r="D213" t="str">
        <f>IF($A213&gt;$B$9,"",IF(COUNTIFS(Base!$B$3:$B$5001,D$197,Base!$A$3:$A$5001,"&gt;="&amp;$C$7,Base!$A$3:$A$5001,"&lt;="&amp;$B213,Base!$Y$3:$Y$5001,"&lt;&gt;")=0,"",SUMIFS(Base!$Y$3:$Y$5001,Base!$B$3:$B$5001,D$197,Base!$A$3:$A$5001,_xlfn.MAXIFS(Base!$A$3:$A$5001,Base!$B$3:$B$5001,D$197,Base!$A$3:$A$5001,"&gt;="&amp;$C$7,Base!$A$3:$A$5001,"&lt;="&amp;$B213,Base!$Y$3:$Y$5001,"&lt;&gt;"))))</f>
        <v/>
      </c>
      <c r="E213" t="str">
        <f>IF($A213&gt;$B$9,"",IF(COUNTIFS(Base!$B$3:$B$5001,E$197,Base!$A$3:$A$5001,"&gt;="&amp;$C$7,Base!$A$3:$A$5001,"&lt;="&amp;$B213,Base!$Y$3:$Y$5001,"&lt;&gt;")=0,"",SUMIFS(Base!$Y$3:$Y$5001,Base!$B$3:$B$5001,E$197,Base!$A$3:$A$5001,_xlfn.MAXIFS(Base!$A$3:$A$5001,Base!$B$3:$B$5001,E$197,Base!$A$3:$A$5001,"&gt;="&amp;$C$7,Base!$A$3:$A$5001,"&lt;="&amp;$B213,Base!$Y$3:$Y$5001,"&lt;&gt;"))))</f>
        <v/>
      </c>
      <c r="F213" t="str">
        <f>IF($A213&gt;$B$9,"",IF(COUNTIFS(Base!$B$3:$B$5001,F$197,Base!$A$3:$A$5001,"&gt;="&amp;$C$7,Base!$A$3:$A$5001,"&lt;="&amp;$B213,Base!$Y$3:$Y$5001,"&lt;&gt;")=0,"",SUMIFS(Base!$Y$3:$Y$5001,Base!$B$3:$B$5001,F$197,Base!$A$3:$A$5001,_xlfn.MAXIFS(Base!$A$3:$A$5001,Base!$B$3:$B$5001,F$197,Base!$A$3:$A$5001,"&gt;="&amp;$C$7,Base!$A$3:$A$5001,"&lt;="&amp;$B213,Base!$Y$3:$Y$5001,"&lt;&gt;"))))</f>
        <v/>
      </c>
      <c r="G213" t="str">
        <f>IF($A213&gt;$B$9,"",IF(COUNTIFS(Base!$B$3:$B$5001,G$197,Base!$A$3:$A$5001,"&gt;="&amp;$C$7,Base!$A$3:$A$5001,"&lt;="&amp;$B213,Base!$Y$3:$Y$5001,"&lt;&gt;")=0,"",SUMIFS(Base!$Y$3:$Y$5001,Base!$B$3:$B$5001,G$197,Base!$A$3:$A$5001,_xlfn.MAXIFS(Base!$A$3:$A$5001,Base!$B$3:$B$5001,G$197,Base!$A$3:$A$5001,"&gt;="&amp;$C$7,Base!$A$3:$A$5001,"&lt;="&amp;$B213,Base!$Y$3:$Y$5001,"&lt;&gt;"))))</f>
        <v/>
      </c>
      <c r="H213" t="str">
        <f>IF($A213&gt;$B$9,"",IF(COUNTIFS(Base!$B$3:$B$5001,H$197,Base!$A$3:$A$5001,"&gt;="&amp;$C$7,Base!$A$3:$A$5001,"&lt;="&amp;$B213,Base!$Y$3:$Y$5001,"&lt;&gt;")=0,"",SUMIFS(Base!$Y$3:$Y$5001,Base!$B$3:$B$5001,H$197,Base!$A$3:$A$5001,_xlfn.MAXIFS(Base!$A$3:$A$5001,Base!$B$3:$B$5001,H$197,Base!$A$3:$A$5001,"&gt;="&amp;$C$7,Base!$A$3:$A$5001,"&lt;="&amp;$B213,Base!$Y$3:$Y$5001,"&lt;&gt;"))))</f>
        <v/>
      </c>
      <c r="I213" t="str">
        <f>IF($A213&gt;$B$9,"",IF(COUNTIFS(Base!$B$3:$B$5001,I$197,Base!$A$3:$A$5001,"&gt;="&amp;$C$7,Base!$A$3:$A$5001,"&lt;="&amp;$B213,Base!$Y$3:$Y$5001,"&lt;&gt;")=0,"",SUMIFS(Base!$Y$3:$Y$5001,Base!$B$3:$B$5001,I$197,Base!$A$3:$A$5001,_xlfn.MAXIFS(Base!$A$3:$A$5001,Base!$B$3:$B$5001,I$197,Base!$A$3:$A$5001,"&gt;="&amp;$C$7,Base!$A$3:$A$5001,"&lt;="&amp;$B213,Base!$Y$3:$Y$5001,"&lt;&gt;"))))</f>
        <v/>
      </c>
      <c r="J213" t="str">
        <f>IF($A213&gt;$B$9,"",IF(COUNTIFS(Base!$B$3:$B$5001,J$197,Base!$A$3:$A$5001,"&gt;="&amp;$C$7,Base!$A$3:$A$5001,"&lt;="&amp;$B213,Base!$Y$3:$Y$5001,"&lt;&gt;")=0,"",SUMIFS(Base!$Y$3:$Y$5001,Base!$B$3:$B$5001,J$197,Base!$A$3:$A$5001,_xlfn.MAXIFS(Base!$A$3:$A$5001,Base!$B$3:$B$5001,J$197,Base!$A$3:$A$5001,"&gt;="&amp;$C$7,Base!$A$3:$A$5001,"&lt;="&amp;$B213,Base!$Y$3:$Y$5001,"&lt;&gt;"))))</f>
        <v/>
      </c>
      <c r="K213" t="str">
        <f>IF($A213&gt;$B$9,"",IF(COUNTIFS(Base!$B$3:$B$5001,K$197,Base!$A$3:$A$5001,"&gt;="&amp;$C$7,Base!$A$3:$A$5001,"&lt;="&amp;$B213,Base!$Y$3:$Y$5001,"&lt;&gt;")=0,"",SUMIFS(Base!$Y$3:$Y$5001,Base!$B$3:$B$5001,K$197,Base!$A$3:$A$5001,_xlfn.MAXIFS(Base!$A$3:$A$5001,Base!$B$3:$B$5001,K$197,Base!$A$3:$A$5001,"&gt;="&amp;$C$7,Base!$A$3:$A$5001,"&lt;="&amp;$B213,Base!$Y$3:$Y$5001,"&lt;&gt;"))))</f>
        <v/>
      </c>
    </row>
    <row r="214">
      <c r="A214">
        <v>17</v>
      </c>
      <c r="B214" s="152">
        <f>$B$28</f>
        <v>46282</v>
      </c>
      <c r="C214" t="str">
        <f>IF($A214&gt;$B$9,"",IF(COUNTIFS(Base!$B$3:$B$5001,C$197,Base!$A$3:$A$5001,"&gt;="&amp;$C$7,Base!$A$3:$A$5001,"&lt;="&amp;$B214,Base!$Y$3:$Y$5001,"&lt;&gt;")=0,"",SUMIFS(Base!$Y$3:$Y$5001,Base!$B$3:$B$5001,C$197,Base!$A$3:$A$5001,_xlfn.MAXIFS(Base!$A$3:$A$5001,Base!$B$3:$B$5001,C$197,Base!$A$3:$A$5001,"&gt;="&amp;$C$7,Base!$A$3:$A$5001,"&lt;="&amp;$B214,Base!$Y$3:$Y$5001,"&lt;&gt;"))))</f>
        <v/>
      </c>
      <c r="D214" t="str">
        <f>IF($A214&gt;$B$9,"",IF(COUNTIFS(Base!$B$3:$B$5001,D$197,Base!$A$3:$A$5001,"&gt;="&amp;$C$7,Base!$A$3:$A$5001,"&lt;="&amp;$B214,Base!$Y$3:$Y$5001,"&lt;&gt;")=0,"",SUMIFS(Base!$Y$3:$Y$5001,Base!$B$3:$B$5001,D$197,Base!$A$3:$A$5001,_xlfn.MAXIFS(Base!$A$3:$A$5001,Base!$B$3:$B$5001,D$197,Base!$A$3:$A$5001,"&gt;="&amp;$C$7,Base!$A$3:$A$5001,"&lt;="&amp;$B214,Base!$Y$3:$Y$5001,"&lt;&gt;"))))</f>
        <v/>
      </c>
      <c r="E214" t="str">
        <f>IF($A214&gt;$B$9,"",IF(COUNTIFS(Base!$B$3:$B$5001,E$197,Base!$A$3:$A$5001,"&gt;="&amp;$C$7,Base!$A$3:$A$5001,"&lt;="&amp;$B214,Base!$Y$3:$Y$5001,"&lt;&gt;")=0,"",SUMIFS(Base!$Y$3:$Y$5001,Base!$B$3:$B$5001,E$197,Base!$A$3:$A$5001,_xlfn.MAXIFS(Base!$A$3:$A$5001,Base!$B$3:$B$5001,E$197,Base!$A$3:$A$5001,"&gt;="&amp;$C$7,Base!$A$3:$A$5001,"&lt;="&amp;$B214,Base!$Y$3:$Y$5001,"&lt;&gt;"))))</f>
        <v/>
      </c>
      <c r="F214" t="str">
        <f>IF($A214&gt;$B$9,"",IF(COUNTIFS(Base!$B$3:$B$5001,F$197,Base!$A$3:$A$5001,"&gt;="&amp;$C$7,Base!$A$3:$A$5001,"&lt;="&amp;$B214,Base!$Y$3:$Y$5001,"&lt;&gt;")=0,"",SUMIFS(Base!$Y$3:$Y$5001,Base!$B$3:$B$5001,F$197,Base!$A$3:$A$5001,_xlfn.MAXIFS(Base!$A$3:$A$5001,Base!$B$3:$B$5001,F$197,Base!$A$3:$A$5001,"&gt;="&amp;$C$7,Base!$A$3:$A$5001,"&lt;="&amp;$B214,Base!$Y$3:$Y$5001,"&lt;&gt;"))))</f>
        <v/>
      </c>
      <c r="G214" t="str">
        <f>IF($A214&gt;$B$9,"",IF(COUNTIFS(Base!$B$3:$B$5001,G$197,Base!$A$3:$A$5001,"&gt;="&amp;$C$7,Base!$A$3:$A$5001,"&lt;="&amp;$B214,Base!$Y$3:$Y$5001,"&lt;&gt;")=0,"",SUMIFS(Base!$Y$3:$Y$5001,Base!$B$3:$B$5001,G$197,Base!$A$3:$A$5001,_xlfn.MAXIFS(Base!$A$3:$A$5001,Base!$B$3:$B$5001,G$197,Base!$A$3:$A$5001,"&gt;="&amp;$C$7,Base!$A$3:$A$5001,"&lt;="&amp;$B214,Base!$Y$3:$Y$5001,"&lt;&gt;"))))</f>
        <v/>
      </c>
      <c r="H214" t="str">
        <f>IF($A214&gt;$B$9,"",IF(COUNTIFS(Base!$B$3:$B$5001,H$197,Base!$A$3:$A$5001,"&gt;="&amp;$C$7,Base!$A$3:$A$5001,"&lt;="&amp;$B214,Base!$Y$3:$Y$5001,"&lt;&gt;")=0,"",SUMIFS(Base!$Y$3:$Y$5001,Base!$B$3:$B$5001,H$197,Base!$A$3:$A$5001,_xlfn.MAXIFS(Base!$A$3:$A$5001,Base!$B$3:$B$5001,H$197,Base!$A$3:$A$5001,"&gt;="&amp;$C$7,Base!$A$3:$A$5001,"&lt;="&amp;$B214,Base!$Y$3:$Y$5001,"&lt;&gt;"))))</f>
        <v/>
      </c>
      <c r="I214" t="str">
        <f>IF($A214&gt;$B$9,"",IF(COUNTIFS(Base!$B$3:$B$5001,I$197,Base!$A$3:$A$5001,"&gt;="&amp;$C$7,Base!$A$3:$A$5001,"&lt;="&amp;$B214,Base!$Y$3:$Y$5001,"&lt;&gt;")=0,"",SUMIFS(Base!$Y$3:$Y$5001,Base!$B$3:$B$5001,I$197,Base!$A$3:$A$5001,_xlfn.MAXIFS(Base!$A$3:$A$5001,Base!$B$3:$B$5001,I$197,Base!$A$3:$A$5001,"&gt;="&amp;$C$7,Base!$A$3:$A$5001,"&lt;="&amp;$B214,Base!$Y$3:$Y$5001,"&lt;&gt;"))))</f>
        <v/>
      </c>
      <c r="J214" t="str">
        <f>IF($A214&gt;$B$9,"",IF(COUNTIFS(Base!$B$3:$B$5001,J$197,Base!$A$3:$A$5001,"&gt;="&amp;$C$7,Base!$A$3:$A$5001,"&lt;="&amp;$B214,Base!$Y$3:$Y$5001,"&lt;&gt;")=0,"",SUMIFS(Base!$Y$3:$Y$5001,Base!$B$3:$B$5001,J$197,Base!$A$3:$A$5001,_xlfn.MAXIFS(Base!$A$3:$A$5001,Base!$B$3:$B$5001,J$197,Base!$A$3:$A$5001,"&gt;="&amp;$C$7,Base!$A$3:$A$5001,"&lt;="&amp;$B214,Base!$Y$3:$Y$5001,"&lt;&gt;"))))</f>
        <v/>
      </c>
      <c r="K214" t="str">
        <f>IF($A214&gt;$B$9,"",IF(COUNTIFS(Base!$B$3:$B$5001,K$197,Base!$A$3:$A$5001,"&gt;="&amp;$C$7,Base!$A$3:$A$5001,"&lt;="&amp;$B214,Base!$Y$3:$Y$5001,"&lt;&gt;")=0,"",SUMIFS(Base!$Y$3:$Y$5001,Base!$B$3:$B$5001,K$197,Base!$A$3:$A$5001,_xlfn.MAXIFS(Base!$A$3:$A$5001,Base!$B$3:$B$5001,K$197,Base!$A$3:$A$5001,"&gt;="&amp;$C$7,Base!$A$3:$A$5001,"&lt;="&amp;$B214,Base!$Y$3:$Y$5001,"&lt;&gt;"))))</f>
        <v/>
      </c>
    </row>
    <row r="215">
      <c r="A215">
        <v>18</v>
      </c>
      <c r="B215" s="152">
        <f>$B$29</f>
        <v>46283</v>
      </c>
      <c r="C215" t="str">
        <f>IF($A215&gt;$B$9,"",IF(COUNTIFS(Base!$B$3:$B$5001,C$197,Base!$A$3:$A$5001,"&gt;="&amp;$C$7,Base!$A$3:$A$5001,"&lt;="&amp;$B215,Base!$Y$3:$Y$5001,"&lt;&gt;")=0,"",SUMIFS(Base!$Y$3:$Y$5001,Base!$B$3:$B$5001,C$197,Base!$A$3:$A$5001,_xlfn.MAXIFS(Base!$A$3:$A$5001,Base!$B$3:$B$5001,C$197,Base!$A$3:$A$5001,"&gt;="&amp;$C$7,Base!$A$3:$A$5001,"&lt;="&amp;$B215,Base!$Y$3:$Y$5001,"&lt;&gt;"))))</f>
        <v/>
      </c>
      <c r="D215" t="str">
        <f>IF($A215&gt;$B$9,"",IF(COUNTIFS(Base!$B$3:$B$5001,D$197,Base!$A$3:$A$5001,"&gt;="&amp;$C$7,Base!$A$3:$A$5001,"&lt;="&amp;$B215,Base!$Y$3:$Y$5001,"&lt;&gt;")=0,"",SUMIFS(Base!$Y$3:$Y$5001,Base!$B$3:$B$5001,D$197,Base!$A$3:$A$5001,_xlfn.MAXIFS(Base!$A$3:$A$5001,Base!$B$3:$B$5001,D$197,Base!$A$3:$A$5001,"&gt;="&amp;$C$7,Base!$A$3:$A$5001,"&lt;="&amp;$B215,Base!$Y$3:$Y$5001,"&lt;&gt;"))))</f>
        <v/>
      </c>
      <c r="E215" t="str">
        <f>IF($A215&gt;$B$9,"",IF(COUNTIFS(Base!$B$3:$B$5001,E$197,Base!$A$3:$A$5001,"&gt;="&amp;$C$7,Base!$A$3:$A$5001,"&lt;="&amp;$B215,Base!$Y$3:$Y$5001,"&lt;&gt;")=0,"",SUMIFS(Base!$Y$3:$Y$5001,Base!$B$3:$B$5001,E$197,Base!$A$3:$A$5001,_xlfn.MAXIFS(Base!$A$3:$A$5001,Base!$B$3:$B$5001,E$197,Base!$A$3:$A$5001,"&gt;="&amp;$C$7,Base!$A$3:$A$5001,"&lt;="&amp;$B215,Base!$Y$3:$Y$5001,"&lt;&gt;"))))</f>
        <v/>
      </c>
      <c r="F215" t="str">
        <f>IF($A215&gt;$B$9,"",IF(COUNTIFS(Base!$B$3:$B$5001,F$197,Base!$A$3:$A$5001,"&gt;="&amp;$C$7,Base!$A$3:$A$5001,"&lt;="&amp;$B215,Base!$Y$3:$Y$5001,"&lt;&gt;")=0,"",SUMIFS(Base!$Y$3:$Y$5001,Base!$B$3:$B$5001,F$197,Base!$A$3:$A$5001,_xlfn.MAXIFS(Base!$A$3:$A$5001,Base!$B$3:$B$5001,F$197,Base!$A$3:$A$5001,"&gt;="&amp;$C$7,Base!$A$3:$A$5001,"&lt;="&amp;$B215,Base!$Y$3:$Y$5001,"&lt;&gt;"))))</f>
        <v/>
      </c>
      <c r="G215" t="str">
        <f>IF($A215&gt;$B$9,"",IF(COUNTIFS(Base!$B$3:$B$5001,G$197,Base!$A$3:$A$5001,"&gt;="&amp;$C$7,Base!$A$3:$A$5001,"&lt;="&amp;$B215,Base!$Y$3:$Y$5001,"&lt;&gt;")=0,"",SUMIFS(Base!$Y$3:$Y$5001,Base!$B$3:$B$5001,G$197,Base!$A$3:$A$5001,_xlfn.MAXIFS(Base!$A$3:$A$5001,Base!$B$3:$B$5001,G$197,Base!$A$3:$A$5001,"&gt;="&amp;$C$7,Base!$A$3:$A$5001,"&lt;="&amp;$B215,Base!$Y$3:$Y$5001,"&lt;&gt;"))))</f>
        <v/>
      </c>
      <c r="H215" t="str">
        <f>IF($A215&gt;$B$9,"",IF(COUNTIFS(Base!$B$3:$B$5001,H$197,Base!$A$3:$A$5001,"&gt;="&amp;$C$7,Base!$A$3:$A$5001,"&lt;="&amp;$B215,Base!$Y$3:$Y$5001,"&lt;&gt;")=0,"",SUMIFS(Base!$Y$3:$Y$5001,Base!$B$3:$B$5001,H$197,Base!$A$3:$A$5001,_xlfn.MAXIFS(Base!$A$3:$A$5001,Base!$B$3:$B$5001,H$197,Base!$A$3:$A$5001,"&gt;="&amp;$C$7,Base!$A$3:$A$5001,"&lt;="&amp;$B215,Base!$Y$3:$Y$5001,"&lt;&gt;"))))</f>
        <v/>
      </c>
      <c r="I215" t="str">
        <f>IF($A215&gt;$B$9,"",IF(COUNTIFS(Base!$B$3:$B$5001,I$197,Base!$A$3:$A$5001,"&gt;="&amp;$C$7,Base!$A$3:$A$5001,"&lt;="&amp;$B215,Base!$Y$3:$Y$5001,"&lt;&gt;")=0,"",SUMIFS(Base!$Y$3:$Y$5001,Base!$B$3:$B$5001,I$197,Base!$A$3:$A$5001,_xlfn.MAXIFS(Base!$A$3:$A$5001,Base!$B$3:$B$5001,I$197,Base!$A$3:$A$5001,"&gt;="&amp;$C$7,Base!$A$3:$A$5001,"&lt;="&amp;$B215,Base!$Y$3:$Y$5001,"&lt;&gt;"))))</f>
        <v/>
      </c>
      <c r="J215" t="str">
        <f>IF($A215&gt;$B$9,"",IF(COUNTIFS(Base!$B$3:$B$5001,J$197,Base!$A$3:$A$5001,"&gt;="&amp;$C$7,Base!$A$3:$A$5001,"&lt;="&amp;$B215,Base!$Y$3:$Y$5001,"&lt;&gt;")=0,"",SUMIFS(Base!$Y$3:$Y$5001,Base!$B$3:$B$5001,J$197,Base!$A$3:$A$5001,_xlfn.MAXIFS(Base!$A$3:$A$5001,Base!$B$3:$B$5001,J$197,Base!$A$3:$A$5001,"&gt;="&amp;$C$7,Base!$A$3:$A$5001,"&lt;="&amp;$B215,Base!$Y$3:$Y$5001,"&lt;&gt;"))))</f>
        <v/>
      </c>
      <c r="K215" t="str">
        <f>IF($A215&gt;$B$9,"",IF(COUNTIFS(Base!$B$3:$B$5001,K$197,Base!$A$3:$A$5001,"&gt;="&amp;$C$7,Base!$A$3:$A$5001,"&lt;="&amp;$B215,Base!$Y$3:$Y$5001,"&lt;&gt;")=0,"",SUMIFS(Base!$Y$3:$Y$5001,Base!$B$3:$B$5001,K$197,Base!$A$3:$A$5001,_xlfn.MAXIFS(Base!$A$3:$A$5001,Base!$B$3:$B$5001,K$197,Base!$A$3:$A$5001,"&gt;="&amp;$C$7,Base!$A$3:$A$5001,"&lt;="&amp;$B215,Base!$Y$3:$Y$5001,"&lt;&gt;"))))</f>
        <v/>
      </c>
    </row>
    <row r="216">
      <c r="A216">
        <v>19</v>
      </c>
      <c r="B216" s="152">
        <f>$B$30</f>
        <v>46284</v>
      </c>
      <c r="C216" t="str">
        <f>IF($A216&gt;$B$9,"",IF(COUNTIFS(Base!$B$3:$B$5001,C$197,Base!$A$3:$A$5001,"&gt;="&amp;$C$7,Base!$A$3:$A$5001,"&lt;="&amp;$B216,Base!$Y$3:$Y$5001,"&lt;&gt;")=0,"",SUMIFS(Base!$Y$3:$Y$5001,Base!$B$3:$B$5001,C$197,Base!$A$3:$A$5001,_xlfn.MAXIFS(Base!$A$3:$A$5001,Base!$B$3:$B$5001,C$197,Base!$A$3:$A$5001,"&gt;="&amp;$C$7,Base!$A$3:$A$5001,"&lt;="&amp;$B216,Base!$Y$3:$Y$5001,"&lt;&gt;"))))</f>
        <v/>
      </c>
      <c r="D216" t="str">
        <f>IF($A216&gt;$B$9,"",IF(COUNTIFS(Base!$B$3:$B$5001,D$197,Base!$A$3:$A$5001,"&gt;="&amp;$C$7,Base!$A$3:$A$5001,"&lt;="&amp;$B216,Base!$Y$3:$Y$5001,"&lt;&gt;")=0,"",SUMIFS(Base!$Y$3:$Y$5001,Base!$B$3:$B$5001,D$197,Base!$A$3:$A$5001,_xlfn.MAXIFS(Base!$A$3:$A$5001,Base!$B$3:$B$5001,D$197,Base!$A$3:$A$5001,"&gt;="&amp;$C$7,Base!$A$3:$A$5001,"&lt;="&amp;$B216,Base!$Y$3:$Y$5001,"&lt;&gt;"))))</f>
        <v/>
      </c>
      <c r="E216" t="str">
        <f>IF($A216&gt;$B$9,"",IF(COUNTIFS(Base!$B$3:$B$5001,E$197,Base!$A$3:$A$5001,"&gt;="&amp;$C$7,Base!$A$3:$A$5001,"&lt;="&amp;$B216,Base!$Y$3:$Y$5001,"&lt;&gt;")=0,"",SUMIFS(Base!$Y$3:$Y$5001,Base!$B$3:$B$5001,E$197,Base!$A$3:$A$5001,_xlfn.MAXIFS(Base!$A$3:$A$5001,Base!$B$3:$B$5001,E$197,Base!$A$3:$A$5001,"&gt;="&amp;$C$7,Base!$A$3:$A$5001,"&lt;="&amp;$B216,Base!$Y$3:$Y$5001,"&lt;&gt;"))))</f>
        <v/>
      </c>
      <c r="F216" t="str">
        <f>IF($A216&gt;$B$9,"",IF(COUNTIFS(Base!$B$3:$B$5001,F$197,Base!$A$3:$A$5001,"&gt;="&amp;$C$7,Base!$A$3:$A$5001,"&lt;="&amp;$B216,Base!$Y$3:$Y$5001,"&lt;&gt;")=0,"",SUMIFS(Base!$Y$3:$Y$5001,Base!$B$3:$B$5001,F$197,Base!$A$3:$A$5001,_xlfn.MAXIFS(Base!$A$3:$A$5001,Base!$B$3:$B$5001,F$197,Base!$A$3:$A$5001,"&gt;="&amp;$C$7,Base!$A$3:$A$5001,"&lt;="&amp;$B216,Base!$Y$3:$Y$5001,"&lt;&gt;"))))</f>
        <v/>
      </c>
      <c r="G216" t="str">
        <f>IF($A216&gt;$B$9,"",IF(COUNTIFS(Base!$B$3:$B$5001,G$197,Base!$A$3:$A$5001,"&gt;="&amp;$C$7,Base!$A$3:$A$5001,"&lt;="&amp;$B216,Base!$Y$3:$Y$5001,"&lt;&gt;")=0,"",SUMIFS(Base!$Y$3:$Y$5001,Base!$B$3:$B$5001,G$197,Base!$A$3:$A$5001,_xlfn.MAXIFS(Base!$A$3:$A$5001,Base!$B$3:$B$5001,G$197,Base!$A$3:$A$5001,"&gt;="&amp;$C$7,Base!$A$3:$A$5001,"&lt;="&amp;$B216,Base!$Y$3:$Y$5001,"&lt;&gt;"))))</f>
        <v/>
      </c>
      <c r="H216" t="str">
        <f>IF($A216&gt;$B$9,"",IF(COUNTIFS(Base!$B$3:$B$5001,H$197,Base!$A$3:$A$5001,"&gt;="&amp;$C$7,Base!$A$3:$A$5001,"&lt;="&amp;$B216,Base!$Y$3:$Y$5001,"&lt;&gt;")=0,"",SUMIFS(Base!$Y$3:$Y$5001,Base!$B$3:$B$5001,H$197,Base!$A$3:$A$5001,_xlfn.MAXIFS(Base!$A$3:$A$5001,Base!$B$3:$B$5001,H$197,Base!$A$3:$A$5001,"&gt;="&amp;$C$7,Base!$A$3:$A$5001,"&lt;="&amp;$B216,Base!$Y$3:$Y$5001,"&lt;&gt;"))))</f>
        <v/>
      </c>
      <c r="I216" t="str">
        <f>IF($A216&gt;$B$9,"",IF(COUNTIFS(Base!$B$3:$B$5001,I$197,Base!$A$3:$A$5001,"&gt;="&amp;$C$7,Base!$A$3:$A$5001,"&lt;="&amp;$B216,Base!$Y$3:$Y$5001,"&lt;&gt;")=0,"",SUMIFS(Base!$Y$3:$Y$5001,Base!$B$3:$B$5001,I$197,Base!$A$3:$A$5001,_xlfn.MAXIFS(Base!$A$3:$A$5001,Base!$B$3:$B$5001,I$197,Base!$A$3:$A$5001,"&gt;="&amp;$C$7,Base!$A$3:$A$5001,"&lt;="&amp;$B216,Base!$Y$3:$Y$5001,"&lt;&gt;"))))</f>
        <v/>
      </c>
      <c r="J216" t="str">
        <f>IF($A216&gt;$B$9,"",IF(COUNTIFS(Base!$B$3:$B$5001,J$197,Base!$A$3:$A$5001,"&gt;="&amp;$C$7,Base!$A$3:$A$5001,"&lt;="&amp;$B216,Base!$Y$3:$Y$5001,"&lt;&gt;")=0,"",SUMIFS(Base!$Y$3:$Y$5001,Base!$B$3:$B$5001,J$197,Base!$A$3:$A$5001,_xlfn.MAXIFS(Base!$A$3:$A$5001,Base!$B$3:$B$5001,J$197,Base!$A$3:$A$5001,"&gt;="&amp;$C$7,Base!$A$3:$A$5001,"&lt;="&amp;$B216,Base!$Y$3:$Y$5001,"&lt;&gt;"))))</f>
        <v/>
      </c>
      <c r="K216" t="str">
        <f>IF($A216&gt;$B$9,"",IF(COUNTIFS(Base!$B$3:$B$5001,K$197,Base!$A$3:$A$5001,"&gt;="&amp;$C$7,Base!$A$3:$A$5001,"&lt;="&amp;$B216,Base!$Y$3:$Y$5001,"&lt;&gt;")=0,"",SUMIFS(Base!$Y$3:$Y$5001,Base!$B$3:$B$5001,K$197,Base!$A$3:$A$5001,_xlfn.MAXIFS(Base!$A$3:$A$5001,Base!$B$3:$B$5001,K$197,Base!$A$3:$A$5001,"&gt;="&amp;$C$7,Base!$A$3:$A$5001,"&lt;="&amp;$B216,Base!$Y$3:$Y$5001,"&lt;&gt;"))))</f>
        <v/>
      </c>
    </row>
    <row r="217">
      <c r="A217">
        <v>20</v>
      </c>
      <c r="B217" s="152">
        <f>$B$31</f>
        <v>46285</v>
      </c>
      <c r="C217" t="str">
        <f>IF($A217&gt;$B$9,"",IF(COUNTIFS(Base!$B$3:$B$5001,C$197,Base!$A$3:$A$5001,"&gt;="&amp;$C$7,Base!$A$3:$A$5001,"&lt;="&amp;$B217,Base!$Y$3:$Y$5001,"&lt;&gt;")=0,"",SUMIFS(Base!$Y$3:$Y$5001,Base!$B$3:$B$5001,C$197,Base!$A$3:$A$5001,_xlfn.MAXIFS(Base!$A$3:$A$5001,Base!$B$3:$B$5001,C$197,Base!$A$3:$A$5001,"&gt;="&amp;$C$7,Base!$A$3:$A$5001,"&lt;="&amp;$B217,Base!$Y$3:$Y$5001,"&lt;&gt;"))))</f>
        <v/>
      </c>
      <c r="D217" t="str">
        <f>IF($A217&gt;$B$9,"",IF(COUNTIFS(Base!$B$3:$B$5001,D$197,Base!$A$3:$A$5001,"&gt;="&amp;$C$7,Base!$A$3:$A$5001,"&lt;="&amp;$B217,Base!$Y$3:$Y$5001,"&lt;&gt;")=0,"",SUMIFS(Base!$Y$3:$Y$5001,Base!$B$3:$B$5001,D$197,Base!$A$3:$A$5001,_xlfn.MAXIFS(Base!$A$3:$A$5001,Base!$B$3:$B$5001,D$197,Base!$A$3:$A$5001,"&gt;="&amp;$C$7,Base!$A$3:$A$5001,"&lt;="&amp;$B217,Base!$Y$3:$Y$5001,"&lt;&gt;"))))</f>
        <v/>
      </c>
      <c r="E217" t="str">
        <f>IF($A217&gt;$B$9,"",IF(COUNTIFS(Base!$B$3:$B$5001,E$197,Base!$A$3:$A$5001,"&gt;="&amp;$C$7,Base!$A$3:$A$5001,"&lt;="&amp;$B217,Base!$Y$3:$Y$5001,"&lt;&gt;")=0,"",SUMIFS(Base!$Y$3:$Y$5001,Base!$B$3:$B$5001,E$197,Base!$A$3:$A$5001,_xlfn.MAXIFS(Base!$A$3:$A$5001,Base!$B$3:$B$5001,E$197,Base!$A$3:$A$5001,"&gt;="&amp;$C$7,Base!$A$3:$A$5001,"&lt;="&amp;$B217,Base!$Y$3:$Y$5001,"&lt;&gt;"))))</f>
        <v/>
      </c>
      <c r="F217" t="str">
        <f>IF($A217&gt;$B$9,"",IF(COUNTIFS(Base!$B$3:$B$5001,F$197,Base!$A$3:$A$5001,"&gt;="&amp;$C$7,Base!$A$3:$A$5001,"&lt;="&amp;$B217,Base!$Y$3:$Y$5001,"&lt;&gt;")=0,"",SUMIFS(Base!$Y$3:$Y$5001,Base!$B$3:$B$5001,F$197,Base!$A$3:$A$5001,_xlfn.MAXIFS(Base!$A$3:$A$5001,Base!$B$3:$B$5001,F$197,Base!$A$3:$A$5001,"&gt;="&amp;$C$7,Base!$A$3:$A$5001,"&lt;="&amp;$B217,Base!$Y$3:$Y$5001,"&lt;&gt;"))))</f>
        <v/>
      </c>
      <c r="G217" t="str">
        <f>IF($A217&gt;$B$9,"",IF(COUNTIFS(Base!$B$3:$B$5001,G$197,Base!$A$3:$A$5001,"&gt;="&amp;$C$7,Base!$A$3:$A$5001,"&lt;="&amp;$B217,Base!$Y$3:$Y$5001,"&lt;&gt;")=0,"",SUMIFS(Base!$Y$3:$Y$5001,Base!$B$3:$B$5001,G$197,Base!$A$3:$A$5001,_xlfn.MAXIFS(Base!$A$3:$A$5001,Base!$B$3:$B$5001,G$197,Base!$A$3:$A$5001,"&gt;="&amp;$C$7,Base!$A$3:$A$5001,"&lt;="&amp;$B217,Base!$Y$3:$Y$5001,"&lt;&gt;"))))</f>
        <v/>
      </c>
      <c r="H217" t="str">
        <f>IF($A217&gt;$B$9,"",IF(COUNTIFS(Base!$B$3:$B$5001,H$197,Base!$A$3:$A$5001,"&gt;="&amp;$C$7,Base!$A$3:$A$5001,"&lt;="&amp;$B217,Base!$Y$3:$Y$5001,"&lt;&gt;")=0,"",SUMIFS(Base!$Y$3:$Y$5001,Base!$B$3:$B$5001,H$197,Base!$A$3:$A$5001,_xlfn.MAXIFS(Base!$A$3:$A$5001,Base!$B$3:$B$5001,H$197,Base!$A$3:$A$5001,"&gt;="&amp;$C$7,Base!$A$3:$A$5001,"&lt;="&amp;$B217,Base!$Y$3:$Y$5001,"&lt;&gt;"))))</f>
        <v/>
      </c>
      <c r="I217" t="str">
        <f>IF($A217&gt;$B$9,"",IF(COUNTIFS(Base!$B$3:$B$5001,I$197,Base!$A$3:$A$5001,"&gt;="&amp;$C$7,Base!$A$3:$A$5001,"&lt;="&amp;$B217,Base!$Y$3:$Y$5001,"&lt;&gt;")=0,"",SUMIFS(Base!$Y$3:$Y$5001,Base!$B$3:$B$5001,I$197,Base!$A$3:$A$5001,_xlfn.MAXIFS(Base!$A$3:$A$5001,Base!$B$3:$B$5001,I$197,Base!$A$3:$A$5001,"&gt;="&amp;$C$7,Base!$A$3:$A$5001,"&lt;="&amp;$B217,Base!$Y$3:$Y$5001,"&lt;&gt;"))))</f>
        <v/>
      </c>
      <c r="J217" t="str">
        <f>IF($A217&gt;$B$9,"",IF(COUNTIFS(Base!$B$3:$B$5001,J$197,Base!$A$3:$A$5001,"&gt;="&amp;$C$7,Base!$A$3:$A$5001,"&lt;="&amp;$B217,Base!$Y$3:$Y$5001,"&lt;&gt;")=0,"",SUMIFS(Base!$Y$3:$Y$5001,Base!$B$3:$B$5001,J$197,Base!$A$3:$A$5001,_xlfn.MAXIFS(Base!$A$3:$A$5001,Base!$B$3:$B$5001,J$197,Base!$A$3:$A$5001,"&gt;="&amp;$C$7,Base!$A$3:$A$5001,"&lt;="&amp;$B217,Base!$Y$3:$Y$5001,"&lt;&gt;"))))</f>
        <v/>
      </c>
      <c r="K217" t="str">
        <f>IF($A217&gt;$B$9,"",IF(COUNTIFS(Base!$B$3:$B$5001,K$197,Base!$A$3:$A$5001,"&gt;="&amp;$C$7,Base!$A$3:$A$5001,"&lt;="&amp;$B217,Base!$Y$3:$Y$5001,"&lt;&gt;")=0,"",SUMIFS(Base!$Y$3:$Y$5001,Base!$B$3:$B$5001,K$197,Base!$A$3:$A$5001,_xlfn.MAXIFS(Base!$A$3:$A$5001,Base!$B$3:$B$5001,K$197,Base!$A$3:$A$5001,"&gt;="&amp;$C$7,Base!$A$3:$A$5001,"&lt;="&amp;$B217,Base!$Y$3:$Y$5001,"&lt;&gt;"))))</f>
        <v/>
      </c>
    </row>
    <row r="218">
      <c r="A218">
        <v>21</v>
      </c>
      <c r="B218" s="152">
        <f>$B$32</f>
        <v>46286</v>
      </c>
      <c r="C218" t="str">
        <f>IF($A218&gt;$B$9,"",IF(COUNTIFS(Base!$B$3:$B$5001,C$197,Base!$A$3:$A$5001,"&gt;="&amp;$C$7,Base!$A$3:$A$5001,"&lt;="&amp;$B218,Base!$Y$3:$Y$5001,"&lt;&gt;")=0,"",SUMIFS(Base!$Y$3:$Y$5001,Base!$B$3:$B$5001,C$197,Base!$A$3:$A$5001,_xlfn.MAXIFS(Base!$A$3:$A$5001,Base!$B$3:$B$5001,C$197,Base!$A$3:$A$5001,"&gt;="&amp;$C$7,Base!$A$3:$A$5001,"&lt;="&amp;$B218,Base!$Y$3:$Y$5001,"&lt;&gt;"))))</f>
        <v/>
      </c>
      <c r="D218" t="str">
        <f>IF($A218&gt;$B$9,"",IF(COUNTIFS(Base!$B$3:$B$5001,D$197,Base!$A$3:$A$5001,"&gt;="&amp;$C$7,Base!$A$3:$A$5001,"&lt;="&amp;$B218,Base!$Y$3:$Y$5001,"&lt;&gt;")=0,"",SUMIFS(Base!$Y$3:$Y$5001,Base!$B$3:$B$5001,D$197,Base!$A$3:$A$5001,_xlfn.MAXIFS(Base!$A$3:$A$5001,Base!$B$3:$B$5001,D$197,Base!$A$3:$A$5001,"&gt;="&amp;$C$7,Base!$A$3:$A$5001,"&lt;="&amp;$B218,Base!$Y$3:$Y$5001,"&lt;&gt;"))))</f>
        <v/>
      </c>
      <c r="E218" t="str">
        <f>IF($A218&gt;$B$9,"",IF(COUNTIFS(Base!$B$3:$B$5001,E$197,Base!$A$3:$A$5001,"&gt;="&amp;$C$7,Base!$A$3:$A$5001,"&lt;="&amp;$B218,Base!$Y$3:$Y$5001,"&lt;&gt;")=0,"",SUMIFS(Base!$Y$3:$Y$5001,Base!$B$3:$B$5001,E$197,Base!$A$3:$A$5001,_xlfn.MAXIFS(Base!$A$3:$A$5001,Base!$B$3:$B$5001,E$197,Base!$A$3:$A$5001,"&gt;="&amp;$C$7,Base!$A$3:$A$5001,"&lt;="&amp;$B218,Base!$Y$3:$Y$5001,"&lt;&gt;"))))</f>
        <v/>
      </c>
      <c r="F218" t="str">
        <f>IF($A218&gt;$B$9,"",IF(COUNTIFS(Base!$B$3:$B$5001,F$197,Base!$A$3:$A$5001,"&gt;="&amp;$C$7,Base!$A$3:$A$5001,"&lt;="&amp;$B218,Base!$Y$3:$Y$5001,"&lt;&gt;")=0,"",SUMIFS(Base!$Y$3:$Y$5001,Base!$B$3:$B$5001,F$197,Base!$A$3:$A$5001,_xlfn.MAXIFS(Base!$A$3:$A$5001,Base!$B$3:$B$5001,F$197,Base!$A$3:$A$5001,"&gt;="&amp;$C$7,Base!$A$3:$A$5001,"&lt;="&amp;$B218,Base!$Y$3:$Y$5001,"&lt;&gt;"))))</f>
        <v/>
      </c>
      <c r="G218" t="str">
        <f>IF($A218&gt;$B$9,"",IF(COUNTIFS(Base!$B$3:$B$5001,G$197,Base!$A$3:$A$5001,"&gt;="&amp;$C$7,Base!$A$3:$A$5001,"&lt;="&amp;$B218,Base!$Y$3:$Y$5001,"&lt;&gt;")=0,"",SUMIFS(Base!$Y$3:$Y$5001,Base!$B$3:$B$5001,G$197,Base!$A$3:$A$5001,_xlfn.MAXIFS(Base!$A$3:$A$5001,Base!$B$3:$B$5001,G$197,Base!$A$3:$A$5001,"&gt;="&amp;$C$7,Base!$A$3:$A$5001,"&lt;="&amp;$B218,Base!$Y$3:$Y$5001,"&lt;&gt;"))))</f>
        <v/>
      </c>
      <c r="H218" t="str">
        <f>IF($A218&gt;$B$9,"",IF(COUNTIFS(Base!$B$3:$B$5001,H$197,Base!$A$3:$A$5001,"&gt;="&amp;$C$7,Base!$A$3:$A$5001,"&lt;="&amp;$B218,Base!$Y$3:$Y$5001,"&lt;&gt;")=0,"",SUMIFS(Base!$Y$3:$Y$5001,Base!$B$3:$B$5001,H$197,Base!$A$3:$A$5001,_xlfn.MAXIFS(Base!$A$3:$A$5001,Base!$B$3:$B$5001,H$197,Base!$A$3:$A$5001,"&gt;="&amp;$C$7,Base!$A$3:$A$5001,"&lt;="&amp;$B218,Base!$Y$3:$Y$5001,"&lt;&gt;"))))</f>
        <v/>
      </c>
      <c r="I218" t="str">
        <f>IF($A218&gt;$B$9,"",IF(COUNTIFS(Base!$B$3:$B$5001,I$197,Base!$A$3:$A$5001,"&gt;="&amp;$C$7,Base!$A$3:$A$5001,"&lt;="&amp;$B218,Base!$Y$3:$Y$5001,"&lt;&gt;")=0,"",SUMIFS(Base!$Y$3:$Y$5001,Base!$B$3:$B$5001,I$197,Base!$A$3:$A$5001,_xlfn.MAXIFS(Base!$A$3:$A$5001,Base!$B$3:$B$5001,I$197,Base!$A$3:$A$5001,"&gt;="&amp;$C$7,Base!$A$3:$A$5001,"&lt;="&amp;$B218,Base!$Y$3:$Y$5001,"&lt;&gt;"))))</f>
        <v/>
      </c>
      <c r="J218" t="str">
        <f>IF($A218&gt;$B$9,"",IF(COUNTIFS(Base!$B$3:$B$5001,J$197,Base!$A$3:$A$5001,"&gt;="&amp;$C$7,Base!$A$3:$A$5001,"&lt;="&amp;$B218,Base!$Y$3:$Y$5001,"&lt;&gt;")=0,"",SUMIFS(Base!$Y$3:$Y$5001,Base!$B$3:$B$5001,J$197,Base!$A$3:$A$5001,_xlfn.MAXIFS(Base!$A$3:$A$5001,Base!$B$3:$B$5001,J$197,Base!$A$3:$A$5001,"&gt;="&amp;$C$7,Base!$A$3:$A$5001,"&lt;="&amp;$B218,Base!$Y$3:$Y$5001,"&lt;&gt;"))))</f>
        <v/>
      </c>
      <c r="K218" t="str">
        <f>IF($A218&gt;$B$9,"",IF(COUNTIFS(Base!$B$3:$B$5001,K$197,Base!$A$3:$A$5001,"&gt;="&amp;$C$7,Base!$A$3:$A$5001,"&lt;="&amp;$B218,Base!$Y$3:$Y$5001,"&lt;&gt;")=0,"",SUMIFS(Base!$Y$3:$Y$5001,Base!$B$3:$B$5001,K$197,Base!$A$3:$A$5001,_xlfn.MAXIFS(Base!$A$3:$A$5001,Base!$B$3:$B$5001,K$197,Base!$A$3:$A$5001,"&gt;="&amp;$C$7,Base!$A$3:$A$5001,"&lt;="&amp;$B218,Base!$Y$3:$Y$5001,"&lt;&gt;"))))</f>
        <v/>
      </c>
    </row>
    <row r="219">
      <c r="A219">
        <v>22</v>
      </c>
      <c r="B219" s="152">
        <f>$B$33</f>
        <v>46287</v>
      </c>
      <c r="C219" t="str">
        <f>IF($A219&gt;$B$9,"",IF(COUNTIFS(Base!$B$3:$B$5001,C$197,Base!$A$3:$A$5001,"&gt;="&amp;$C$7,Base!$A$3:$A$5001,"&lt;="&amp;$B219,Base!$Y$3:$Y$5001,"&lt;&gt;")=0,"",SUMIFS(Base!$Y$3:$Y$5001,Base!$B$3:$B$5001,C$197,Base!$A$3:$A$5001,_xlfn.MAXIFS(Base!$A$3:$A$5001,Base!$B$3:$B$5001,C$197,Base!$A$3:$A$5001,"&gt;="&amp;$C$7,Base!$A$3:$A$5001,"&lt;="&amp;$B219,Base!$Y$3:$Y$5001,"&lt;&gt;"))))</f>
        <v/>
      </c>
      <c r="D219" t="str">
        <f>IF($A219&gt;$B$9,"",IF(COUNTIFS(Base!$B$3:$B$5001,D$197,Base!$A$3:$A$5001,"&gt;="&amp;$C$7,Base!$A$3:$A$5001,"&lt;="&amp;$B219,Base!$Y$3:$Y$5001,"&lt;&gt;")=0,"",SUMIFS(Base!$Y$3:$Y$5001,Base!$B$3:$B$5001,D$197,Base!$A$3:$A$5001,_xlfn.MAXIFS(Base!$A$3:$A$5001,Base!$B$3:$B$5001,D$197,Base!$A$3:$A$5001,"&gt;="&amp;$C$7,Base!$A$3:$A$5001,"&lt;="&amp;$B219,Base!$Y$3:$Y$5001,"&lt;&gt;"))))</f>
        <v/>
      </c>
      <c r="E219" t="str">
        <f>IF($A219&gt;$B$9,"",IF(COUNTIFS(Base!$B$3:$B$5001,E$197,Base!$A$3:$A$5001,"&gt;="&amp;$C$7,Base!$A$3:$A$5001,"&lt;="&amp;$B219,Base!$Y$3:$Y$5001,"&lt;&gt;")=0,"",SUMIFS(Base!$Y$3:$Y$5001,Base!$B$3:$B$5001,E$197,Base!$A$3:$A$5001,_xlfn.MAXIFS(Base!$A$3:$A$5001,Base!$B$3:$B$5001,E$197,Base!$A$3:$A$5001,"&gt;="&amp;$C$7,Base!$A$3:$A$5001,"&lt;="&amp;$B219,Base!$Y$3:$Y$5001,"&lt;&gt;"))))</f>
        <v/>
      </c>
      <c r="F219" t="str">
        <f>IF($A219&gt;$B$9,"",IF(COUNTIFS(Base!$B$3:$B$5001,F$197,Base!$A$3:$A$5001,"&gt;="&amp;$C$7,Base!$A$3:$A$5001,"&lt;="&amp;$B219,Base!$Y$3:$Y$5001,"&lt;&gt;")=0,"",SUMIFS(Base!$Y$3:$Y$5001,Base!$B$3:$B$5001,F$197,Base!$A$3:$A$5001,_xlfn.MAXIFS(Base!$A$3:$A$5001,Base!$B$3:$B$5001,F$197,Base!$A$3:$A$5001,"&gt;="&amp;$C$7,Base!$A$3:$A$5001,"&lt;="&amp;$B219,Base!$Y$3:$Y$5001,"&lt;&gt;"))))</f>
        <v/>
      </c>
      <c r="G219" t="str">
        <f>IF($A219&gt;$B$9,"",IF(COUNTIFS(Base!$B$3:$B$5001,G$197,Base!$A$3:$A$5001,"&gt;="&amp;$C$7,Base!$A$3:$A$5001,"&lt;="&amp;$B219,Base!$Y$3:$Y$5001,"&lt;&gt;")=0,"",SUMIFS(Base!$Y$3:$Y$5001,Base!$B$3:$B$5001,G$197,Base!$A$3:$A$5001,_xlfn.MAXIFS(Base!$A$3:$A$5001,Base!$B$3:$B$5001,G$197,Base!$A$3:$A$5001,"&gt;="&amp;$C$7,Base!$A$3:$A$5001,"&lt;="&amp;$B219,Base!$Y$3:$Y$5001,"&lt;&gt;"))))</f>
        <v/>
      </c>
      <c r="H219" t="str">
        <f>IF($A219&gt;$B$9,"",IF(COUNTIFS(Base!$B$3:$B$5001,H$197,Base!$A$3:$A$5001,"&gt;="&amp;$C$7,Base!$A$3:$A$5001,"&lt;="&amp;$B219,Base!$Y$3:$Y$5001,"&lt;&gt;")=0,"",SUMIFS(Base!$Y$3:$Y$5001,Base!$B$3:$B$5001,H$197,Base!$A$3:$A$5001,_xlfn.MAXIFS(Base!$A$3:$A$5001,Base!$B$3:$B$5001,H$197,Base!$A$3:$A$5001,"&gt;="&amp;$C$7,Base!$A$3:$A$5001,"&lt;="&amp;$B219,Base!$Y$3:$Y$5001,"&lt;&gt;"))))</f>
        <v/>
      </c>
      <c r="I219" t="str">
        <f>IF($A219&gt;$B$9,"",IF(COUNTIFS(Base!$B$3:$B$5001,I$197,Base!$A$3:$A$5001,"&gt;="&amp;$C$7,Base!$A$3:$A$5001,"&lt;="&amp;$B219,Base!$Y$3:$Y$5001,"&lt;&gt;")=0,"",SUMIFS(Base!$Y$3:$Y$5001,Base!$B$3:$B$5001,I$197,Base!$A$3:$A$5001,_xlfn.MAXIFS(Base!$A$3:$A$5001,Base!$B$3:$B$5001,I$197,Base!$A$3:$A$5001,"&gt;="&amp;$C$7,Base!$A$3:$A$5001,"&lt;="&amp;$B219,Base!$Y$3:$Y$5001,"&lt;&gt;"))))</f>
        <v/>
      </c>
      <c r="J219" t="str">
        <f>IF($A219&gt;$B$9,"",IF(COUNTIFS(Base!$B$3:$B$5001,J$197,Base!$A$3:$A$5001,"&gt;="&amp;$C$7,Base!$A$3:$A$5001,"&lt;="&amp;$B219,Base!$Y$3:$Y$5001,"&lt;&gt;")=0,"",SUMIFS(Base!$Y$3:$Y$5001,Base!$B$3:$B$5001,J$197,Base!$A$3:$A$5001,_xlfn.MAXIFS(Base!$A$3:$A$5001,Base!$B$3:$B$5001,J$197,Base!$A$3:$A$5001,"&gt;="&amp;$C$7,Base!$A$3:$A$5001,"&lt;="&amp;$B219,Base!$Y$3:$Y$5001,"&lt;&gt;"))))</f>
        <v/>
      </c>
      <c r="K219" t="str">
        <f>IF($A219&gt;$B$9,"",IF(COUNTIFS(Base!$B$3:$B$5001,K$197,Base!$A$3:$A$5001,"&gt;="&amp;$C$7,Base!$A$3:$A$5001,"&lt;="&amp;$B219,Base!$Y$3:$Y$5001,"&lt;&gt;")=0,"",SUMIFS(Base!$Y$3:$Y$5001,Base!$B$3:$B$5001,K$197,Base!$A$3:$A$5001,_xlfn.MAXIFS(Base!$A$3:$A$5001,Base!$B$3:$B$5001,K$197,Base!$A$3:$A$5001,"&gt;="&amp;$C$7,Base!$A$3:$A$5001,"&lt;="&amp;$B219,Base!$Y$3:$Y$5001,"&lt;&gt;"))))</f>
        <v/>
      </c>
    </row>
    <row r="220">
      <c r="A220">
        <v>23</v>
      </c>
      <c r="B220" s="152">
        <f>$B$34</f>
        <v>46288</v>
      </c>
      <c r="C220" t="str">
        <f>IF($A220&gt;$B$9,"",IF(COUNTIFS(Base!$B$3:$B$5001,C$197,Base!$A$3:$A$5001,"&gt;="&amp;$C$7,Base!$A$3:$A$5001,"&lt;="&amp;$B220,Base!$Y$3:$Y$5001,"&lt;&gt;")=0,"",SUMIFS(Base!$Y$3:$Y$5001,Base!$B$3:$B$5001,C$197,Base!$A$3:$A$5001,_xlfn.MAXIFS(Base!$A$3:$A$5001,Base!$B$3:$B$5001,C$197,Base!$A$3:$A$5001,"&gt;="&amp;$C$7,Base!$A$3:$A$5001,"&lt;="&amp;$B220,Base!$Y$3:$Y$5001,"&lt;&gt;"))))</f>
        <v/>
      </c>
      <c r="D220" t="str">
        <f>IF($A220&gt;$B$9,"",IF(COUNTIFS(Base!$B$3:$B$5001,D$197,Base!$A$3:$A$5001,"&gt;="&amp;$C$7,Base!$A$3:$A$5001,"&lt;="&amp;$B220,Base!$Y$3:$Y$5001,"&lt;&gt;")=0,"",SUMIFS(Base!$Y$3:$Y$5001,Base!$B$3:$B$5001,D$197,Base!$A$3:$A$5001,_xlfn.MAXIFS(Base!$A$3:$A$5001,Base!$B$3:$B$5001,D$197,Base!$A$3:$A$5001,"&gt;="&amp;$C$7,Base!$A$3:$A$5001,"&lt;="&amp;$B220,Base!$Y$3:$Y$5001,"&lt;&gt;"))))</f>
        <v/>
      </c>
      <c r="E220" t="str">
        <f>IF($A220&gt;$B$9,"",IF(COUNTIFS(Base!$B$3:$B$5001,E$197,Base!$A$3:$A$5001,"&gt;="&amp;$C$7,Base!$A$3:$A$5001,"&lt;="&amp;$B220,Base!$Y$3:$Y$5001,"&lt;&gt;")=0,"",SUMIFS(Base!$Y$3:$Y$5001,Base!$B$3:$B$5001,E$197,Base!$A$3:$A$5001,_xlfn.MAXIFS(Base!$A$3:$A$5001,Base!$B$3:$B$5001,E$197,Base!$A$3:$A$5001,"&gt;="&amp;$C$7,Base!$A$3:$A$5001,"&lt;="&amp;$B220,Base!$Y$3:$Y$5001,"&lt;&gt;"))))</f>
        <v/>
      </c>
      <c r="F220" t="str">
        <f>IF($A220&gt;$B$9,"",IF(COUNTIFS(Base!$B$3:$B$5001,F$197,Base!$A$3:$A$5001,"&gt;="&amp;$C$7,Base!$A$3:$A$5001,"&lt;="&amp;$B220,Base!$Y$3:$Y$5001,"&lt;&gt;")=0,"",SUMIFS(Base!$Y$3:$Y$5001,Base!$B$3:$B$5001,F$197,Base!$A$3:$A$5001,_xlfn.MAXIFS(Base!$A$3:$A$5001,Base!$B$3:$B$5001,F$197,Base!$A$3:$A$5001,"&gt;="&amp;$C$7,Base!$A$3:$A$5001,"&lt;="&amp;$B220,Base!$Y$3:$Y$5001,"&lt;&gt;"))))</f>
        <v/>
      </c>
      <c r="G220" t="str">
        <f>IF($A220&gt;$B$9,"",IF(COUNTIFS(Base!$B$3:$B$5001,G$197,Base!$A$3:$A$5001,"&gt;="&amp;$C$7,Base!$A$3:$A$5001,"&lt;="&amp;$B220,Base!$Y$3:$Y$5001,"&lt;&gt;")=0,"",SUMIFS(Base!$Y$3:$Y$5001,Base!$B$3:$B$5001,G$197,Base!$A$3:$A$5001,_xlfn.MAXIFS(Base!$A$3:$A$5001,Base!$B$3:$B$5001,G$197,Base!$A$3:$A$5001,"&gt;="&amp;$C$7,Base!$A$3:$A$5001,"&lt;="&amp;$B220,Base!$Y$3:$Y$5001,"&lt;&gt;"))))</f>
        <v/>
      </c>
      <c r="H220" t="str">
        <f>IF($A220&gt;$B$9,"",IF(COUNTIFS(Base!$B$3:$B$5001,H$197,Base!$A$3:$A$5001,"&gt;="&amp;$C$7,Base!$A$3:$A$5001,"&lt;="&amp;$B220,Base!$Y$3:$Y$5001,"&lt;&gt;")=0,"",SUMIFS(Base!$Y$3:$Y$5001,Base!$B$3:$B$5001,H$197,Base!$A$3:$A$5001,_xlfn.MAXIFS(Base!$A$3:$A$5001,Base!$B$3:$B$5001,H$197,Base!$A$3:$A$5001,"&gt;="&amp;$C$7,Base!$A$3:$A$5001,"&lt;="&amp;$B220,Base!$Y$3:$Y$5001,"&lt;&gt;"))))</f>
        <v/>
      </c>
      <c r="I220" t="str">
        <f>IF($A220&gt;$B$9,"",IF(COUNTIFS(Base!$B$3:$B$5001,I$197,Base!$A$3:$A$5001,"&gt;="&amp;$C$7,Base!$A$3:$A$5001,"&lt;="&amp;$B220,Base!$Y$3:$Y$5001,"&lt;&gt;")=0,"",SUMIFS(Base!$Y$3:$Y$5001,Base!$B$3:$B$5001,I$197,Base!$A$3:$A$5001,_xlfn.MAXIFS(Base!$A$3:$A$5001,Base!$B$3:$B$5001,I$197,Base!$A$3:$A$5001,"&gt;="&amp;$C$7,Base!$A$3:$A$5001,"&lt;="&amp;$B220,Base!$Y$3:$Y$5001,"&lt;&gt;"))))</f>
        <v/>
      </c>
      <c r="J220" t="str">
        <f>IF($A220&gt;$B$9,"",IF(COUNTIFS(Base!$B$3:$B$5001,J$197,Base!$A$3:$A$5001,"&gt;="&amp;$C$7,Base!$A$3:$A$5001,"&lt;="&amp;$B220,Base!$Y$3:$Y$5001,"&lt;&gt;")=0,"",SUMIFS(Base!$Y$3:$Y$5001,Base!$B$3:$B$5001,J$197,Base!$A$3:$A$5001,_xlfn.MAXIFS(Base!$A$3:$A$5001,Base!$B$3:$B$5001,J$197,Base!$A$3:$A$5001,"&gt;="&amp;$C$7,Base!$A$3:$A$5001,"&lt;="&amp;$B220,Base!$Y$3:$Y$5001,"&lt;&gt;"))))</f>
        <v/>
      </c>
      <c r="K220" t="str">
        <f>IF($A220&gt;$B$9,"",IF(COUNTIFS(Base!$B$3:$B$5001,K$197,Base!$A$3:$A$5001,"&gt;="&amp;$C$7,Base!$A$3:$A$5001,"&lt;="&amp;$B220,Base!$Y$3:$Y$5001,"&lt;&gt;")=0,"",SUMIFS(Base!$Y$3:$Y$5001,Base!$B$3:$B$5001,K$197,Base!$A$3:$A$5001,_xlfn.MAXIFS(Base!$A$3:$A$5001,Base!$B$3:$B$5001,K$197,Base!$A$3:$A$5001,"&gt;="&amp;$C$7,Base!$A$3:$A$5001,"&lt;="&amp;$B220,Base!$Y$3:$Y$5001,"&lt;&gt;"))))</f>
        <v/>
      </c>
    </row>
    <row r="221">
      <c r="A221">
        <v>24</v>
      </c>
      <c r="B221" s="152">
        <f>$B$35</f>
        <v>46289</v>
      </c>
      <c r="C221" t="str">
        <f>IF($A221&gt;$B$9,"",IF(COUNTIFS(Base!$B$3:$B$5001,C$197,Base!$A$3:$A$5001,"&gt;="&amp;$C$7,Base!$A$3:$A$5001,"&lt;="&amp;$B221,Base!$Y$3:$Y$5001,"&lt;&gt;")=0,"",SUMIFS(Base!$Y$3:$Y$5001,Base!$B$3:$B$5001,C$197,Base!$A$3:$A$5001,_xlfn.MAXIFS(Base!$A$3:$A$5001,Base!$B$3:$B$5001,C$197,Base!$A$3:$A$5001,"&gt;="&amp;$C$7,Base!$A$3:$A$5001,"&lt;="&amp;$B221,Base!$Y$3:$Y$5001,"&lt;&gt;"))))</f>
        <v/>
      </c>
      <c r="D221" t="str">
        <f>IF($A221&gt;$B$9,"",IF(COUNTIFS(Base!$B$3:$B$5001,D$197,Base!$A$3:$A$5001,"&gt;="&amp;$C$7,Base!$A$3:$A$5001,"&lt;="&amp;$B221,Base!$Y$3:$Y$5001,"&lt;&gt;")=0,"",SUMIFS(Base!$Y$3:$Y$5001,Base!$B$3:$B$5001,D$197,Base!$A$3:$A$5001,_xlfn.MAXIFS(Base!$A$3:$A$5001,Base!$B$3:$B$5001,D$197,Base!$A$3:$A$5001,"&gt;="&amp;$C$7,Base!$A$3:$A$5001,"&lt;="&amp;$B221,Base!$Y$3:$Y$5001,"&lt;&gt;"))))</f>
        <v/>
      </c>
      <c r="E221" t="str">
        <f>IF($A221&gt;$B$9,"",IF(COUNTIFS(Base!$B$3:$B$5001,E$197,Base!$A$3:$A$5001,"&gt;="&amp;$C$7,Base!$A$3:$A$5001,"&lt;="&amp;$B221,Base!$Y$3:$Y$5001,"&lt;&gt;")=0,"",SUMIFS(Base!$Y$3:$Y$5001,Base!$B$3:$B$5001,E$197,Base!$A$3:$A$5001,_xlfn.MAXIFS(Base!$A$3:$A$5001,Base!$B$3:$B$5001,E$197,Base!$A$3:$A$5001,"&gt;="&amp;$C$7,Base!$A$3:$A$5001,"&lt;="&amp;$B221,Base!$Y$3:$Y$5001,"&lt;&gt;"))))</f>
        <v/>
      </c>
      <c r="F221" t="str">
        <f>IF($A221&gt;$B$9,"",IF(COUNTIFS(Base!$B$3:$B$5001,F$197,Base!$A$3:$A$5001,"&gt;="&amp;$C$7,Base!$A$3:$A$5001,"&lt;="&amp;$B221,Base!$Y$3:$Y$5001,"&lt;&gt;")=0,"",SUMIFS(Base!$Y$3:$Y$5001,Base!$B$3:$B$5001,F$197,Base!$A$3:$A$5001,_xlfn.MAXIFS(Base!$A$3:$A$5001,Base!$B$3:$B$5001,F$197,Base!$A$3:$A$5001,"&gt;="&amp;$C$7,Base!$A$3:$A$5001,"&lt;="&amp;$B221,Base!$Y$3:$Y$5001,"&lt;&gt;"))))</f>
        <v/>
      </c>
      <c r="G221" t="str">
        <f>IF($A221&gt;$B$9,"",IF(COUNTIFS(Base!$B$3:$B$5001,G$197,Base!$A$3:$A$5001,"&gt;="&amp;$C$7,Base!$A$3:$A$5001,"&lt;="&amp;$B221,Base!$Y$3:$Y$5001,"&lt;&gt;")=0,"",SUMIFS(Base!$Y$3:$Y$5001,Base!$B$3:$B$5001,G$197,Base!$A$3:$A$5001,_xlfn.MAXIFS(Base!$A$3:$A$5001,Base!$B$3:$B$5001,G$197,Base!$A$3:$A$5001,"&gt;="&amp;$C$7,Base!$A$3:$A$5001,"&lt;="&amp;$B221,Base!$Y$3:$Y$5001,"&lt;&gt;"))))</f>
        <v/>
      </c>
      <c r="H221" t="str">
        <f>IF($A221&gt;$B$9,"",IF(COUNTIFS(Base!$B$3:$B$5001,H$197,Base!$A$3:$A$5001,"&gt;="&amp;$C$7,Base!$A$3:$A$5001,"&lt;="&amp;$B221,Base!$Y$3:$Y$5001,"&lt;&gt;")=0,"",SUMIFS(Base!$Y$3:$Y$5001,Base!$B$3:$B$5001,H$197,Base!$A$3:$A$5001,_xlfn.MAXIFS(Base!$A$3:$A$5001,Base!$B$3:$B$5001,H$197,Base!$A$3:$A$5001,"&gt;="&amp;$C$7,Base!$A$3:$A$5001,"&lt;="&amp;$B221,Base!$Y$3:$Y$5001,"&lt;&gt;"))))</f>
        <v/>
      </c>
      <c r="I221" t="str">
        <f>IF($A221&gt;$B$9,"",IF(COUNTIFS(Base!$B$3:$B$5001,I$197,Base!$A$3:$A$5001,"&gt;="&amp;$C$7,Base!$A$3:$A$5001,"&lt;="&amp;$B221,Base!$Y$3:$Y$5001,"&lt;&gt;")=0,"",SUMIFS(Base!$Y$3:$Y$5001,Base!$B$3:$B$5001,I$197,Base!$A$3:$A$5001,_xlfn.MAXIFS(Base!$A$3:$A$5001,Base!$B$3:$B$5001,I$197,Base!$A$3:$A$5001,"&gt;="&amp;$C$7,Base!$A$3:$A$5001,"&lt;="&amp;$B221,Base!$Y$3:$Y$5001,"&lt;&gt;"))))</f>
        <v/>
      </c>
      <c r="J221" t="str">
        <f>IF($A221&gt;$B$9,"",IF(COUNTIFS(Base!$B$3:$B$5001,J$197,Base!$A$3:$A$5001,"&gt;="&amp;$C$7,Base!$A$3:$A$5001,"&lt;="&amp;$B221,Base!$Y$3:$Y$5001,"&lt;&gt;")=0,"",SUMIFS(Base!$Y$3:$Y$5001,Base!$B$3:$B$5001,J$197,Base!$A$3:$A$5001,_xlfn.MAXIFS(Base!$A$3:$A$5001,Base!$B$3:$B$5001,J$197,Base!$A$3:$A$5001,"&gt;="&amp;$C$7,Base!$A$3:$A$5001,"&lt;="&amp;$B221,Base!$Y$3:$Y$5001,"&lt;&gt;"))))</f>
        <v/>
      </c>
      <c r="K221" t="str">
        <f>IF($A221&gt;$B$9,"",IF(COUNTIFS(Base!$B$3:$B$5001,K$197,Base!$A$3:$A$5001,"&gt;="&amp;$C$7,Base!$A$3:$A$5001,"&lt;="&amp;$B221,Base!$Y$3:$Y$5001,"&lt;&gt;")=0,"",SUMIFS(Base!$Y$3:$Y$5001,Base!$B$3:$B$5001,K$197,Base!$A$3:$A$5001,_xlfn.MAXIFS(Base!$A$3:$A$5001,Base!$B$3:$B$5001,K$197,Base!$A$3:$A$5001,"&gt;="&amp;$C$7,Base!$A$3:$A$5001,"&lt;="&amp;$B221,Base!$Y$3:$Y$5001,"&lt;&gt;"))))</f>
        <v/>
      </c>
    </row>
    <row r="222">
      <c r="A222">
        <v>25</v>
      </c>
      <c r="B222" s="152">
        <f>$B$36</f>
        <v>46290</v>
      </c>
      <c r="C222" t="str">
        <f>IF($A222&gt;$B$9,"",IF(COUNTIFS(Base!$B$3:$B$5001,C$197,Base!$A$3:$A$5001,"&gt;="&amp;$C$7,Base!$A$3:$A$5001,"&lt;="&amp;$B222,Base!$Y$3:$Y$5001,"&lt;&gt;")=0,"",SUMIFS(Base!$Y$3:$Y$5001,Base!$B$3:$B$5001,C$197,Base!$A$3:$A$5001,_xlfn.MAXIFS(Base!$A$3:$A$5001,Base!$B$3:$B$5001,C$197,Base!$A$3:$A$5001,"&gt;="&amp;$C$7,Base!$A$3:$A$5001,"&lt;="&amp;$B222,Base!$Y$3:$Y$5001,"&lt;&gt;"))))</f>
        <v/>
      </c>
      <c r="D222" t="str">
        <f>IF($A222&gt;$B$9,"",IF(COUNTIFS(Base!$B$3:$B$5001,D$197,Base!$A$3:$A$5001,"&gt;="&amp;$C$7,Base!$A$3:$A$5001,"&lt;="&amp;$B222,Base!$Y$3:$Y$5001,"&lt;&gt;")=0,"",SUMIFS(Base!$Y$3:$Y$5001,Base!$B$3:$B$5001,D$197,Base!$A$3:$A$5001,_xlfn.MAXIFS(Base!$A$3:$A$5001,Base!$B$3:$B$5001,D$197,Base!$A$3:$A$5001,"&gt;="&amp;$C$7,Base!$A$3:$A$5001,"&lt;="&amp;$B222,Base!$Y$3:$Y$5001,"&lt;&gt;"))))</f>
        <v/>
      </c>
      <c r="E222" t="str">
        <f>IF($A222&gt;$B$9,"",IF(COUNTIFS(Base!$B$3:$B$5001,E$197,Base!$A$3:$A$5001,"&gt;="&amp;$C$7,Base!$A$3:$A$5001,"&lt;="&amp;$B222,Base!$Y$3:$Y$5001,"&lt;&gt;")=0,"",SUMIFS(Base!$Y$3:$Y$5001,Base!$B$3:$B$5001,E$197,Base!$A$3:$A$5001,_xlfn.MAXIFS(Base!$A$3:$A$5001,Base!$B$3:$B$5001,E$197,Base!$A$3:$A$5001,"&gt;="&amp;$C$7,Base!$A$3:$A$5001,"&lt;="&amp;$B222,Base!$Y$3:$Y$5001,"&lt;&gt;"))))</f>
        <v/>
      </c>
      <c r="F222" t="str">
        <f>IF($A222&gt;$B$9,"",IF(COUNTIFS(Base!$B$3:$B$5001,F$197,Base!$A$3:$A$5001,"&gt;="&amp;$C$7,Base!$A$3:$A$5001,"&lt;="&amp;$B222,Base!$Y$3:$Y$5001,"&lt;&gt;")=0,"",SUMIFS(Base!$Y$3:$Y$5001,Base!$B$3:$B$5001,F$197,Base!$A$3:$A$5001,_xlfn.MAXIFS(Base!$A$3:$A$5001,Base!$B$3:$B$5001,F$197,Base!$A$3:$A$5001,"&gt;="&amp;$C$7,Base!$A$3:$A$5001,"&lt;="&amp;$B222,Base!$Y$3:$Y$5001,"&lt;&gt;"))))</f>
        <v/>
      </c>
      <c r="G222" t="str">
        <f>IF($A222&gt;$B$9,"",IF(COUNTIFS(Base!$B$3:$B$5001,G$197,Base!$A$3:$A$5001,"&gt;="&amp;$C$7,Base!$A$3:$A$5001,"&lt;="&amp;$B222,Base!$Y$3:$Y$5001,"&lt;&gt;")=0,"",SUMIFS(Base!$Y$3:$Y$5001,Base!$B$3:$B$5001,G$197,Base!$A$3:$A$5001,_xlfn.MAXIFS(Base!$A$3:$A$5001,Base!$B$3:$B$5001,G$197,Base!$A$3:$A$5001,"&gt;="&amp;$C$7,Base!$A$3:$A$5001,"&lt;="&amp;$B222,Base!$Y$3:$Y$5001,"&lt;&gt;"))))</f>
        <v/>
      </c>
      <c r="H222" t="str">
        <f>IF($A222&gt;$B$9,"",IF(COUNTIFS(Base!$B$3:$B$5001,H$197,Base!$A$3:$A$5001,"&gt;="&amp;$C$7,Base!$A$3:$A$5001,"&lt;="&amp;$B222,Base!$Y$3:$Y$5001,"&lt;&gt;")=0,"",SUMIFS(Base!$Y$3:$Y$5001,Base!$B$3:$B$5001,H$197,Base!$A$3:$A$5001,_xlfn.MAXIFS(Base!$A$3:$A$5001,Base!$B$3:$B$5001,H$197,Base!$A$3:$A$5001,"&gt;="&amp;$C$7,Base!$A$3:$A$5001,"&lt;="&amp;$B222,Base!$Y$3:$Y$5001,"&lt;&gt;"))))</f>
        <v/>
      </c>
      <c r="I222" t="str">
        <f>IF($A222&gt;$B$9,"",IF(COUNTIFS(Base!$B$3:$B$5001,I$197,Base!$A$3:$A$5001,"&gt;="&amp;$C$7,Base!$A$3:$A$5001,"&lt;="&amp;$B222,Base!$Y$3:$Y$5001,"&lt;&gt;")=0,"",SUMIFS(Base!$Y$3:$Y$5001,Base!$B$3:$B$5001,I$197,Base!$A$3:$A$5001,_xlfn.MAXIFS(Base!$A$3:$A$5001,Base!$B$3:$B$5001,I$197,Base!$A$3:$A$5001,"&gt;="&amp;$C$7,Base!$A$3:$A$5001,"&lt;="&amp;$B222,Base!$Y$3:$Y$5001,"&lt;&gt;"))))</f>
        <v/>
      </c>
      <c r="J222" t="str">
        <f>IF($A222&gt;$B$9,"",IF(COUNTIFS(Base!$B$3:$B$5001,J$197,Base!$A$3:$A$5001,"&gt;="&amp;$C$7,Base!$A$3:$A$5001,"&lt;="&amp;$B222,Base!$Y$3:$Y$5001,"&lt;&gt;")=0,"",SUMIFS(Base!$Y$3:$Y$5001,Base!$B$3:$B$5001,J$197,Base!$A$3:$A$5001,_xlfn.MAXIFS(Base!$A$3:$A$5001,Base!$B$3:$B$5001,J$197,Base!$A$3:$A$5001,"&gt;="&amp;$C$7,Base!$A$3:$A$5001,"&lt;="&amp;$B222,Base!$Y$3:$Y$5001,"&lt;&gt;"))))</f>
        <v/>
      </c>
      <c r="K222" t="str">
        <f>IF($A222&gt;$B$9,"",IF(COUNTIFS(Base!$B$3:$B$5001,K$197,Base!$A$3:$A$5001,"&gt;="&amp;$C$7,Base!$A$3:$A$5001,"&lt;="&amp;$B222,Base!$Y$3:$Y$5001,"&lt;&gt;")=0,"",SUMIFS(Base!$Y$3:$Y$5001,Base!$B$3:$B$5001,K$197,Base!$A$3:$A$5001,_xlfn.MAXIFS(Base!$A$3:$A$5001,Base!$B$3:$B$5001,K$197,Base!$A$3:$A$5001,"&gt;="&amp;$C$7,Base!$A$3:$A$5001,"&lt;="&amp;$B222,Base!$Y$3:$Y$5001,"&lt;&gt;"))))</f>
        <v/>
      </c>
    </row>
    <row r="223">
      <c r="A223">
        <v>26</v>
      </c>
      <c r="B223" s="152">
        <f>$B$37</f>
        <v>46291</v>
      </c>
      <c r="C223" t="str">
        <f>IF($A223&gt;$B$9,"",IF(COUNTIFS(Base!$B$3:$B$5001,C$197,Base!$A$3:$A$5001,"&gt;="&amp;$C$7,Base!$A$3:$A$5001,"&lt;="&amp;$B223,Base!$Y$3:$Y$5001,"&lt;&gt;")=0,"",SUMIFS(Base!$Y$3:$Y$5001,Base!$B$3:$B$5001,C$197,Base!$A$3:$A$5001,_xlfn.MAXIFS(Base!$A$3:$A$5001,Base!$B$3:$B$5001,C$197,Base!$A$3:$A$5001,"&gt;="&amp;$C$7,Base!$A$3:$A$5001,"&lt;="&amp;$B223,Base!$Y$3:$Y$5001,"&lt;&gt;"))))</f>
        <v/>
      </c>
      <c r="D223" t="str">
        <f>IF($A223&gt;$B$9,"",IF(COUNTIFS(Base!$B$3:$B$5001,D$197,Base!$A$3:$A$5001,"&gt;="&amp;$C$7,Base!$A$3:$A$5001,"&lt;="&amp;$B223,Base!$Y$3:$Y$5001,"&lt;&gt;")=0,"",SUMIFS(Base!$Y$3:$Y$5001,Base!$B$3:$B$5001,D$197,Base!$A$3:$A$5001,_xlfn.MAXIFS(Base!$A$3:$A$5001,Base!$B$3:$B$5001,D$197,Base!$A$3:$A$5001,"&gt;="&amp;$C$7,Base!$A$3:$A$5001,"&lt;="&amp;$B223,Base!$Y$3:$Y$5001,"&lt;&gt;"))))</f>
        <v/>
      </c>
      <c r="E223" t="str">
        <f>IF($A223&gt;$B$9,"",IF(COUNTIFS(Base!$B$3:$B$5001,E$197,Base!$A$3:$A$5001,"&gt;="&amp;$C$7,Base!$A$3:$A$5001,"&lt;="&amp;$B223,Base!$Y$3:$Y$5001,"&lt;&gt;")=0,"",SUMIFS(Base!$Y$3:$Y$5001,Base!$B$3:$B$5001,E$197,Base!$A$3:$A$5001,_xlfn.MAXIFS(Base!$A$3:$A$5001,Base!$B$3:$B$5001,E$197,Base!$A$3:$A$5001,"&gt;="&amp;$C$7,Base!$A$3:$A$5001,"&lt;="&amp;$B223,Base!$Y$3:$Y$5001,"&lt;&gt;"))))</f>
        <v/>
      </c>
      <c r="F223" t="str">
        <f>IF($A223&gt;$B$9,"",IF(COUNTIFS(Base!$B$3:$B$5001,F$197,Base!$A$3:$A$5001,"&gt;="&amp;$C$7,Base!$A$3:$A$5001,"&lt;="&amp;$B223,Base!$Y$3:$Y$5001,"&lt;&gt;")=0,"",SUMIFS(Base!$Y$3:$Y$5001,Base!$B$3:$B$5001,F$197,Base!$A$3:$A$5001,_xlfn.MAXIFS(Base!$A$3:$A$5001,Base!$B$3:$B$5001,F$197,Base!$A$3:$A$5001,"&gt;="&amp;$C$7,Base!$A$3:$A$5001,"&lt;="&amp;$B223,Base!$Y$3:$Y$5001,"&lt;&gt;"))))</f>
        <v/>
      </c>
      <c r="G223" t="str">
        <f>IF($A223&gt;$B$9,"",IF(COUNTIFS(Base!$B$3:$B$5001,G$197,Base!$A$3:$A$5001,"&gt;="&amp;$C$7,Base!$A$3:$A$5001,"&lt;="&amp;$B223,Base!$Y$3:$Y$5001,"&lt;&gt;")=0,"",SUMIFS(Base!$Y$3:$Y$5001,Base!$B$3:$B$5001,G$197,Base!$A$3:$A$5001,_xlfn.MAXIFS(Base!$A$3:$A$5001,Base!$B$3:$B$5001,G$197,Base!$A$3:$A$5001,"&gt;="&amp;$C$7,Base!$A$3:$A$5001,"&lt;="&amp;$B223,Base!$Y$3:$Y$5001,"&lt;&gt;"))))</f>
        <v/>
      </c>
      <c r="H223" t="str">
        <f>IF($A223&gt;$B$9,"",IF(COUNTIFS(Base!$B$3:$B$5001,H$197,Base!$A$3:$A$5001,"&gt;="&amp;$C$7,Base!$A$3:$A$5001,"&lt;="&amp;$B223,Base!$Y$3:$Y$5001,"&lt;&gt;")=0,"",SUMIFS(Base!$Y$3:$Y$5001,Base!$B$3:$B$5001,H$197,Base!$A$3:$A$5001,_xlfn.MAXIFS(Base!$A$3:$A$5001,Base!$B$3:$B$5001,H$197,Base!$A$3:$A$5001,"&gt;="&amp;$C$7,Base!$A$3:$A$5001,"&lt;="&amp;$B223,Base!$Y$3:$Y$5001,"&lt;&gt;"))))</f>
        <v/>
      </c>
      <c r="I223" t="str">
        <f>IF($A223&gt;$B$9,"",IF(COUNTIFS(Base!$B$3:$B$5001,I$197,Base!$A$3:$A$5001,"&gt;="&amp;$C$7,Base!$A$3:$A$5001,"&lt;="&amp;$B223,Base!$Y$3:$Y$5001,"&lt;&gt;")=0,"",SUMIFS(Base!$Y$3:$Y$5001,Base!$B$3:$B$5001,I$197,Base!$A$3:$A$5001,_xlfn.MAXIFS(Base!$A$3:$A$5001,Base!$B$3:$B$5001,I$197,Base!$A$3:$A$5001,"&gt;="&amp;$C$7,Base!$A$3:$A$5001,"&lt;="&amp;$B223,Base!$Y$3:$Y$5001,"&lt;&gt;"))))</f>
        <v/>
      </c>
      <c r="J223" t="str">
        <f>IF($A223&gt;$B$9,"",IF(COUNTIFS(Base!$B$3:$B$5001,J$197,Base!$A$3:$A$5001,"&gt;="&amp;$C$7,Base!$A$3:$A$5001,"&lt;="&amp;$B223,Base!$Y$3:$Y$5001,"&lt;&gt;")=0,"",SUMIFS(Base!$Y$3:$Y$5001,Base!$B$3:$B$5001,J$197,Base!$A$3:$A$5001,_xlfn.MAXIFS(Base!$A$3:$A$5001,Base!$B$3:$B$5001,J$197,Base!$A$3:$A$5001,"&gt;="&amp;$C$7,Base!$A$3:$A$5001,"&lt;="&amp;$B223,Base!$Y$3:$Y$5001,"&lt;&gt;"))))</f>
        <v/>
      </c>
      <c r="K223" t="str">
        <f>IF($A223&gt;$B$9,"",IF(COUNTIFS(Base!$B$3:$B$5001,K$197,Base!$A$3:$A$5001,"&gt;="&amp;$C$7,Base!$A$3:$A$5001,"&lt;="&amp;$B223,Base!$Y$3:$Y$5001,"&lt;&gt;")=0,"",SUMIFS(Base!$Y$3:$Y$5001,Base!$B$3:$B$5001,K$197,Base!$A$3:$A$5001,_xlfn.MAXIFS(Base!$A$3:$A$5001,Base!$B$3:$B$5001,K$197,Base!$A$3:$A$5001,"&gt;="&amp;$C$7,Base!$A$3:$A$5001,"&lt;="&amp;$B223,Base!$Y$3:$Y$5001,"&lt;&gt;"))))</f>
        <v/>
      </c>
    </row>
    <row r="224">
      <c r="A224">
        <v>27</v>
      </c>
      <c r="B224" s="152">
        <f>$B$38</f>
        <v>46292</v>
      </c>
      <c r="C224" t="str">
        <f>IF($A224&gt;$B$9,"",IF(COUNTIFS(Base!$B$3:$B$5001,C$197,Base!$A$3:$A$5001,"&gt;="&amp;$C$7,Base!$A$3:$A$5001,"&lt;="&amp;$B224,Base!$Y$3:$Y$5001,"&lt;&gt;")=0,"",SUMIFS(Base!$Y$3:$Y$5001,Base!$B$3:$B$5001,C$197,Base!$A$3:$A$5001,_xlfn.MAXIFS(Base!$A$3:$A$5001,Base!$B$3:$B$5001,C$197,Base!$A$3:$A$5001,"&gt;="&amp;$C$7,Base!$A$3:$A$5001,"&lt;="&amp;$B224,Base!$Y$3:$Y$5001,"&lt;&gt;"))))</f>
        <v/>
      </c>
      <c r="D224" t="str">
        <f>IF($A224&gt;$B$9,"",IF(COUNTIFS(Base!$B$3:$B$5001,D$197,Base!$A$3:$A$5001,"&gt;="&amp;$C$7,Base!$A$3:$A$5001,"&lt;="&amp;$B224,Base!$Y$3:$Y$5001,"&lt;&gt;")=0,"",SUMIFS(Base!$Y$3:$Y$5001,Base!$B$3:$B$5001,D$197,Base!$A$3:$A$5001,_xlfn.MAXIFS(Base!$A$3:$A$5001,Base!$B$3:$B$5001,D$197,Base!$A$3:$A$5001,"&gt;="&amp;$C$7,Base!$A$3:$A$5001,"&lt;="&amp;$B224,Base!$Y$3:$Y$5001,"&lt;&gt;"))))</f>
        <v/>
      </c>
      <c r="E224" t="str">
        <f>IF($A224&gt;$B$9,"",IF(COUNTIFS(Base!$B$3:$B$5001,E$197,Base!$A$3:$A$5001,"&gt;="&amp;$C$7,Base!$A$3:$A$5001,"&lt;="&amp;$B224,Base!$Y$3:$Y$5001,"&lt;&gt;")=0,"",SUMIFS(Base!$Y$3:$Y$5001,Base!$B$3:$B$5001,E$197,Base!$A$3:$A$5001,_xlfn.MAXIFS(Base!$A$3:$A$5001,Base!$B$3:$B$5001,E$197,Base!$A$3:$A$5001,"&gt;="&amp;$C$7,Base!$A$3:$A$5001,"&lt;="&amp;$B224,Base!$Y$3:$Y$5001,"&lt;&gt;"))))</f>
        <v/>
      </c>
      <c r="F224" t="str">
        <f>IF($A224&gt;$B$9,"",IF(COUNTIFS(Base!$B$3:$B$5001,F$197,Base!$A$3:$A$5001,"&gt;="&amp;$C$7,Base!$A$3:$A$5001,"&lt;="&amp;$B224,Base!$Y$3:$Y$5001,"&lt;&gt;")=0,"",SUMIFS(Base!$Y$3:$Y$5001,Base!$B$3:$B$5001,F$197,Base!$A$3:$A$5001,_xlfn.MAXIFS(Base!$A$3:$A$5001,Base!$B$3:$B$5001,F$197,Base!$A$3:$A$5001,"&gt;="&amp;$C$7,Base!$A$3:$A$5001,"&lt;="&amp;$B224,Base!$Y$3:$Y$5001,"&lt;&gt;"))))</f>
        <v/>
      </c>
      <c r="G224" t="str">
        <f>IF($A224&gt;$B$9,"",IF(COUNTIFS(Base!$B$3:$B$5001,G$197,Base!$A$3:$A$5001,"&gt;="&amp;$C$7,Base!$A$3:$A$5001,"&lt;="&amp;$B224,Base!$Y$3:$Y$5001,"&lt;&gt;")=0,"",SUMIFS(Base!$Y$3:$Y$5001,Base!$B$3:$B$5001,G$197,Base!$A$3:$A$5001,_xlfn.MAXIFS(Base!$A$3:$A$5001,Base!$B$3:$B$5001,G$197,Base!$A$3:$A$5001,"&gt;="&amp;$C$7,Base!$A$3:$A$5001,"&lt;="&amp;$B224,Base!$Y$3:$Y$5001,"&lt;&gt;"))))</f>
        <v/>
      </c>
      <c r="H224" t="str">
        <f>IF($A224&gt;$B$9,"",IF(COUNTIFS(Base!$B$3:$B$5001,H$197,Base!$A$3:$A$5001,"&gt;="&amp;$C$7,Base!$A$3:$A$5001,"&lt;="&amp;$B224,Base!$Y$3:$Y$5001,"&lt;&gt;")=0,"",SUMIFS(Base!$Y$3:$Y$5001,Base!$B$3:$B$5001,H$197,Base!$A$3:$A$5001,_xlfn.MAXIFS(Base!$A$3:$A$5001,Base!$B$3:$B$5001,H$197,Base!$A$3:$A$5001,"&gt;="&amp;$C$7,Base!$A$3:$A$5001,"&lt;="&amp;$B224,Base!$Y$3:$Y$5001,"&lt;&gt;"))))</f>
        <v/>
      </c>
      <c r="I224" t="str">
        <f>IF($A224&gt;$B$9,"",IF(COUNTIFS(Base!$B$3:$B$5001,I$197,Base!$A$3:$A$5001,"&gt;="&amp;$C$7,Base!$A$3:$A$5001,"&lt;="&amp;$B224,Base!$Y$3:$Y$5001,"&lt;&gt;")=0,"",SUMIFS(Base!$Y$3:$Y$5001,Base!$B$3:$B$5001,I$197,Base!$A$3:$A$5001,_xlfn.MAXIFS(Base!$A$3:$A$5001,Base!$B$3:$B$5001,I$197,Base!$A$3:$A$5001,"&gt;="&amp;$C$7,Base!$A$3:$A$5001,"&lt;="&amp;$B224,Base!$Y$3:$Y$5001,"&lt;&gt;"))))</f>
        <v/>
      </c>
      <c r="J224" t="str">
        <f>IF($A224&gt;$B$9,"",IF(COUNTIFS(Base!$B$3:$B$5001,J$197,Base!$A$3:$A$5001,"&gt;="&amp;$C$7,Base!$A$3:$A$5001,"&lt;="&amp;$B224,Base!$Y$3:$Y$5001,"&lt;&gt;")=0,"",SUMIFS(Base!$Y$3:$Y$5001,Base!$B$3:$B$5001,J$197,Base!$A$3:$A$5001,_xlfn.MAXIFS(Base!$A$3:$A$5001,Base!$B$3:$B$5001,J$197,Base!$A$3:$A$5001,"&gt;="&amp;$C$7,Base!$A$3:$A$5001,"&lt;="&amp;$B224,Base!$Y$3:$Y$5001,"&lt;&gt;"))))</f>
        <v/>
      </c>
      <c r="K224" t="str">
        <f>IF($A224&gt;$B$9,"",IF(COUNTIFS(Base!$B$3:$B$5001,K$197,Base!$A$3:$A$5001,"&gt;="&amp;$C$7,Base!$A$3:$A$5001,"&lt;="&amp;$B224,Base!$Y$3:$Y$5001,"&lt;&gt;")=0,"",SUMIFS(Base!$Y$3:$Y$5001,Base!$B$3:$B$5001,K$197,Base!$A$3:$A$5001,_xlfn.MAXIFS(Base!$A$3:$A$5001,Base!$B$3:$B$5001,K$197,Base!$A$3:$A$5001,"&gt;="&amp;$C$7,Base!$A$3:$A$5001,"&lt;="&amp;$B224,Base!$Y$3:$Y$5001,"&lt;&gt;"))))</f>
        <v/>
      </c>
    </row>
    <row r="225">
      <c r="A225">
        <v>28</v>
      </c>
      <c r="B225" s="152">
        <f>$B$39</f>
        <v>46293</v>
      </c>
      <c r="C225" t="str">
        <f>IF($A225&gt;$B$9,"",IF(COUNTIFS(Base!$B$3:$B$5001,C$197,Base!$A$3:$A$5001,"&gt;="&amp;$C$7,Base!$A$3:$A$5001,"&lt;="&amp;$B225,Base!$Y$3:$Y$5001,"&lt;&gt;")=0,"",SUMIFS(Base!$Y$3:$Y$5001,Base!$B$3:$B$5001,C$197,Base!$A$3:$A$5001,_xlfn.MAXIFS(Base!$A$3:$A$5001,Base!$B$3:$B$5001,C$197,Base!$A$3:$A$5001,"&gt;="&amp;$C$7,Base!$A$3:$A$5001,"&lt;="&amp;$B225,Base!$Y$3:$Y$5001,"&lt;&gt;"))))</f>
        <v/>
      </c>
      <c r="D225" t="str">
        <f>IF($A225&gt;$B$9,"",IF(COUNTIFS(Base!$B$3:$B$5001,D$197,Base!$A$3:$A$5001,"&gt;="&amp;$C$7,Base!$A$3:$A$5001,"&lt;="&amp;$B225,Base!$Y$3:$Y$5001,"&lt;&gt;")=0,"",SUMIFS(Base!$Y$3:$Y$5001,Base!$B$3:$B$5001,D$197,Base!$A$3:$A$5001,_xlfn.MAXIFS(Base!$A$3:$A$5001,Base!$B$3:$B$5001,D$197,Base!$A$3:$A$5001,"&gt;="&amp;$C$7,Base!$A$3:$A$5001,"&lt;="&amp;$B225,Base!$Y$3:$Y$5001,"&lt;&gt;"))))</f>
        <v/>
      </c>
      <c r="E225" t="str">
        <f>IF($A225&gt;$B$9,"",IF(COUNTIFS(Base!$B$3:$B$5001,E$197,Base!$A$3:$A$5001,"&gt;="&amp;$C$7,Base!$A$3:$A$5001,"&lt;="&amp;$B225,Base!$Y$3:$Y$5001,"&lt;&gt;")=0,"",SUMIFS(Base!$Y$3:$Y$5001,Base!$B$3:$B$5001,E$197,Base!$A$3:$A$5001,_xlfn.MAXIFS(Base!$A$3:$A$5001,Base!$B$3:$B$5001,E$197,Base!$A$3:$A$5001,"&gt;="&amp;$C$7,Base!$A$3:$A$5001,"&lt;="&amp;$B225,Base!$Y$3:$Y$5001,"&lt;&gt;"))))</f>
        <v/>
      </c>
      <c r="F225" t="str">
        <f>IF($A225&gt;$B$9,"",IF(COUNTIFS(Base!$B$3:$B$5001,F$197,Base!$A$3:$A$5001,"&gt;="&amp;$C$7,Base!$A$3:$A$5001,"&lt;="&amp;$B225,Base!$Y$3:$Y$5001,"&lt;&gt;")=0,"",SUMIFS(Base!$Y$3:$Y$5001,Base!$B$3:$B$5001,F$197,Base!$A$3:$A$5001,_xlfn.MAXIFS(Base!$A$3:$A$5001,Base!$B$3:$B$5001,F$197,Base!$A$3:$A$5001,"&gt;="&amp;$C$7,Base!$A$3:$A$5001,"&lt;="&amp;$B225,Base!$Y$3:$Y$5001,"&lt;&gt;"))))</f>
        <v/>
      </c>
      <c r="G225" t="str">
        <f>IF($A225&gt;$B$9,"",IF(COUNTIFS(Base!$B$3:$B$5001,G$197,Base!$A$3:$A$5001,"&gt;="&amp;$C$7,Base!$A$3:$A$5001,"&lt;="&amp;$B225,Base!$Y$3:$Y$5001,"&lt;&gt;")=0,"",SUMIFS(Base!$Y$3:$Y$5001,Base!$B$3:$B$5001,G$197,Base!$A$3:$A$5001,_xlfn.MAXIFS(Base!$A$3:$A$5001,Base!$B$3:$B$5001,G$197,Base!$A$3:$A$5001,"&gt;="&amp;$C$7,Base!$A$3:$A$5001,"&lt;="&amp;$B225,Base!$Y$3:$Y$5001,"&lt;&gt;"))))</f>
        <v/>
      </c>
      <c r="H225" t="str">
        <f>IF($A225&gt;$B$9,"",IF(COUNTIFS(Base!$B$3:$B$5001,H$197,Base!$A$3:$A$5001,"&gt;="&amp;$C$7,Base!$A$3:$A$5001,"&lt;="&amp;$B225,Base!$Y$3:$Y$5001,"&lt;&gt;")=0,"",SUMIFS(Base!$Y$3:$Y$5001,Base!$B$3:$B$5001,H$197,Base!$A$3:$A$5001,_xlfn.MAXIFS(Base!$A$3:$A$5001,Base!$B$3:$B$5001,H$197,Base!$A$3:$A$5001,"&gt;="&amp;$C$7,Base!$A$3:$A$5001,"&lt;="&amp;$B225,Base!$Y$3:$Y$5001,"&lt;&gt;"))))</f>
        <v/>
      </c>
      <c r="I225" t="str">
        <f>IF($A225&gt;$B$9,"",IF(COUNTIFS(Base!$B$3:$B$5001,I$197,Base!$A$3:$A$5001,"&gt;="&amp;$C$7,Base!$A$3:$A$5001,"&lt;="&amp;$B225,Base!$Y$3:$Y$5001,"&lt;&gt;")=0,"",SUMIFS(Base!$Y$3:$Y$5001,Base!$B$3:$B$5001,I$197,Base!$A$3:$A$5001,_xlfn.MAXIFS(Base!$A$3:$A$5001,Base!$B$3:$B$5001,I$197,Base!$A$3:$A$5001,"&gt;="&amp;$C$7,Base!$A$3:$A$5001,"&lt;="&amp;$B225,Base!$Y$3:$Y$5001,"&lt;&gt;"))))</f>
        <v/>
      </c>
      <c r="J225" t="str">
        <f>IF($A225&gt;$B$9,"",IF(COUNTIFS(Base!$B$3:$B$5001,J$197,Base!$A$3:$A$5001,"&gt;="&amp;$C$7,Base!$A$3:$A$5001,"&lt;="&amp;$B225,Base!$Y$3:$Y$5001,"&lt;&gt;")=0,"",SUMIFS(Base!$Y$3:$Y$5001,Base!$B$3:$B$5001,J$197,Base!$A$3:$A$5001,_xlfn.MAXIFS(Base!$A$3:$A$5001,Base!$B$3:$B$5001,J$197,Base!$A$3:$A$5001,"&gt;="&amp;$C$7,Base!$A$3:$A$5001,"&lt;="&amp;$B225,Base!$Y$3:$Y$5001,"&lt;&gt;"))))</f>
        <v/>
      </c>
      <c r="K225" t="str">
        <f>IF($A225&gt;$B$9,"",IF(COUNTIFS(Base!$B$3:$B$5001,K$197,Base!$A$3:$A$5001,"&gt;="&amp;$C$7,Base!$A$3:$A$5001,"&lt;="&amp;$B225,Base!$Y$3:$Y$5001,"&lt;&gt;")=0,"",SUMIFS(Base!$Y$3:$Y$5001,Base!$B$3:$B$5001,K$197,Base!$A$3:$A$5001,_xlfn.MAXIFS(Base!$A$3:$A$5001,Base!$B$3:$B$5001,K$197,Base!$A$3:$A$5001,"&gt;="&amp;$C$7,Base!$A$3:$A$5001,"&lt;="&amp;$B225,Base!$Y$3:$Y$5001,"&lt;&gt;"))))</f>
        <v/>
      </c>
    </row>
    <row r="226">
      <c r="A226">
        <v>29</v>
      </c>
      <c r="B226" s="152">
        <f>$B$40</f>
        <v>46294</v>
      </c>
      <c r="C226" t="str">
        <f>IF($A226&gt;$B$9,"",IF(COUNTIFS(Base!$B$3:$B$5001,C$197,Base!$A$3:$A$5001,"&gt;="&amp;$C$7,Base!$A$3:$A$5001,"&lt;="&amp;$B226,Base!$Y$3:$Y$5001,"&lt;&gt;")=0,"",SUMIFS(Base!$Y$3:$Y$5001,Base!$B$3:$B$5001,C$197,Base!$A$3:$A$5001,_xlfn.MAXIFS(Base!$A$3:$A$5001,Base!$B$3:$B$5001,C$197,Base!$A$3:$A$5001,"&gt;="&amp;$C$7,Base!$A$3:$A$5001,"&lt;="&amp;$B226,Base!$Y$3:$Y$5001,"&lt;&gt;"))))</f>
        <v/>
      </c>
      <c r="D226" t="str">
        <f>IF($A226&gt;$B$9,"",IF(COUNTIFS(Base!$B$3:$B$5001,D$197,Base!$A$3:$A$5001,"&gt;="&amp;$C$7,Base!$A$3:$A$5001,"&lt;="&amp;$B226,Base!$Y$3:$Y$5001,"&lt;&gt;")=0,"",SUMIFS(Base!$Y$3:$Y$5001,Base!$B$3:$B$5001,D$197,Base!$A$3:$A$5001,_xlfn.MAXIFS(Base!$A$3:$A$5001,Base!$B$3:$B$5001,D$197,Base!$A$3:$A$5001,"&gt;="&amp;$C$7,Base!$A$3:$A$5001,"&lt;="&amp;$B226,Base!$Y$3:$Y$5001,"&lt;&gt;"))))</f>
        <v/>
      </c>
      <c r="E226" t="str">
        <f>IF($A226&gt;$B$9,"",IF(COUNTIFS(Base!$B$3:$B$5001,E$197,Base!$A$3:$A$5001,"&gt;="&amp;$C$7,Base!$A$3:$A$5001,"&lt;="&amp;$B226,Base!$Y$3:$Y$5001,"&lt;&gt;")=0,"",SUMIFS(Base!$Y$3:$Y$5001,Base!$B$3:$B$5001,E$197,Base!$A$3:$A$5001,_xlfn.MAXIFS(Base!$A$3:$A$5001,Base!$B$3:$B$5001,E$197,Base!$A$3:$A$5001,"&gt;="&amp;$C$7,Base!$A$3:$A$5001,"&lt;="&amp;$B226,Base!$Y$3:$Y$5001,"&lt;&gt;"))))</f>
        <v/>
      </c>
      <c r="F226" t="str">
        <f>IF($A226&gt;$B$9,"",IF(COUNTIFS(Base!$B$3:$B$5001,F$197,Base!$A$3:$A$5001,"&gt;="&amp;$C$7,Base!$A$3:$A$5001,"&lt;="&amp;$B226,Base!$Y$3:$Y$5001,"&lt;&gt;")=0,"",SUMIFS(Base!$Y$3:$Y$5001,Base!$B$3:$B$5001,F$197,Base!$A$3:$A$5001,_xlfn.MAXIFS(Base!$A$3:$A$5001,Base!$B$3:$B$5001,F$197,Base!$A$3:$A$5001,"&gt;="&amp;$C$7,Base!$A$3:$A$5001,"&lt;="&amp;$B226,Base!$Y$3:$Y$5001,"&lt;&gt;"))))</f>
        <v/>
      </c>
      <c r="G226" t="str">
        <f>IF($A226&gt;$B$9,"",IF(COUNTIFS(Base!$B$3:$B$5001,G$197,Base!$A$3:$A$5001,"&gt;="&amp;$C$7,Base!$A$3:$A$5001,"&lt;="&amp;$B226,Base!$Y$3:$Y$5001,"&lt;&gt;")=0,"",SUMIFS(Base!$Y$3:$Y$5001,Base!$B$3:$B$5001,G$197,Base!$A$3:$A$5001,_xlfn.MAXIFS(Base!$A$3:$A$5001,Base!$B$3:$B$5001,G$197,Base!$A$3:$A$5001,"&gt;="&amp;$C$7,Base!$A$3:$A$5001,"&lt;="&amp;$B226,Base!$Y$3:$Y$5001,"&lt;&gt;"))))</f>
        <v/>
      </c>
      <c r="H226" t="str">
        <f>IF($A226&gt;$B$9,"",IF(COUNTIFS(Base!$B$3:$B$5001,H$197,Base!$A$3:$A$5001,"&gt;="&amp;$C$7,Base!$A$3:$A$5001,"&lt;="&amp;$B226,Base!$Y$3:$Y$5001,"&lt;&gt;")=0,"",SUMIFS(Base!$Y$3:$Y$5001,Base!$B$3:$B$5001,H$197,Base!$A$3:$A$5001,_xlfn.MAXIFS(Base!$A$3:$A$5001,Base!$B$3:$B$5001,H$197,Base!$A$3:$A$5001,"&gt;="&amp;$C$7,Base!$A$3:$A$5001,"&lt;="&amp;$B226,Base!$Y$3:$Y$5001,"&lt;&gt;"))))</f>
        <v/>
      </c>
      <c r="I226" t="str">
        <f>IF($A226&gt;$B$9,"",IF(COUNTIFS(Base!$B$3:$B$5001,I$197,Base!$A$3:$A$5001,"&gt;="&amp;$C$7,Base!$A$3:$A$5001,"&lt;="&amp;$B226,Base!$Y$3:$Y$5001,"&lt;&gt;")=0,"",SUMIFS(Base!$Y$3:$Y$5001,Base!$B$3:$B$5001,I$197,Base!$A$3:$A$5001,_xlfn.MAXIFS(Base!$A$3:$A$5001,Base!$B$3:$B$5001,I$197,Base!$A$3:$A$5001,"&gt;="&amp;$C$7,Base!$A$3:$A$5001,"&lt;="&amp;$B226,Base!$Y$3:$Y$5001,"&lt;&gt;"))))</f>
        <v/>
      </c>
      <c r="J226" t="str">
        <f>IF($A226&gt;$B$9,"",IF(COUNTIFS(Base!$B$3:$B$5001,J$197,Base!$A$3:$A$5001,"&gt;="&amp;$C$7,Base!$A$3:$A$5001,"&lt;="&amp;$B226,Base!$Y$3:$Y$5001,"&lt;&gt;")=0,"",SUMIFS(Base!$Y$3:$Y$5001,Base!$B$3:$B$5001,J$197,Base!$A$3:$A$5001,_xlfn.MAXIFS(Base!$A$3:$A$5001,Base!$B$3:$B$5001,J$197,Base!$A$3:$A$5001,"&gt;="&amp;$C$7,Base!$A$3:$A$5001,"&lt;="&amp;$B226,Base!$Y$3:$Y$5001,"&lt;&gt;"))))</f>
        <v/>
      </c>
      <c r="K226" t="str">
        <f>IF($A226&gt;$B$9,"",IF(COUNTIFS(Base!$B$3:$B$5001,K$197,Base!$A$3:$A$5001,"&gt;="&amp;$C$7,Base!$A$3:$A$5001,"&lt;="&amp;$B226,Base!$Y$3:$Y$5001,"&lt;&gt;")=0,"",SUMIFS(Base!$Y$3:$Y$5001,Base!$B$3:$B$5001,K$197,Base!$A$3:$A$5001,_xlfn.MAXIFS(Base!$A$3:$A$5001,Base!$B$3:$B$5001,K$197,Base!$A$3:$A$5001,"&gt;="&amp;$C$7,Base!$A$3:$A$5001,"&lt;="&amp;$B226,Base!$Y$3:$Y$5001,"&lt;&gt;"))))</f>
        <v/>
      </c>
    </row>
    <row r="227">
      <c r="A227">
        <v>30</v>
      </c>
      <c r="B227" s="152">
        <f>$B$41</f>
        <v>46295</v>
      </c>
      <c r="C227" t="str">
        <f>IF($A227&gt;$B$9,"",IF(COUNTIFS(Base!$B$3:$B$5001,C$197,Base!$A$3:$A$5001,"&gt;="&amp;$C$7,Base!$A$3:$A$5001,"&lt;="&amp;$B227,Base!$Y$3:$Y$5001,"&lt;&gt;")=0,"",SUMIFS(Base!$Y$3:$Y$5001,Base!$B$3:$B$5001,C$197,Base!$A$3:$A$5001,_xlfn.MAXIFS(Base!$A$3:$A$5001,Base!$B$3:$B$5001,C$197,Base!$A$3:$A$5001,"&gt;="&amp;$C$7,Base!$A$3:$A$5001,"&lt;="&amp;$B227,Base!$Y$3:$Y$5001,"&lt;&gt;"))))</f>
        <v/>
      </c>
      <c r="D227" t="str">
        <f>IF($A227&gt;$B$9,"",IF(COUNTIFS(Base!$B$3:$B$5001,D$197,Base!$A$3:$A$5001,"&gt;="&amp;$C$7,Base!$A$3:$A$5001,"&lt;="&amp;$B227,Base!$Y$3:$Y$5001,"&lt;&gt;")=0,"",SUMIFS(Base!$Y$3:$Y$5001,Base!$B$3:$B$5001,D$197,Base!$A$3:$A$5001,_xlfn.MAXIFS(Base!$A$3:$A$5001,Base!$B$3:$B$5001,D$197,Base!$A$3:$A$5001,"&gt;="&amp;$C$7,Base!$A$3:$A$5001,"&lt;="&amp;$B227,Base!$Y$3:$Y$5001,"&lt;&gt;"))))</f>
        <v/>
      </c>
      <c r="E227" t="str">
        <f>IF($A227&gt;$B$9,"",IF(COUNTIFS(Base!$B$3:$B$5001,E$197,Base!$A$3:$A$5001,"&gt;="&amp;$C$7,Base!$A$3:$A$5001,"&lt;="&amp;$B227,Base!$Y$3:$Y$5001,"&lt;&gt;")=0,"",SUMIFS(Base!$Y$3:$Y$5001,Base!$B$3:$B$5001,E$197,Base!$A$3:$A$5001,_xlfn.MAXIFS(Base!$A$3:$A$5001,Base!$B$3:$B$5001,E$197,Base!$A$3:$A$5001,"&gt;="&amp;$C$7,Base!$A$3:$A$5001,"&lt;="&amp;$B227,Base!$Y$3:$Y$5001,"&lt;&gt;"))))</f>
        <v/>
      </c>
      <c r="F227" t="str">
        <f>IF($A227&gt;$B$9,"",IF(COUNTIFS(Base!$B$3:$B$5001,F$197,Base!$A$3:$A$5001,"&gt;="&amp;$C$7,Base!$A$3:$A$5001,"&lt;="&amp;$B227,Base!$Y$3:$Y$5001,"&lt;&gt;")=0,"",SUMIFS(Base!$Y$3:$Y$5001,Base!$B$3:$B$5001,F$197,Base!$A$3:$A$5001,_xlfn.MAXIFS(Base!$A$3:$A$5001,Base!$B$3:$B$5001,F$197,Base!$A$3:$A$5001,"&gt;="&amp;$C$7,Base!$A$3:$A$5001,"&lt;="&amp;$B227,Base!$Y$3:$Y$5001,"&lt;&gt;"))))</f>
        <v/>
      </c>
      <c r="G227" t="str">
        <f>IF($A227&gt;$B$9,"",IF(COUNTIFS(Base!$B$3:$B$5001,G$197,Base!$A$3:$A$5001,"&gt;="&amp;$C$7,Base!$A$3:$A$5001,"&lt;="&amp;$B227,Base!$Y$3:$Y$5001,"&lt;&gt;")=0,"",SUMIFS(Base!$Y$3:$Y$5001,Base!$B$3:$B$5001,G$197,Base!$A$3:$A$5001,_xlfn.MAXIFS(Base!$A$3:$A$5001,Base!$B$3:$B$5001,G$197,Base!$A$3:$A$5001,"&gt;="&amp;$C$7,Base!$A$3:$A$5001,"&lt;="&amp;$B227,Base!$Y$3:$Y$5001,"&lt;&gt;"))))</f>
        <v/>
      </c>
      <c r="H227" t="str">
        <f>IF($A227&gt;$B$9,"",IF(COUNTIFS(Base!$B$3:$B$5001,H$197,Base!$A$3:$A$5001,"&gt;="&amp;$C$7,Base!$A$3:$A$5001,"&lt;="&amp;$B227,Base!$Y$3:$Y$5001,"&lt;&gt;")=0,"",SUMIFS(Base!$Y$3:$Y$5001,Base!$B$3:$B$5001,H$197,Base!$A$3:$A$5001,_xlfn.MAXIFS(Base!$A$3:$A$5001,Base!$B$3:$B$5001,H$197,Base!$A$3:$A$5001,"&gt;="&amp;$C$7,Base!$A$3:$A$5001,"&lt;="&amp;$B227,Base!$Y$3:$Y$5001,"&lt;&gt;"))))</f>
        <v/>
      </c>
      <c r="I227" t="str">
        <f>IF($A227&gt;$B$9,"",IF(COUNTIFS(Base!$B$3:$B$5001,I$197,Base!$A$3:$A$5001,"&gt;="&amp;$C$7,Base!$A$3:$A$5001,"&lt;="&amp;$B227,Base!$Y$3:$Y$5001,"&lt;&gt;")=0,"",SUMIFS(Base!$Y$3:$Y$5001,Base!$B$3:$B$5001,I$197,Base!$A$3:$A$5001,_xlfn.MAXIFS(Base!$A$3:$A$5001,Base!$B$3:$B$5001,I$197,Base!$A$3:$A$5001,"&gt;="&amp;$C$7,Base!$A$3:$A$5001,"&lt;="&amp;$B227,Base!$Y$3:$Y$5001,"&lt;&gt;"))))</f>
        <v/>
      </c>
      <c r="J227" t="str">
        <f>IF($A227&gt;$B$9,"",IF(COUNTIFS(Base!$B$3:$B$5001,J$197,Base!$A$3:$A$5001,"&gt;="&amp;$C$7,Base!$A$3:$A$5001,"&lt;="&amp;$B227,Base!$Y$3:$Y$5001,"&lt;&gt;")=0,"",SUMIFS(Base!$Y$3:$Y$5001,Base!$B$3:$B$5001,J$197,Base!$A$3:$A$5001,_xlfn.MAXIFS(Base!$A$3:$A$5001,Base!$B$3:$B$5001,J$197,Base!$A$3:$A$5001,"&gt;="&amp;$C$7,Base!$A$3:$A$5001,"&lt;="&amp;$B227,Base!$Y$3:$Y$5001,"&lt;&gt;"))))</f>
        <v/>
      </c>
      <c r="K227" t="str">
        <f>IF($A227&gt;$B$9,"",IF(COUNTIFS(Base!$B$3:$B$5001,K$197,Base!$A$3:$A$5001,"&gt;="&amp;$C$7,Base!$A$3:$A$5001,"&lt;="&amp;$B227,Base!$Y$3:$Y$5001,"&lt;&gt;")=0,"",SUMIFS(Base!$Y$3:$Y$5001,Base!$B$3:$B$5001,K$197,Base!$A$3:$A$5001,_xlfn.MAXIFS(Base!$A$3:$A$5001,Base!$B$3:$B$5001,K$197,Base!$A$3:$A$5001,"&gt;="&amp;$C$7,Base!$A$3:$A$5001,"&lt;="&amp;$B227,Base!$Y$3:$Y$5001,"&lt;&gt;"))))</f>
        <v/>
      </c>
    </row>
    <row r="228">
      <c r="A228">
        <v>31</v>
      </c>
      <c r="B228" s="152" t="str">
        <f>$B$42</f>
        <v/>
      </c>
      <c r="C228" t="str">
        <f>IF($A228&gt;$B$9,"",IF(COUNTIFS(Base!$B$3:$B$5001,C$197,Base!$A$3:$A$5001,"&gt;="&amp;$C$7,Base!$A$3:$A$5001,"&lt;="&amp;$B228,Base!$Y$3:$Y$5001,"&lt;&gt;")=0,"",SUMIFS(Base!$Y$3:$Y$5001,Base!$B$3:$B$5001,C$197,Base!$A$3:$A$5001,_xlfn.MAXIFS(Base!$A$3:$A$5001,Base!$B$3:$B$5001,C$197,Base!$A$3:$A$5001,"&gt;="&amp;$C$7,Base!$A$3:$A$5001,"&lt;="&amp;$B228,Base!$Y$3:$Y$5001,"&lt;&gt;"))))</f>
        <v/>
      </c>
      <c r="D228" t="str">
        <f>IF($A228&gt;$B$9,"",IF(COUNTIFS(Base!$B$3:$B$5001,D$197,Base!$A$3:$A$5001,"&gt;="&amp;$C$7,Base!$A$3:$A$5001,"&lt;="&amp;$B228,Base!$Y$3:$Y$5001,"&lt;&gt;")=0,"",SUMIFS(Base!$Y$3:$Y$5001,Base!$B$3:$B$5001,D$197,Base!$A$3:$A$5001,_xlfn.MAXIFS(Base!$A$3:$A$5001,Base!$B$3:$B$5001,D$197,Base!$A$3:$A$5001,"&gt;="&amp;$C$7,Base!$A$3:$A$5001,"&lt;="&amp;$B228,Base!$Y$3:$Y$5001,"&lt;&gt;"))))</f>
        <v/>
      </c>
      <c r="E228" t="str">
        <f>IF($A228&gt;$B$9,"",IF(COUNTIFS(Base!$B$3:$B$5001,E$197,Base!$A$3:$A$5001,"&gt;="&amp;$C$7,Base!$A$3:$A$5001,"&lt;="&amp;$B228,Base!$Y$3:$Y$5001,"&lt;&gt;")=0,"",SUMIFS(Base!$Y$3:$Y$5001,Base!$B$3:$B$5001,E$197,Base!$A$3:$A$5001,_xlfn.MAXIFS(Base!$A$3:$A$5001,Base!$B$3:$B$5001,E$197,Base!$A$3:$A$5001,"&gt;="&amp;$C$7,Base!$A$3:$A$5001,"&lt;="&amp;$B228,Base!$Y$3:$Y$5001,"&lt;&gt;"))))</f>
        <v/>
      </c>
      <c r="F228" t="str">
        <f>IF($A228&gt;$B$9,"",IF(COUNTIFS(Base!$B$3:$B$5001,F$197,Base!$A$3:$A$5001,"&gt;="&amp;$C$7,Base!$A$3:$A$5001,"&lt;="&amp;$B228,Base!$Y$3:$Y$5001,"&lt;&gt;")=0,"",SUMIFS(Base!$Y$3:$Y$5001,Base!$B$3:$B$5001,F$197,Base!$A$3:$A$5001,_xlfn.MAXIFS(Base!$A$3:$A$5001,Base!$B$3:$B$5001,F$197,Base!$A$3:$A$5001,"&gt;="&amp;$C$7,Base!$A$3:$A$5001,"&lt;="&amp;$B228,Base!$Y$3:$Y$5001,"&lt;&gt;"))))</f>
        <v/>
      </c>
      <c r="G228" t="str">
        <f>IF($A228&gt;$B$9,"",IF(COUNTIFS(Base!$B$3:$B$5001,G$197,Base!$A$3:$A$5001,"&gt;="&amp;$C$7,Base!$A$3:$A$5001,"&lt;="&amp;$B228,Base!$Y$3:$Y$5001,"&lt;&gt;")=0,"",SUMIFS(Base!$Y$3:$Y$5001,Base!$B$3:$B$5001,G$197,Base!$A$3:$A$5001,_xlfn.MAXIFS(Base!$A$3:$A$5001,Base!$B$3:$B$5001,G$197,Base!$A$3:$A$5001,"&gt;="&amp;$C$7,Base!$A$3:$A$5001,"&lt;="&amp;$B228,Base!$Y$3:$Y$5001,"&lt;&gt;"))))</f>
        <v/>
      </c>
      <c r="H228" t="str">
        <f>IF($A228&gt;$B$9,"",IF(COUNTIFS(Base!$B$3:$B$5001,H$197,Base!$A$3:$A$5001,"&gt;="&amp;$C$7,Base!$A$3:$A$5001,"&lt;="&amp;$B228,Base!$Y$3:$Y$5001,"&lt;&gt;")=0,"",SUMIFS(Base!$Y$3:$Y$5001,Base!$B$3:$B$5001,H$197,Base!$A$3:$A$5001,_xlfn.MAXIFS(Base!$A$3:$A$5001,Base!$B$3:$B$5001,H$197,Base!$A$3:$A$5001,"&gt;="&amp;$C$7,Base!$A$3:$A$5001,"&lt;="&amp;$B228,Base!$Y$3:$Y$5001,"&lt;&gt;"))))</f>
        <v/>
      </c>
      <c r="I228" t="str">
        <f>IF($A228&gt;$B$9,"",IF(COUNTIFS(Base!$B$3:$B$5001,I$197,Base!$A$3:$A$5001,"&gt;="&amp;$C$7,Base!$A$3:$A$5001,"&lt;="&amp;$B228,Base!$Y$3:$Y$5001,"&lt;&gt;")=0,"",SUMIFS(Base!$Y$3:$Y$5001,Base!$B$3:$B$5001,I$197,Base!$A$3:$A$5001,_xlfn.MAXIFS(Base!$A$3:$A$5001,Base!$B$3:$B$5001,I$197,Base!$A$3:$A$5001,"&gt;="&amp;$C$7,Base!$A$3:$A$5001,"&lt;="&amp;$B228,Base!$Y$3:$Y$5001,"&lt;&gt;"))))</f>
        <v/>
      </c>
      <c r="J228" t="str">
        <f>IF($A228&gt;$B$9,"",IF(COUNTIFS(Base!$B$3:$B$5001,J$197,Base!$A$3:$A$5001,"&gt;="&amp;$C$7,Base!$A$3:$A$5001,"&lt;="&amp;$B228,Base!$Y$3:$Y$5001,"&lt;&gt;")=0,"",SUMIFS(Base!$Y$3:$Y$5001,Base!$B$3:$B$5001,J$197,Base!$A$3:$A$5001,_xlfn.MAXIFS(Base!$A$3:$A$5001,Base!$B$3:$B$5001,J$197,Base!$A$3:$A$5001,"&gt;="&amp;$C$7,Base!$A$3:$A$5001,"&lt;="&amp;$B228,Base!$Y$3:$Y$5001,"&lt;&gt;"))))</f>
        <v/>
      </c>
      <c r="K228" t="str">
        <f>IF($A228&gt;$B$9,"",IF(COUNTIFS(Base!$B$3:$B$5001,K$197,Base!$A$3:$A$5001,"&gt;="&amp;$C$7,Base!$A$3:$A$5001,"&lt;="&amp;$B228,Base!$Y$3:$Y$5001,"&lt;&gt;")=0,"",SUMIFS(Base!$Y$3:$Y$5001,Base!$B$3:$B$5001,K$197,Base!$A$3:$A$5001,_xlfn.MAXIFS(Base!$A$3:$A$5001,Base!$B$3:$B$5001,K$197,Base!$A$3:$A$5001,"&gt;="&amp;$C$7,Base!$A$3:$A$5001,"&lt;="&amp;$B228,Base!$Y$3:$Y$5001,"&lt;&gt;"))))</f>
        <v/>
      </c>
    </row>
    <row r="229">
      <c r="A229" t="inlineStr">
        <is>
          <t xml:space="preserve">Mês anterior (último)</t>
        </is>
      </c>
      <c r="C229" t="str">
        <f>IF(COUNTIFS(Base!$B$3:$B$5001,C$197,Base!$A$3:$A$5001,"&gt;="&amp;$C$8,Base!$A$3:$A$5001,"&lt;="&amp;$D$8,Base!$Y$3:$Y$5001,"&lt;&gt;")=0,"",SUMIFS(Base!$Y$3:$Y$5001,Base!$B$3:$B$5001,C$197,Base!$A$3:$A$5001,_xlfn.MAXIFS(Base!$A$3:$A$5001,Base!$B$3:$B$5001,C$197,Base!$A$3:$A$5001,"&gt;="&amp;$C$8,Base!$A$3:$A$5001,"&lt;="&amp;$D$8,Base!$Y$3:$Y$5001,"&lt;&gt;")))</f>
        <v/>
      </c>
      <c r="D229" t="str">
        <f>IF(COUNTIFS(Base!$B$3:$B$5001,D$197,Base!$A$3:$A$5001,"&gt;="&amp;$C$8,Base!$A$3:$A$5001,"&lt;="&amp;$D$8,Base!$Y$3:$Y$5001,"&lt;&gt;")=0,"",SUMIFS(Base!$Y$3:$Y$5001,Base!$B$3:$B$5001,D$197,Base!$A$3:$A$5001,_xlfn.MAXIFS(Base!$A$3:$A$5001,Base!$B$3:$B$5001,D$197,Base!$A$3:$A$5001,"&gt;="&amp;$C$8,Base!$A$3:$A$5001,"&lt;="&amp;$D$8,Base!$Y$3:$Y$5001,"&lt;&gt;")))</f>
        <v/>
      </c>
      <c r="E229" t="str">
        <f>IF(COUNTIFS(Base!$B$3:$B$5001,E$197,Base!$A$3:$A$5001,"&gt;="&amp;$C$8,Base!$A$3:$A$5001,"&lt;="&amp;$D$8,Base!$Y$3:$Y$5001,"&lt;&gt;")=0,"",SUMIFS(Base!$Y$3:$Y$5001,Base!$B$3:$B$5001,E$197,Base!$A$3:$A$5001,_xlfn.MAXIFS(Base!$A$3:$A$5001,Base!$B$3:$B$5001,E$197,Base!$A$3:$A$5001,"&gt;="&amp;$C$8,Base!$A$3:$A$5001,"&lt;="&amp;$D$8,Base!$Y$3:$Y$5001,"&lt;&gt;")))</f>
        <v/>
      </c>
      <c r="F229" t="str">
        <f>IF(COUNTIFS(Base!$B$3:$B$5001,F$197,Base!$A$3:$A$5001,"&gt;="&amp;$C$8,Base!$A$3:$A$5001,"&lt;="&amp;$D$8,Base!$Y$3:$Y$5001,"&lt;&gt;")=0,"",SUMIFS(Base!$Y$3:$Y$5001,Base!$B$3:$B$5001,F$197,Base!$A$3:$A$5001,_xlfn.MAXIFS(Base!$A$3:$A$5001,Base!$B$3:$B$5001,F$197,Base!$A$3:$A$5001,"&gt;="&amp;$C$8,Base!$A$3:$A$5001,"&lt;="&amp;$D$8,Base!$Y$3:$Y$5001,"&lt;&gt;")))</f>
        <v/>
      </c>
      <c r="G229" t="str">
        <f>IF(COUNTIFS(Base!$B$3:$B$5001,G$197,Base!$A$3:$A$5001,"&gt;="&amp;$C$8,Base!$A$3:$A$5001,"&lt;="&amp;$D$8,Base!$Y$3:$Y$5001,"&lt;&gt;")=0,"",SUMIFS(Base!$Y$3:$Y$5001,Base!$B$3:$B$5001,G$197,Base!$A$3:$A$5001,_xlfn.MAXIFS(Base!$A$3:$A$5001,Base!$B$3:$B$5001,G$197,Base!$A$3:$A$5001,"&gt;="&amp;$C$8,Base!$A$3:$A$5001,"&lt;="&amp;$D$8,Base!$Y$3:$Y$5001,"&lt;&gt;")))</f>
        <v/>
      </c>
      <c r="H229" t="str">
        <f>IF(COUNTIFS(Base!$B$3:$B$5001,H$197,Base!$A$3:$A$5001,"&gt;="&amp;$C$8,Base!$A$3:$A$5001,"&lt;="&amp;$D$8,Base!$Y$3:$Y$5001,"&lt;&gt;")=0,"",SUMIFS(Base!$Y$3:$Y$5001,Base!$B$3:$B$5001,H$197,Base!$A$3:$A$5001,_xlfn.MAXIFS(Base!$A$3:$A$5001,Base!$B$3:$B$5001,H$197,Base!$A$3:$A$5001,"&gt;="&amp;$C$8,Base!$A$3:$A$5001,"&lt;="&amp;$D$8,Base!$Y$3:$Y$5001,"&lt;&gt;")))</f>
        <v/>
      </c>
      <c r="I229" t="str">
        <f>IF(COUNTIFS(Base!$B$3:$B$5001,I$197,Base!$A$3:$A$5001,"&gt;="&amp;$C$8,Base!$A$3:$A$5001,"&lt;="&amp;$D$8,Base!$Y$3:$Y$5001,"&lt;&gt;")=0,"",SUMIFS(Base!$Y$3:$Y$5001,Base!$B$3:$B$5001,I$197,Base!$A$3:$A$5001,_xlfn.MAXIFS(Base!$A$3:$A$5001,Base!$B$3:$B$5001,I$197,Base!$A$3:$A$5001,"&gt;="&amp;$C$8,Base!$A$3:$A$5001,"&lt;="&amp;$D$8,Base!$Y$3:$Y$5001,"&lt;&gt;")))</f>
        <v/>
      </c>
      <c r="J229" t="str">
        <f>IF(COUNTIFS(Base!$B$3:$B$5001,J$197,Base!$A$3:$A$5001,"&gt;="&amp;$C$8,Base!$A$3:$A$5001,"&lt;="&amp;$D$8,Base!$Y$3:$Y$5001,"&lt;&gt;")=0,"",SUMIFS(Base!$Y$3:$Y$5001,Base!$B$3:$B$5001,J$197,Base!$A$3:$A$5001,_xlfn.MAXIFS(Base!$A$3:$A$5001,Base!$B$3:$B$5001,J$197,Base!$A$3:$A$5001,"&gt;="&amp;$C$8,Base!$A$3:$A$5001,"&lt;="&amp;$D$8,Base!$Y$3:$Y$5001,"&lt;&gt;")))</f>
        <v/>
      </c>
      <c r="K229" t="str">
        <f>IF(COUNTIFS(Base!$B$3:$B$5001,K$197,Base!$A$3:$A$5001,"&gt;="&amp;$C$8,Base!$A$3:$A$5001,"&lt;="&amp;$D$8,Base!$Y$3:$Y$5001,"&lt;&gt;")=0,"",SUMIFS(Base!$Y$3:$Y$5001,Base!$B$3:$B$5001,K$197,Base!$A$3:$A$5001,_xlfn.MAXIFS(Base!$A$3:$A$5001,Base!$B$3:$B$5001,K$197,Base!$A$3:$A$5001,"&gt;="&amp;$C$8,Base!$A$3:$A$5001,"&lt;="&amp;$D$8,Base!$Y$3:$Y$5001,"&lt;&gt;")))</f>
        <v/>
      </c>
    </row>
    <row r="232">
      <c r="A232" s="145" t="inlineStr">
        <is>
          <t xml:space="preserve">Efetivo</t>
        </is>
      </c>
      <c r="B232" s="145" t="inlineStr">
        <is>
          <t xml:space="preserve">Data</t>
        </is>
      </c>
      <c r="C232" s="145" t="inlineStr">
        <is>
          <t xml:space="preserve">BASF</t>
        </is>
      </c>
      <c r="D232" s="145" t="inlineStr">
        <is>
          <t xml:space="preserve">BEAUTYBIZ</t>
        </is>
      </c>
      <c r="E232" s="145" t="inlineStr">
        <is>
          <t xml:space="preserve">BOTICÁRIO</t>
        </is>
      </c>
      <c r="F232" s="145" t="inlineStr">
        <is>
          <t xml:space="preserve">SUPPLY</t>
        </is>
      </c>
      <c r="G232" s="145" t="inlineStr">
        <is>
          <t xml:space="preserve">GE VERNOVA</t>
        </is>
      </c>
      <c r="H232" s="145" t="inlineStr">
        <is>
          <t xml:space="preserve">VESTAS</t>
        </is>
      </c>
      <c r="I232" s="145" t="inlineStr">
        <is>
          <t xml:space="preserve">VEDACIT</t>
        </is>
      </c>
      <c r="J232" s="145" t="inlineStr">
        <is>
          <t xml:space="preserve">OMNLIFE</t>
        </is>
      </c>
      <c r="K232" s="145" t="inlineStr">
        <is>
          <t xml:space="preserve">ALPARGATAS</t>
        </is>
      </c>
    </row>
    <row r="233">
      <c r="A233">
        <v>1</v>
      </c>
      <c r="B233" s="152">
        <f>$B$12</f>
        <v>46266</v>
      </c>
      <c r="C233" t="str">
        <f>IF($A233&gt;$B$9,"",IF(COUNTIFS(Base!$B$3:$B$5001,C$232,Base!$A$3:$A$5001,"&gt;="&amp;$C$7,Base!$A$3:$A$5001,"&lt;="&amp;$B233,Base!$Z$3:$Z$5001,"&lt;&gt;")=0,"",SUMIFS(Base!$Z$3:$Z$5001,Base!$B$3:$B$5001,C$232,Base!$A$3:$A$5001,_xlfn.MAXIFS(Base!$A$3:$A$5001,Base!$B$3:$B$5001,C$232,Base!$A$3:$A$5001,"&gt;="&amp;$C$7,Base!$A$3:$A$5001,"&lt;="&amp;$B233,Base!$Z$3:$Z$5001,"&lt;&gt;"))))</f>
        <v/>
      </c>
      <c r="D233" t="str">
        <f>IF($A233&gt;$B$9,"",IF(COUNTIFS(Base!$B$3:$B$5001,D$232,Base!$A$3:$A$5001,"&gt;="&amp;$C$7,Base!$A$3:$A$5001,"&lt;="&amp;$B233,Base!$Z$3:$Z$5001,"&lt;&gt;")=0,"",SUMIFS(Base!$Z$3:$Z$5001,Base!$B$3:$B$5001,D$232,Base!$A$3:$A$5001,_xlfn.MAXIFS(Base!$A$3:$A$5001,Base!$B$3:$B$5001,D$232,Base!$A$3:$A$5001,"&gt;="&amp;$C$7,Base!$A$3:$A$5001,"&lt;="&amp;$B233,Base!$Z$3:$Z$5001,"&lt;&gt;"))))</f>
        <v/>
      </c>
      <c r="E233" t="str">
        <f>IF($A233&gt;$B$9,"",IF(COUNTIFS(Base!$B$3:$B$5001,E$232,Base!$A$3:$A$5001,"&gt;="&amp;$C$7,Base!$A$3:$A$5001,"&lt;="&amp;$B233,Base!$Z$3:$Z$5001,"&lt;&gt;")=0,"",SUMIFS(Base!$Z$3:$Z$5001,Base!$B$3:$B$5001,E$232,Base!$A$3:$A$5001,_xlfn.MAXIFS(Base!$A$3:$A$5001,Base!$B$3:$B$5001,E$232,Base!$A$3:$A$5001,"&gt;="&amp;$C$7,Base!$A$3:$A$5001,"&lt;="&amp;$B233,Base!$Z$3:$Z$5001,"&lt;&gt;"))))</f>
        <v/>
      </c>
      <c r="F233" t="str">
        <f>IF($A233&gt;$B$9,"",IF(COUNTIFS(Base!$B$3:$B$5001,F$232,Base!$A$3:$A$5001,"&gt;="&amp;$C$7,Base!$A$3:$A$5001,"&lt;="&amp;$B233,Base!$Z$3:$Z$5001,"&lt;&gt;")=0,"",SUMIFS(Base!$Z$3:$Z$5001,Base!$B$3:$B$5001,F$232,Base!$A$3:$A$5001,_xlfn.MAXIFS(Base!$A$3:$A$5001,Base!$B$3:$B$5001,F$232,Base!$A$3:$A$5001,"&gt;="&amp;$C$7,Base!$A$3:$A$5001,"&lt;="&amp;$B233,Base!$Z$3:$Z$5001,"&lt;&gt;"))))</f>
        <v/>
      </c>
      <c r="G233" t="str">
        <f>IF($A233&gt;$B$9,"",IF(COUNTIFS(Base!$B$3:$B$5001,G$232,Base!$A$3:$A$5001,"&gt;="&amp;$C$7,Base!$A$3:$A$5001,"&lt;="&amp;$B233,Base!$Z$3:$Z$5001,"&lt;&gt;")=0,"",SUMIFS(Base!$Z$3:$Z$5001,Base!$B$3:$B$5001,G$232,Base!$A$3:$A$5001,_xlfn.MAXIFS(Base!$A$3:$A$5001,Base!$B$3:$B$5001,G$232,Base!$A$3:$A$5001,"&gt;="&amp;$C$7,Base!$A$3:$A$5001,"&lt;="&amp;$B233,Base!$Z$3:$Z$5001,"&lt;&gt;"))))</f>
        <v/>
      </c>
      <c r="H233" t="str">
        <f>IF($A233&gt;$B$9,"",IF(COUNTIFS(Base!$B$3:$B$5001,H$232,Base!$A$3:$A$5001,"&gt;="&amp;$C$7,Base!$A$3:$A$5001,"&lt;="&amp;$B233,Base!$Z$3:$Z$5001,"&lt;&gt;")=0,"",SUMIFS(Base!$Z$3:$Z$5001,Base!$B$3:$B$5001,H$232,Base!$A$3:$A$5001,_xlfn.MAXIFS(Base!$A$3:$A$5001,Base!$B$3:$B$5001,H$232,Base!$A$3:$A$5001,"&gt;="&amp;$C$7,Base!$A$3:$A$5001,"&lt;="&amp;$B233,Base!$Z$3:$Z$5001,"&lt;&gt;"))))</f>
        <v/>
      </c>
      <c r="I233" t="str">
        <f>IF($A233&gt;$B$9,"",IF(COUNTIFS(Base!$B$3:$B$5001,I$232,Base!$A$3:$A$5001,"&gt;="&amp;$C$7,Base!$A$3:$A$5001,"&lt;="&amp;$B233,Base!$Z$3:$Z$5001,"&lt;&gt;")=0,"",SUMIFS(Base!$Z$3:$Z$5001,Base!$B$3:$B$5001,I$232,Base!$A$3:$A$5001,_xlfn.MAXIFS(Base!$A$3:$A$5001,Base!$B$3:$B$5001,I$232,Base!$A$3:$A$5001,"&gt;="&amp;$C$7,Base!$A$3:$A$5001,"&lt;="&amp;$B233,Base!$Z$3:$Z$5001,"&lt;&gt;"))))</f>
        <v/>
      </c>
      <c r="J233" t="str">
        <f>IF($A233&gt;$B$9,"",IF(COUNTIFS(Base!$B$3:$B$5001,J$232,Base!$A$3:$A$5001,"&gt;="&amp;$C$7,Base!$A$3:$A$5001,"&lt;="&amp;$B233,Base!$Z$3:$Z$5001,"&lt;&gt;")=0,"",SUMIFS(Base!$Z$3:$Z$5001,Base!$B$3:$B$5001,J$232,Base!$A$3:$A$5001,_xlfn.MAXIFS(Base!$A$3:$A$5001,Base!$B$3:$B$5001,J$232,Base!$A$3:$A$5001,"&gt;="&amp;$C$7,Base!$A$3:$A$5001,"&lt;="&amp;$B233,Base!$Z$3:$Z$5001,"&lt;&gt;"))))</f>
        <v/>
      </c>
      <c r="K233" t="str">
        <f>IF($A233&gt;$B$9,"",IF(COUNTIFS(Base!$B$3:$B$5001,K$232,Base!$A$3:$A$5001,"&gt;="&amp;$C$7,Base!$A$3:$A$5001,"&lt;="&amp;$B233,Base!$Z$3:$Z$5001,"&lt;&gt;")=0,"",SUMIFS(Base!$Z$3:$Z$5001,Base!$B$3:$B$5001,K$232,Base!$A$3:$A$5001,_xlfn.MAXIFS(Base!$A$3:$A$5001,Base!$B$3:$B$5001,K$232,Base!$A$3:$A$5001,"&gt;="&amp;$C$7,Base!$A$3:$A$5001,"&lt;="&amp;$B233,Base!$Z$3:$Z$5001,"&lt;&gt;"))))</f>
        <v/>
      </c>
    </row>
    <row r="234">
      <c r="A234">
        <v>2</v>
      </c>
      <c r="B234" s="152">
        <f>$B$13</f>
        <v>46267</v>
      </c>
      <c r="C234" t="str">
        <f>IF($A234&gt;$B$9,"",IF(COUNTIFS(Base!$B$3:$B$5001,C$232,Base!$A$3:$A$5001,"&gt;="&amp;$C$7,Base!$A$3:$A$5001,"&lt;="&amp;$B234,Base!$Z$3:$Z$5001,"&lt;&gt;")=0,"",SUMIFS(Base!$Z$3:$Z$5001,Base!$B$3:$B$5001,C$232,Base!$A$3:$A$5001,_xlfn.MAXIFS(Base!$A$3:$A$5001,Base!$B$3:$B$5001,C$232,Base!$A$3:$A$5001,"&gt;="&amp;$C$7,Base!$A$3:$A$5001,"&lt;="&amp;$B234,Base!$Z$3:$Z$5001,"&lt;&gt;"))))</f>
        <v/>
      </c>
      <c r="D234" t="str">
        <f>IF($A234&gt;$B$9,"",IF(COUNTIFS(Base!$B$3:$B$5001,D$232,Base!$A$3:$A$5001,"&gt;="&amp;$C$7,Base!$A$3:$A$5001,"&lt;="&amp;$B234,Base!$Z$3:$Z$5001,"&lt;&gt;")=0,"",SUMIFS(Base!$Z$3:$Z$5001,Base!$B$3:$B$5001,D$232,Base!$A$3:$A$5001,_xlfn.MAXIFS(Base!$A$3:$A$5001,Base!$B$3:$B$5001,D$232,Base!$A$3:$A$5001,"&gt;="&amp;$C$7,Base!$A$3:$A$5001,"&lt;="&amp;$B234,Base!$Z$3:$Z$5001,"&lt;&gt;"))))</f>
        <v/>
      </c>
      <c r="E234" t="str">
        <f>IF($A234&gt;$B$9,"",IF(COUNTIFS(Base!$B$3:$B$5001,E$232,Base!$A$3:$A$5001,"&gt;="&amp;$C$7,Base!$A$3:$A$5001,"&lt;="&amp;$B234,Base!$Z$3:$Z$5001,"&lt;&gt;")=0,"",SUMIFS(Base!$Z$3:$Z$5001,Base!$B$3:$B$5001,E$232,Base!$A$3:$A$5001,_xlfn.MAXIFS(Base!$A$3:$A$5001,Base!$B$3:$B$5001,E$232,Base!$A$3:$A$5001,"&gt;="&amp;$C$7,Base!$A$3:$A$5001,"&lt;="&amp;$B234,Base!$Z$3:$Z$5001,"&lt;&gt;"))))</f>
        <v/>
      </c>
      <c r="F234" t="str">
        <f>IF($A234&gt;$B$9,"",IF(COUNTIFS(Base!$B$3:$B$5001,F$232,Base!$A$3:$A$5001,"&gt;="&amp;$C$7,Base!$A$3:$A$5001,"&lt;="&amp;$B234,Base!$Z$3:$Z$5001,"&lt;&gt;")=0,"",SUMIFS(Base!$Z$3:$Z$5001,Base!$B$3:$B$5001,F$232,Base!$A$3:$A$5001,_xlfn.MAXIFS(Base!$A$3:$A$5001,Base!$B$3:$B$5001,F$232,Base!$A$3:$A$5001,"&gt;="&amp;$C$7,Base!$A$3:$A$5001,"&lt;="&amp;$B234,Base!$Z$3:$Z$5001,"&lt;&gt;"))))</f>
        <v/>
      </c>
      <c r="G234" t="str">
        <f>IF($A234&gt;$B$9,"",IF(COUNTIFS(Base!$B$3:$B$5001,G$232,Base!$A$3:$A$5001,"&gt;="&amp;$C$7,Base!$A$3:$A$5001,"&lt;="&amp;$B234,Base!$Z$3:$Z$5001,"&lt;&gt;")=0,"",SUMIFS(Base!$Z$3:$Z$5001,Base!$B$3:$B$5001,G$232,Base!$A$3:$A$5001,_xlfn.MAXIFS(Base!$A$3:$A$5001,Base!$B$3:$B$5001,G$232,Base!$A$3:$A$5001,"&gt;="&amp;$C$7,Base!$A$3:$A$5001,"&lt;="&amp;$B234,Base!$Z$3:$Z$5001,"&lt;&gt;"))))</f>
        <v/>
      </c>
      <c r="H234" t="str">
        <f>IF($A234&gt;$B$9,"",IF(COUNTIFS(Base!$B$3:$B$5001,H$232,Base!$A$3:$A$5001,"&gt;="&amp;$C$7,Base!$A$3:$A$5001,"&lt;="&amp;$B234,Base!$Z$3:$Z$5001,"&lt;&gt;")=0,"",SUMIFS(Base!$Z$3:$Z$5001,Base!$B$3:$B$5001,H$232,Base!$A$3:$A$5001,_xlfn.MAXIFS(Base!$A$3:$A$5001,Base!$B$3:$B$5001,H$232,Base!$A$3:$A$5001,"&gt;="&amp;$C$7,Base!$A$3:$A$5001,"&lt;="&amp;$B234,Base!$Z$3:$Z$5001,"&lt;&gt;"))))</f>
        <v/>
      </c>
      <c r="I234" t="str">
        <f>IF($A234&gt;$B$9,"",IF(COUNTIFS(Base!$B$3:$B$5001,I$232,Base!$A$3:$A$5001,"&gt;="&amp;$C$7,Base!$A$3:$A$5001,"&lt;="&amp;$B234,Base!$Z$3:$Z$5001,"&lt;&gt;")=0,"",SUMIFS(Base!$Z$3:$Z$5001,Base!$B$3:$B$5001,I$232,Base!$A$3:$A$5001,_xlfn.MAXIFS(Base!$A$3:$A$5001,Base!$B$3:$B$5001,I$232,Base!$A$3:$A$5001,"&gt;="&amp;$C$7,Base!$A$3:$A$5001,"&lt;="&amp;$B234,Base!$Z$3:$Z$5001,"&lt;&gt;"))))</f>
        <v/>
      </c>
      <c r="J234" t="str">
        <f>IF($A234&gt;$B$9,"",IF(COUNTIFS(Base!$B$3:$B$5001,J$232,Base!$A$3:$A$5001,"&gt;="&amp;$C$7,Base!$A$3:$A$5001,"&lt;="&amp;$B234,Base!$Z$3:$Z$5001,"&lt;&gt;")=0,"",SUMIFS(Base!$Z$3:$Z$5001,Base!$B$3:$B$5001,J$232,Base!$A$3:$A$5001,_xlfn.MAXIFS(Base!$A$3:$A$5001,Base!$B$3:$B$5001,J$232,Base!$A$3:$A$5001,"&gt;="&amp;$C$7,Base!$A$3:$A$5001,"&lt;="&amp;$B234,Base!$Z$3:$Z$5001,"&lt;&gt;"))))</f>
        <v/>
      </c>
      <c r="K234" t="str">
        <f>IF($A234&gt;$B$9,"",IF(COUNTIFS(Base!$B$3:$B$5001,K$232,Base!$A$3:$A$5001,"&gt;="&amp;$C$7,Base!$A$3:$A$5001,"&lt;="&amp;$B234,Base!$Z$3:$Z$5001,"&lt;&gt;")=0,"",SUMIFS(Base!$Z$3:$Z$5001,Base!$B$3:$B$5001,K$232,Base!$A$3:$A$5001,_xlfn.MAXIFS(Base!$A$3:$A$5001,Base!$B$3:$B$5001,K$232,Base!$A$3:$A$5001,"&gt;="&amp;$C$7,Base!$A$3:$A$5001,"&lt;="&amp;$B234,Base!$Z$3:$Z$5001,"&lt;&gt;"))))</f>
        <v/>
      </c>
    </row>
    <row r="235">
      <c r="A235">
        <v>3</v>
      </c>
      <c r="B235" s="152">
        <f>$B$14</f>
        <v>46268</v>
      </c>
      <c r="C235" t="str">
        <f>IF($A235&gt;$B$9,"",IF(COUNTIFS(Base!$B$3:$B$5001,C$232,Base!$A$3:$A$5001,"&gt;="&amp;$C$7,Base!$A$3:$A$5001,"&lt;="&amp;$B235,Base!$Z$3:$Z$5001,"&lt;&gt;")=0,"",SUMIFS(Base!$Z$3:$Z$5001,Base!$B$3:$B$5001,C$232,Base!$A$3:$A$5001,_xlfn.MAXIFS(Base!$A$3:$A$5001,Base!$B$3:$B$5001,C$232,Base!$A$3:$A$5001,"&gt;="&amp;$C$7,Base!$A$3:$A$5001,"&lt;="&amp;$B235,Base!$Z$3:$Z$5001,"&lt;&gt;"))))</f>
        <v/>
      </c>
      <c r="D235" t="str">
        <f>IF($A235&gt;$B$9,"",IF(COUNTIFS(Base!$B$3:$B$5001,D$232,Base!$A$3:$A$5001,"&gt;="&amp;$C$7,Base!$A$3:$A$5001,"&lt;="&amp;$B235,Base!$Z$3:$Z$5001,"&lt;&gt;")=0,"",SUMIFS(Base!$Z$3:$Z$5001,Base!$B$3:$B$5001,D$232,Base!$A$3:$A$5001,_xlfn.MAXIFS(Base!$A$3:$A$5001,Base!$B$3:$B$5001,D$232,Base!$A$3:$A$5001,"&gt;="&amp;$C$7,Base!$A$3:$A$5001,"&lt;="&amp;$B235,Base!$Z$3:$Z$5001,"&lt;&gt;"))))</f>
        <v/>
      </c>
      <c r="E235" t="str">
        <f>IF($A235&gt;$B$9,"",IF(COUNTIFS(Base!$B$3:$B$5001,E$232,Base!$A$3:$A$5001,"&gt;="&amp;$C$7,Base!$A$3:$A$5001,"&lt;="&amp;$B235,Base!$Z$3:$Z$5001,"&lt;&gt;")=0,"",SUMIFS(Base!$Z$3:$Z$5001,Base!$B$3:$B$5001,E$232,Base!$A$3:$A$5001,_xlfn.MAXIFS(Base!$A$3:$A$5001,Base!$B$3:$B$5001,E$232,Base!$A$3:$A$5001,"&gt;="&amp;$C$7,Base!$A$3:$A$5001,"&lt;="&amp;$B235,Base!$Z$3:$Z$5001,"&lt;&gt;"))))</f>
        <v/>
      </c>
      <c r="F235" t="str">
        <f>IF($A235&gt;$B$9,"",IF(COUNTIFS(Base!$B$3:$B$5001,F$232,Base!$A$3:$A$5001,"&gt;="&amp;$C$7,Base!$A$3:$A$5001,"&lt;="&amp;$B235,Base!$Z$3:$Z$5001,"&lt;&gt;")=0,"",SUMIFS(Base!$Z$3:$Z$5001,Base!$B$3:$B$5001,F$232,Base!$A$3:$A$5001,_xlfn.MAXIFS(Base!$A$3:$A$5001,Base!$B$3:$B$5001,F$232,Base!$A$3:$A$5001,"&gt;="&amp;$C$7,Base!$A$3:$A$5001,"&lt;="&amp;$B235,Base!$Z$3:$Z$5001,"&lt;&gt;"))))</f>
        <v/>
      </c>
      <c r="G235" t="str">
        <f>IF($A235&gt;$B$9,"",IF(COUNTIFS(Base!$B$3:$B$5001,G$232,Base!$A$3:$A$5001,"&gt;="&amp;$C$7,Base!$A$3:$A$5001,"&lt;="&amp;$B235,Base!$Z$3:$Z$5001,"&lt;&gt;")=0,"",SUMIFS(Base!$Z$3:$Z$5001,Base!$B$3:$B$5001,G$232,Base!$A$3:$A$5001,_xlfn.MAXIFS(Base!$A$3:$A$5001,Base!$B$3:$B$5001,G$232,Base!$A$3:$A$5001,"&gt;="&amp;$C$7,Base!$A$3:$A$5001,"&lt;="&amp;$B235,Base!$Z$3:$Z$5001,"&lt;&gt;"))))</f>
        <v/>
      </c>
      <c r="H235" t="str">
        <f>IF($A235&gt;$B$9,"",IF(COUNTIFS(Base!$B$3:$B$5001,H$232,Base!$A$3:$A$5001,"&gt;="&amp;$C$7,Base!$A$3:$A$5001,"&lt;="&amp;$B235,Base!$Z$3:$Z$5001,"&lt;&gt;")=0,"",SUMIFS(Base!$Z$3:$Z$5001,Base!$B$3:$B$5001,H$232,Base!$A$3:$A$5001,_xlfn.MAXIFS(Base!$A$3:$A$5001,Base!$B$3:$B$5001,H$232,Base!$A$3:$A$5001,"&gt;="&amp;$C$7,Base!$A$3:$A$5001,"&lt;="&amp;$B235,Base!$Z$3:$Z$5001,"&lt;&gt;"))))</f>
        <v/>
      </c>
      <c r="I235" t="str">
        <f>IF($A235&gt;$B$9,"",IF(COUNTIFS(Base!$B$3:$B$5001,I$232,Base!$A$3:$A$5001,"&gt;="&amp;$C$7,Base!$A$3:$A$5001,"&lt;="&amp;$B235,Base!$Z$3:$Z$5001,"&lt;&gt;")=0,"",SUMIFS(Base!$Z$3:$Z$5001,Base!$B$3:$B$5001,I$232,Base!$A$3:$A$5001,_xlfn.MAXIFS(Base!$A$3:$A$5001,Base!$B$3:$B$5001,I$232,Base!$A$3:$A$5001,"&gt;="&amp;$C$7,Base!$A$3:$A$5001,"&lt;="&amp;$B235,Base!$Z$3:$Z$5001,"&lt;&gt;"))))</f>
        <v/>
      </c>
      <c r="J235" t="str">
        <f>IF($A235&gt;$B$9,"",IF(COUNTIFS(Base!$B$3:$B$5001,J$232,Base!$A$3:$A$5001,"&gt;="&amp;$C$7,Base!$A$3:$A$5001,"&lt;="&amp;$B235,Base!$Z$3:$Z$5001,"&lt;&gt;")=0,"",SUMIFS(Base!$Z$3:$Z$5001,Base!$B$3:$B$5001,J$232,Base!$A$3:$A$5001,_xlfn.MAXIFS(Base!$A$3:$A$5001,Base!$B$3:$B$5001,J$232,Base!$A$3:$A$5001,"&gt;="&amp;$C$7,Base!$A$3:$A$5001,"&lt;="&amp;$B235,Base!$Z$3:$Z$5001,"&lt;&gt;"))))</f>
        <v/>
      </c>
      <c r="K235" t="str">
        <f>IF($A235&gt;$B$9,"",IF(COUNTIFS(Base!$B$3:$B$5001,K$232,Base!$A$3:$A$5001,"&gt;="&amp;$C$7,Base!$A$3:$A$5001,"&lt;="&amp;$B235,Base!$Z$3:$Z$5001,"&lt;&gt;")=0,"",SUMIFS(Base!$Z$3:$Z$5001,Base!$B$3:$B$5001,K$232,Base!$A$3:$A$5001,_xlfn.MAXIFS(Base!$A$3:$A$5001,Base!$B$3:$B$5001,K$232,Base!$A$3:$A$5001,"&gt;="&amp;$C$7,Base!$A$3:$A$5001,"&lt;="&amp;$B235,Base!$Z$3:$Z$5001,"&lt;&gt;"))))</f>
        <v/>
      </c>
    </row>
    <row r="236">
      <c r="A236">
        <v>4</v>
      </c>
      <c r="B236" s="152">
        <f>$B$15</f>
        <v>46269</v>
      </c>
      <c r="C236" t="str">
        <f>IF($A236&gt;$B$9,"",IF(COUNTIFS(Base!$B$3:$B$5001,C$232,Base!$A$3:$A$5001,"&gt;="&amp;$C$7,Base!$A$3:$A$5001,"&lt;="&amp;$B236,Base!$Z$3:$Z$5001,"&lt;&gt;")=0,"",SUMIFS(Base!$Z$3:$Z$5001,Base!$B$3:$B$5001,C$232,Base!$A$3:$A$5001,_xlfn.MAXIFS(Base!$A$3:$A$5001,Base!$B$3:$B$5001,C$232,Base!$A$3:$A$5001,"&gt;="&amp;$C$7,Base!$A$3:$A$5001,"&lt;="&amp;$B236,Base!$Z$3:$Z$5001,"&lt;&gt;"))))</f>
        <v/>
      </c>
      <c r="D236" t="str">
        <f>IF($A236&gt;$B$9,"",IF(COUNTIFS(Base!$B$3:$B$5001,D$232,Base!$A$3:$A$5001,"&gt;="&amp;$C$7,Base!$A$3:$A$5001,"&lt;="&amp;$B236,Base!$Z$3:$Z$5001,"&lt;&gt;")=0,"",SUMIFS(Base!$Z$3:$Z$5001,Base!$B$3:$B$5001,D$232,Base!$A$3:$A$5001,_xlfn.MAXIFS(Base!$A$3:$A$5001,Base!$B$3:$B$5001,D$232,Base!$A$3:$A$5001,"&gt;="&amp;$C$7,Base!$A$3:$A$5001,"&lt;="&amp;$B236,Base!$Z$3:$Z$5001,"&lt;&gt;"))))</f>
        <v/>
      </c>
      <c r="E236" t="str">
        <f>IF($A236&gt;$B$9,"",IF(COUNTIFS(Base!$B$3:$B$5001,E$232,Base!$A$3:$A$5001,"&gt;="&amp;$C$7,Base!$A$3:$A$5001,"&lt;="&amp;$B236,Base!$Z$3:$Z$5001,"&lt;&gt;")=0,"",SUMIFS(Base!$Z$3:$Z$5001,Base!$B$3:$B$5001,E$232,Base!$A$3:$A$5001,_xlfn.MAXIFS(Base!$A$3:$A$5001,Base!$B$3:$B$5001,E$232,Base!$A$3:$A$5001,"&gt;="&amp;$C$7,Base!$A$3:$A$5001,"&lt;="&amp;$B236,Base!$Z$3:$Z$5001,"&lt;&gt;"))))</f>
        <v/>
      </c>
      <c r="F236" t="str">
        <f>IF($A236&gt;$B$9,"",IF(COUNTIFS(Base!$B$3:$B$5001,F$232,Base!$A$3:$A$5001,"&gt;="&amp;$C$7,Base!$A$3:$A$5001,"&lt;="&amp;$B236,Base!$Z$3:$Z$5001,"&lt;&gt;")=0,"",SUMIFS(Base!$Z$3:$Z$5001,Base!$B$3:$B$5001,F$232,Base!$A$3:$A$5001,_xlfn.MAXIFS(Base!$A$3:$A$5001,Base!$B$3:$B$5001,F$232,Base!$A$3:$A$5001,"&gt;="&amp;$C$7,Base!$A$3:$A$5001,"&lt;="&amp;$B236,Base!$Z$3:$Z$5001,"&lt;&gt;"))))</f>
        <v/>
      </c>
      <c r="G236" t="str">
        <f>IF($A236&gt;$B$9,"",IF(COUNTIFS(Base!$B$3:$B$5001,G$232,Base!$A$3:$A$5001,"&gt;="&amp;$C$7,Base!$A$3:$A$5001,"&lt;="&amp;$B236,Base!$Z$3:$Z$5001,"&lt;&gt;")=0,"",SUMIFS(Base!$Z$3:$Z$5001,Base!$B$3:$B$5001,G$232,Base!$A$3:$A$5001,_xlfn.MAXIFS(Base!$A$3:$A$5001,Base!$B$3:$B$5001,G$232,Base!$A$3:$A$5001,"&gt;="&amp;$C$7,Base!$A$3:$A$5001,"&lt;="&amp;$B236,Base!$Z$3:$Z$5001,"&lt;&gt;"))))</f>
        <v/>
      </c>
      <c r="H236" t="str">
        <f>IF($A236&gt;$B$9,"",IF(COUNTIFS(Base!$B$3:$B$5001,H$232,Base!$A$3:$A$5001,"&gt;="&amp;$C$7,Base!$A$3:$A$5001,"&lt;="&amp;$B236,Base!$Z$3:$Z$5001,"&lt;&gt;")=0,"",SUMIFS(Base!$Z$3:$Z$5001,Base!$B$3:$B$5001,H$232,Base!$A$3:$A$5001,_xlfn.MAXIFS(Base!$A$3:$A$5001,Base!$B$3:$B$5001,H$232,Base!$A$3:$A$5001,"&gt;="&amp;$C$7,Base!$A$3:$A$5001,"&lt;="&amp;$B236,Base!$Z$3:$Z$5001,"&lt;&gt;"))))</f>
        <v/>
      </c>
      <c r="I236" t="str">
        <f>IF($A236&gt;$B$9,"",IF(COUNTIFS(Base!$B$3:$B$5001,I$232,Base!$A$3:$A$5001,"&gt;="&amp;$C$7,Base!$A$3:$A$5001,"&lt;="&amp;$B236,Base!$Z$3:$Z$5001,"&lt;&gt;")=0,"",SUMIFS(Base!$Z$3:$Z$5001,Base!$B$3:$B$5001,I$232,Base!$A$3:$A$5001,_xlfn.MAXIFS(Base!$A$3:$A$5001,Base!$B$3:$B$5001,I$232,Base!$A$3:$A$5001,"&gt;="&amp;$C$7,Base!$A$3:$A$5001,"&lt;="&amp;$B236,Base!$Z$3:$Z$5001,"&lt;&gt;"))))</f>
        <v/>
      </c>
      <c r="J236" t="str">
        <f>IF($A236&gt;$B$9,"",IF(COUNTIFS(Base!$B$3:$B$5001,J$232,Base!$A$3:$A$5001,"&gt;="&amp;$C$7,Base!$A$3:$A$5001,"&lt;="&amp;$B236,Base!$Z$3:$Z$5001,"&lt;&gt;")=0,"",SUMIFS(Base!$Z$3:$Z$5001,Base!$B$3:$B$5001,J$232,Base!$A$3:$A$5001,_xlfn.MAXIFS(Base!$A$3:$A$5001,Base!$B$3:$B$5001,J$232,Base!$A$3:$A$5001,"&gt;="&amp;$C$7,Base!$A$3:$A$5001,"&lt;="&amp;$B236,Base!$Z$3:$Z$5001,"&lt;&gt;"))))</f>
        <v/>
      </c>
      <c r="K236" t="str">
        <f>IF($A236&gt;$B$9,"",IF(COUNTIFS(Base!$B$3:$B$5001,K$232,Base!$A$3:$A$5001,"&gt;="&amp;$C$7,Base!$A$3:$A$5001,"&lt;="&amp;$B236,Base!$Z$3:$Z$5001,"&lt;&gt;")=0,"",SUMIFS(Base!$Z$3:$Z$5001,Base!$B$3:$B$5001,K$232,Base!$A$3:$A$5001,_xlfn.MAXIFS(Base!$A$3:$A$5001,Base!$B$3:$B$5001,K$232,Base!$A$3:$A$5001,"&gt;="&amp;$C$7,Base!$A$3:$A$5001,"&lt;="&amp;$B236,Base!$Z$3:$Z$5001,"&lt;&gt;"))))</f>
        <v/>
      </c>
    </row>
    <row r="237">
      <c r="A237">
        <v>5</v>
      </c>
      <c r="B237" s="152">
        <f>$B$16</f>
        <v>46270</v>
      </c>
      <c r="C237" t="str">
        <f>IF($A237&gt;$B$9,"",IF(COUNTIFS(Base!$B$3:$B$5001,C$232,Base!$A$3:$A$5001,"&gt;="&amp;$C$7,Base!$A$3:$A$5001,"&lt;="&amp;$B237,Base!$Z$3:$Z$5001,"&lt;&gt;")=0,"",SUMIFS(Base!$Z$3:$Z$5001,Base!$B$3:$B$5001,C$232,Base!$A$3:$A$5001,_xlfn.MAXIFS(Base!$A$3:$A$5001,Base!$B$3:$B$5001,C$232,Base!$A$3:$A$5001,"&gt;="&amp;$C$7,Base!$A$3:$A$5001,"&lt;="&amp;$B237,Base!$Z$3:$Z$5001,"&lt;&gt;"))))</f>
        <v/>
      </c>
      <c r="D237" t="str">
        <f>IF($A237&gt;$B$9,"",IF(COUNTIFS(Base!$B$3:$B$5001,D$232,Base!$A$3:$A$5001,"&gt;="&amp;$C$7,Base!$A$3:$A$5001,"&lt;="&amp;$B237,Base!$Z$3:$Z$5001,"&lt;&gt;")=0,"",SUMIFS(Base!$Z$3:$Z$5001,Base!$B$3:$B$5001,D$232,Base!$A$3:$A$5001,_xlfn.MAXIFS(Base!$A$3:$A$5001,Base!$B$3:$B$5001,D$232,Base!$A$3:$A$5001,"&gt;="&amp;$C$7,Base!$A$3:$A$5001,"&lt;="&amp;$B237,Base!$Z$3:$Z$5001,"&lt;&gt;"))))</f>
        <v/>
      </c>
      <c r="E237" t="str">
        <f>IF($A237&gt;$B$9,"",IF(COUNTIFS(Base!$B$3:$B$5001,E$232,Base!$A$3:$A$5001,"&gt;="&amp;$C$7,Base!$A$3:$A$5001,"&lt;="&amp;$B237,Base!$Z$3:$Z$5001,"&lt;&gt;")=0,"",SUMIFS(Base!$Z$3:$Z$5001,Base!$B$3:$B$5001,E$232,Base!$A$3:$A$5001,_xlfn.MAXIFS(Base!$A$3:$A$5001,Base!$B$3:$B$5001,E$232,Base!$A$3:$A$5001,"&gt;="&amp;$C$7,Base!$A$3:$A$5001,"&lt;="&amp;$B237,Base!$Z$3:$Z$5001,"&lt;&gt;"))))</f>
        <v/>
      </c>
      <c r="F237" t="str">
        <f>IF($A237&gt;$B$9,"",IF(COUNTIFS(Base!$B$3:$B$5001,F$232,Base!$A$3:$A$5001,"&gt;="&amp;$C$7,Base!$A$3:$A$5001,"&lt;="&amp;$B237,Base!$Z$3:$Z$5001,"&lt;&gt;")=0,"",SUMIFS(Base!$Z$3:$Z$5001,Base!$B$3:$B$5001,F$232,Base!$A$3:$A$5001,_xlfn.MAXIFS(Base!$A$3:$A$5001,Base!$B$3:$B$5001,F$232,Base!$A$3:$A$5001,"&gt;="&amp;$C$7,Base!$A$3:$A$5001,"&lt;="&amp;$B237,Base!$Z$3:$Z$5001,"&lt;&gt;"))))</f>
        <v/>
      </c>
      <c r="G237" t="str">
        <f>IF($A237&gt;$B$9,"",IF(COUNTIFS(Base!$B$3:$B$5001,G$232,Base!$A$3:$A$5001,"&gt;="&amp;$C$7,Base!$A$3:$A$5001,"&lt;="&amp;$B237,Base!$Z$3:$Z$5001,"&lt;&gt;")=0,"",SUMIFS(Base!$Z$3:$Z$5001,Base!$B$3:$B$5001,G$232,Base!$A$3:$A$5001,_xlfn.MAXIFS(Base!$A$3:$A$5001,Base!$B$3:$B$5001,G$232,Base!$A$3:$A$5001,"&gt;="&amp;$C$7,Base!$A$3:$A$5001,"&lt;="&amp;$B237,Base!$Z$3:$Z$5001,"&lt;&gt;"))))</f>
        <v/>
      </c>
      <c r="H237" t="str">
        <f>IF($A237&gt;$B$9,"",IF(COUNTIFS(Base!$B$3:$B$5001,H$232,Base!$A$3:$A$5001,"&gt;="&amp;$C$7,Base!$A$3:$A$5001,"&lt;="&amp;$B237,Base!$Z$3:$Z$5001,"&lt;&gt;")=0,"",SUMIFS(Base!$Z$3:$Z$5001,Base!$B$3:$B$5001,H$232,Base!$A$3:$A$5001,_xlfn.MAXIFS(Base!$A$3:$A$5001,Base!$B$3:$B$5001,H$232,Base!$A$3:$A$5001,"&gt;="&amp;$C$7,Base!$A$3:$A$5001,"&lt;="&amp;$B237,Base!$Z$3:$Z$5001,"&lt;&gt;"))))</f>
        <v/>
      </c>
      <c r="I237" t="str">
        <f>IF($A237&gt;$B$9,"",IF(COUNTIFS(Base!$B$3:$B$5001,I$232,Base!$A$3:$A$5001,"&gt;="&amp;$C$7,Base!$A$3:$A$5001,"&lt;="&amp;$B237,Base!$Z$3:$Z$5001,"&lt;&gt;")=0,"",SUMIFS(Base!$Z$3:$Z$5001,Base!$B$3:$B$5001,I$232,Base!$A$3:$A$5001,_xlfn.MAXIFS(Base!$A$3:$A$5001,Base!$B$3:$B$5001,I$232,Base!$A$3:$A$5001,"&gt;="&amp;$C$7,Base!$A$3:$A$5001,"&lt;="&amp;$B237,Base!$Z$3:$Z$5001,"&lt;&gt;"))))</f>
        <v/>
      </c>
      <c r="J237" t="str">
        <f>IF($A237&gt;$B$9,"",IF(COUNTIFS(Base!$B$3:$B$5001,J$232,Base!$A$3:$A$5001,"&gt;="&amp;$C$7,Base!$A$3:$A$5001,"&lt;="&amp;$B237,Base!$Z$3:$Z$5001,"&lt;&gt;")=0,"",SUMIFS(Base!$Z$3:$Z$5001,Base!$B$3:$B$5001,J$232,Base!$A$3:$A$5001,_xlfn.MAXIFS(Base!$A$3:$A$5001,Base!$B$3:$B$5001,J$232,Base!$A$3:$A$5001,"&gt;="&amp;$C$7,Base!$A$3:$A$5001,"&lt;="&amp;$B237,Base!$Z$3:$Z$5001,"&lt;&gt;"))))</f>
        <v/>
      </c>
      <c r="K237" t="str">
        <f>IF($A237&gt;$B$9,"",IF(COUNTIFS(Base!$B$3:$B$5001,K$232,Base!$A$3:$A$5001,"&gt;="&amp;$C$7,Base!$A$3:$A$5001,"&lt;="&amp;$B237,Base!$Z$3:$Z$5001,"&lt;&gt;")=0,"",SUMIFS(Base!$Z$3:$Z$5001,Base!$B$3:$B$5001,K$232,Base!$A$3:$A$5001,_xlfn.MAXIFS(Base!$A$3:$A$5001,Base!$B$3:$B$5001,K$232,Base!$A$3:$A$5001,"&gt;="&amp;$C$7,Base!$A$3:$A$5001,"&lt;="&amp;$B237,Base!$Z$3:$Z$5001,"&lt;&gt;"))))</f>
        <v/>
      </c>
    </row>
    <row r="238">
      <c r="A238">
        <v>6</v>
      </c>
      <c r="B238" s="152">
        <f>$B$17</f>
        <v>46271</v>
      </c>
      <c r="C238" t="str">
        <f>IF($A238&gt;$B$9,"",IF(COUNTIFS(Base!$B$3:$B$5001,C$232,Base!$A$3:$A$5001,"&gt;="&amp;$C$7,Base!$A$3:$A$5001,"&lt;="&amp;$B238,Base!$Z$3:$Z$5001,"&lt;&gt;")=0,"",SUMIFS(Base!$Z$3:$Z$5001,Base!$B$3:$B$5001,C$232,Base!$A$3:$A$5001,_xlfn.MAXIFS(Base!$A$3:$A$5001,Base!$B$3:$B$5001,C$232,Base!$A$3:$A$5001,"&gt;="&amp;$C$7,Base!$A$3:$A$5001,"&lt;="&amp;$B238,Base!$Z$3:$Z$5001,"&lt;&gt;"))))</f>
        <v/>
      </c>
      <c r="D238" t="str">
        <f>IF($A238&gt;$B$9,"",IF(COUNTIFS(Base!$B$3:$B$5001,D$232,Base!$A$3:$A$5001,"&gt;="&amp;$C$7,Base!$A$3:$A$5001,"&lt;="&amp;$B238,Base!$Z$3:$Z$5001,"&lt;&gt;")=0,"",SUMIFS(Base!$Z$3:$Z$5001,Base!$B$3:$B$5001,D$232,Base!$A$3:$A$5001,_xlfn.MAXIFS(Base!$A$3:$A$5001,Base!$B$3:$B$5001,D$232,Base!$A$3:$A$5001,"&gt;="&amp;$C$7,Base!$A$3:$A$5001,"&lt;="&amp;$B238,Base!$Z$3:$Z$5001,"&lt;&gt;"))))</f>
        <v/>
      </c>
      <c r="E238" t="str">
        <f>IF($A238&gt;$B$9,"",IF(COUNTIFS(Base!$B$3:$B$5001,E$232,Base!$A$3:$A$5001,"&gt;="&amp;$C$7,Base!$A$3:$A$5001,"&lt;="&amp;$B238,Base!$Z$3:$Z$5001,"&lt;&gt;")=0,"",SUMIFS(Base!$Z$3:$Z$5001,Base!$B$3:$B$5001,E$232,Base!$A$3:$A$5001,_xlfn.MAXIFS(Base!$A$3:$A$5001,Base!$B$3:$B$5001,E$232,Base!$A$3:$A$5001,"&gt;="&amp;$C$7,Base!$A$3:$A$5001,"&lt;="&amp;$B238,Base!$Z$3:$Z$5001,"&lt;&gt;"))))</f>
        <v/>
      </c>
      <c r="F238" t="str">
        <f>IF($A238&gt;$B$9,"",IF(COUNTIFS(Base!$B$3:$B$5001,F$232,Base!$A$3:$A$5001,"&gt;="&amp;$C$7,Base!$A$3:$A$5001,"&lt;="&amp;$B238,Base!$Z$3:$Z$5001,"&lt;&gt;")=0,"",SUMIFS(Base!$Z$3:$Z$5001,Base!$B$3:$B$5001,F$232,Base!$A$3:$A$5001,_xlfn.MAXIFS(Base!$A$3:$A$5001,Base!$B$3:$B$5001,F$232,Base!$A$3:$A$5001,"&gt;="&amp;$C$7,Base!$A$3:$A$5001,"&lt;="&amp;$B238,Base!$Z$3:$Z$5001,"&lt;&gt;"))))</f>
        <v/>
      </c>
      <c r="G238" t="str">
        <f>IF($A238&gt;$B$9,"",IF(COUNTIFS(Base!$B$3:$B$5001,G$232,Base!$A$3:$A$5001,"&gt;="&amp;$C$7,Base!$A$3:$A$5001,"&lt;="&amp;$B238,Base!$Z$3:$Z$5001,"&lt;&gt;")=0,"",SUMIFS(Base!$Z$3:$Z$5001,Base!$B$3:$B$5001,G$232,Base!$A$3:$A$5001,_xlfn.MAXIFS(Base!$A$3:$A$5001,Base!$B$3:$B$5001,G$232,Base!$A$3:$A$5001,"&gt;="&amp;$C$7,Base!$A$3:$A$5001,"&lt;="&amp;$B238,Base!$Z$3:$Z$5001,"&lt;&gt;"))))</f>
        <v/>
      </c>
      <c r="H238" t="str">
        <f>IF($A238&gt;$B$9,"",IF(COUNTIFS(Base!$B$3:$B$5001,H$232,Base!$A$3:$A$5001,"&gt;="&amp;$C$7,Base!$A$3:$A$5001,"&lt;="&amp;$B238,Base!$Z$3:$Z$5001,"&lt;&gt;")=0,"",SUMIFS(Base!$Z$3:$Z$5001,Base!$B$3:$B$5001,H$232,Base!$A$3:$A$5001,_xlfn.MAXIFS(Base!$A$3:$A$5001,Base!$B$3:$B$5001,H$232,Base!$A$3:$A$5001,"&gt;="&amp;$C$7,Base!$A$3:$A$5001,"&lt;="&amp;$B238,Base!$Z$3:$Z$5001,"&lt;&gt;"))))</f>
        <v/>
      </c>
      <c r="I238" t="str">
        <f>IF($A238&gt;$B$9,"",IF(COUNTIFS(Base!$B$3:$B$5001,I$232,Base!$A$3:$A$5001,"&gt;="&amp;$C$7,Base!$A$3:$A$5001,"&lt;="&amp;$B238,Base!$Z$3:$Z$5001,"&lt;&gt;")=0,"",SUMIFS(Base!$Z$3:$Z$5001,Base!$B$3:$B$5001,I$232,Base!$A$3:$A$5001,_xlfn.MAXIFS(Base!$A$3:$A$5001,Base!$B$3:$B$5001,I$232,Base!$A$3:$A$5001,"&gt;="&amp;$C$7,Base!$A$3:$A$5001,"&lt;="&amp;$B238,Base!$Z$3:$Z$5001,"&lt;&gt;"))))</f>
        <v/>
      </c>
      <c r="J238" t="str">
        <f>IF($A238&gt;$B$9,"",IF(COUNTIFS(Base!$B$3:$B$5001,J$232,Base!$A$3:$A$5001,"&gt;="&amp;$C$7,Base!$A$3:$A$5001,"&lt;="&amp;$B238,Base!$Z$3:$Z$5001,"&lt;&gt;")=0,"",SUMIFS(Base!$Z$3:$Z$5001,Base!$B$3:$B$5001,J$232,Base!$A$3:$A$5001,_xlfn.MAXIFS(Base!$A$3:$A$5001,Base!$B$3:$B$5001,J$232,Base!$A$3:$A$5001,"&gt;="&amp;$C$7,Base!$A$3:$A$5001,"&lt;="&amp;$B238,Base!$Z$3:$Z$5001,"&lt;&gt;"))))</f>
        <v/>
      </c>
      <c r="K238" t="str">
        <f>IF($A238&gt;$B$9,"",IF(COUNTIFS(Base!$B$3:$B$5001,K$232,Base!$A$3:$A$5001,"&gt;="&amp;$C$7,Base!$A$3:$A$5001,"&lt;="&amp;$B238,Base!$Z$3:$Z$5001,"&lt;&gt;")=0,"",SUMIFS(Base!$Z$3:$Z$5001,Base!$B$3:$B$5001,K$232,Base!$A$3:$A$5001,_xlfn.MAXIFS(Base!$A$3:$A$5001,Base!$B$3:$B$5001,K$232,Base!$A$3:$A$5001,"&gt;="&amp;$C$7,Base!$A$3:$A$5001,"&lt;="&amp;$B238,Base!$Z$3:$Z$5001,"&lt;&gt;"))))</f>
        <v/>
      </c>
    </row>
    <row r="239">
      <c r="A239">
        <v>7</v>
      </c>
      <c r="B239" s="152">
        <f>$B$18</f>
        <v>46272</v>
      </c>
      <c r="C239" t="str">
        <f>IF($A239&gt;$B$9,"",IF(COUNTIFS(Base!$B$3:$B$5001,C$232,Base!$A$3:$A$5001,"&gt;="&amp;$C$7,Base!$A$3:$A$5001,"&lt;="&amp;$B239,Base!$Z$3:$Z$5001,"&lt;&gt;")=0,"",SUMIFS(Base!$Z$3:$Z$5001,Base!$B$3:$B$5001,C$232,Base!$A$3:$A$5001,_xlfn.MAXIFS(Base!$A$3:$A$5001,Base!$B$3:$B$5001,C$232,Base!$A$3:$A$5001,"&gt;="&amp;$C$7,Base!$A$3:$A$5001,"&lt;="&amp;$B239,Base!$Z$3:$Z$5001,"&lt;&gt;"))))</f>
        <v/>
      </c>
      <c r="D239" t="str">
        <f>IF($A239&gt;$B$9,"",IF(COUNTIFS(Base!$B$3:$B$5001,D$232,Base!$A$3:$A$5001,"&gt;="&amp;$C$7,Base!$A$3:$A$5001,"&lt;="&amp;$B239,Base!$Z$3:$Z$5001,"&lt;&gt;")=0,"",SUMIFS(Base!$Z$3:$Z$5001,Base!$B$3:$B$5001,D$232,Base!$A$3:$A$5001,_xlfn.MAXIFS(Base!$A$3:$A$5001,Base!$B$3:$B$5001,D$232,Base!$A$3:$A$5001,"&gt;="&amp;$C$7,Base!$A$3:$A$5001,"&lt;="&amp;$B239,Base!$Z$3:$Z$5001,"&lt;&gt;"))))</f>
        <v/>
      </c>
      <c r="E239" t="str">
        <f>IF($A239&gt;$B$9,"",IF(COUNTIFS(Base!$B$3:$B$5001,E$232,Base!$A$3:$A$5001,"&gt;="&amp;$C$7,Base!$A$3:$A$5001,"&lt;="&amp;$B239,Base!$Z$3:$Z$5001,"&lt;&gt;")=0,"",SUMIFS(Base!$Z$3:$Z$5001,Base!$B$3:$B$5001,E$232,Base!$A$3:$A$5001,_xlfn.MAXIFS(Base!$A$3:$A$5001,Base!$B$3:$B$5001,E$232,Base!$A$3:$A$5001,"&gt;="&amp;$C$7,Base!$A$3:$A$5001,"&lt;="&amp;$B239,Base!$Z$3:$Z$5001,"&lt;&gt;"))))</f>
        <v/>
      </c>
      <c r="F239" t="str">
        <f>IF($A239&gt;$B$9,"",IF(COUNTIFS(Base!$B$3:$B$5001,F$232,Base!$A$3:$A$5001,"&gt;="&amp;$C$7,Base!$A$3:$A$5001,"&lt;="&amp;$B239,Base!$Z$3:$Z$5001,"&lt;&gt;")=0,"",SUMIFS(Base!$Z$3:$Z$5001,Base!$B$3:$B$5001,F$232,Base!$A$3:$A$5001,_xlfn.MAXIFS(Base!$A$3:$A$5001,Base!$B$3:$B$5001,F$232,Base!$A$3:$A$5001,"&gt;="&amp;$C$7,Base!$A$3:$A$5001,"&lt;="&amp;$B239,Base!$Z$3:$Z$5001,"&lt;&gt;"))))</f>
        <v/>
      </c>
      <c r="G239" t="str">
        <f>IF($A239&gt;$B$9,"",IF(COUNTIFS(Base!$B$3:$B$5001,G$232,Base!$A$3:$A$5001,"&gt;="&amp;$C$7,Base!$A$3:$A$5001,"&lt;="&amp;$B239,Base!$Z$3:$Z$5001,"&lt;&gt;")=0,"",SUMIFS(Base!$Z$3:$Z$5001,Base!$B$3:$B$5001,G$232,Base!$A$3:$A$5001,_xlfn.MAXIFS(Base!$A$3:$A$5001,Base!$B$3:$B$5001,G$232,Base!$A$3:$A$5001,"&gt;="&amp;$C$7,Base!$A$3:$A$5001,"&lt;="&amp;$B239,Base!$Z$3:$Z$5001,"&lt;&gt;"))))</f>
        <v/>
      </c>
      <c r="H239" t="str">
        <f>IF($A239&gt;$B$9,"",IF(COUNTIFS(Base!$B$3:$B$5001,H$232,Base!$A$3:$A$5001,"&gt;="&amp;$C$7,Base!$A$3:$A$5001,"&lt;="&amp;$B239,Base!$Z$3:$Z$5001,"&lt;&gt;")=0,"",SUMIFS(Base!$Z$3:$Z$5001,Base!$B$3:$B$5001,H$232,Base!$A$3:$A$5001,_xlfn.MAXIFS(Base!$A$3:$A$5001,Base!$B$3:$B$5001,H$232,Base!$A$3:$A$5001,"&gt;="&amp;$C$7,Base!$A$3:$A$5001,"&lt;="&amp;$B239,Base!$Z$3:$Z$5001,"&lt;&gt;"))))</f>
        <v/>
      </c>
      <c r="I239" t="str">
        <f>IF($A239&gt;$B$9,"",IF(COUNTIFS(Base!$B$3:$B$5001,I$232,Base!$A$3:$A$5001,"&gt;="&amp;$C$7,Base!$A$3:$A$5001,"&lt;="&amp;$B239,Base!$Z$3:$Z$5001,"&lt;&gt;")=0,"",SUMIFS(Base!$Z$3:$Z$5001,Base!$B$3:$B$5001,I$232,Base!$A$3:$A$5001,_xlfn.MAXIFS(Base!$A$3:$A$5001,Base!$B$3:$B$5001,I$232,Base!$A$3:$A$5001,"&gt;="&amp;$C$7,Base!$A$3:$A$5001,"&lt;="&amp;$B239,Base!$Z$3:$Z$5001,"&lt;&gt;"))))</f>
        <v/>
      </c>
      <c r="J239" t="str">
        <f>IF($A239&gt;$B$9,"",IF(COUNTIFS(Base!$B$3:$B$5001,J$232,Base!$A$3:$A$5001,"&gt;="&amp;$C$7,Base!$A$3:$A$5001,"&lt;="&amp;$B239,Base!$Z$3:$Z$5001,"&lt;&gt;")=0,"",SUMIFS(Base!$Z$3:$Z$5001,Base!$B$3:$B$5001,J$232,Base!$A$3:$A$5001,_xlfn.MAXIFS(Base!$A$3:$A$5001,Base!$B$3:$B$5001,J$232,Base!$A$3:$A$5001,"&gt;="&amp;$C$7,Base!$A$3:$A$5001,"&lt;="&amp;$B239,Base!$Z$3:$Z$5001,"&lt;&gt;"))))</f>
        <v/>
      </c>
      <c r="K239" t="str">
        <f>IF($A239&gt;$B$9,"",IF(COUNTIFS(Base!$B$3:$B$5001,K$232,Base!$A$3:$A$5001,"&gt;="&amp;$C$7,Base!$A$3:$A$5001,"&lt;="&amp;$B239,Base!$Z$3:$Z$5001,"&lt;&gt;")=0,"",SUMIFS(Base!$Z$3:$Z$5001,Base!$B$3:$B$5001,K$232,Base!$A$3:$A$5001,_xlfn.MAXIFS(Base!$A$3:$A$5001,Base!$B$3:$B$5001,K$232,Base!$A$3:$A$5001,"&gt;="&amp;$C$7,Base!$A$3:$A$5001,"&lt;="&amp;$B239,Base!$Z$3:$Z$5001,"&lt;&gt;"))))</f>
        <v/>
      </c>
    </row>
    <row r="240">
      <c r="A240">
        <v>8</v>
      </c>
      <c r="B240" s="152">
        <f>$B$19</f>
        <v>46273</v>
      </c>
      <c r="C240" t="str">
        <f>IF($A240&gt;$B$9,"",IF(COUNTIFS(Base!$B$3:$B$5001,C$232,Base!$A$3:$A$5001,"&gt;="&amp;$C$7,Base!$A$3:$A$5001,"&lt;="&amp;$B240,Base!$Z$3:$Z$5001,"&lt;&gt;")=0,"",SUMIFS(Base!$Z$3:$Z$5001,Base!$B$3:$B$5001,C$232,Base!$A$3:$A$5001,_xlfn.MAXIFS(Base!$A$3:$A$5001,Base!$B$3:$B$5001,C$232,Base!$A$3:$A$5001,"&gt;="&amp;$C$7,Base!$A$3:$A$5001,"&lt;="&amp;$B240,Base!$Z$3:$Z$5001,"&lt;&gt;"))))</f>
        <v/>
      </c>
      <c r="D240" t="str">
        <f>IF($A240&gt;$B$9,"",IF(COUNTIFS(Base!$B$3:$B$5001,D$232,Base!$A$3:$A$5001,"&gt;="&amp;$C$7,Base!$A$3:$A$5001,"&lt;="&amp;$B240,Base!$Z$3:$Z$5001,"&lt;&gt;")=0,"",SUMIFS(Base!$Z$3:$Z$5001,Base!$B$3:$B$5001,D$232,Base!$A$3:$A$5001,_xlfn.MAXIFS(Base!$A$3:$A$5001,Base!$B$3:$B$5001,D$232,Base!$A$3:$A$5001,"&gt;="&amp;$C$7,Base!$A$3:$A$5001,"&lt;="&amp;$B240,Base!$Z$3:$Z$5001,"&lt;&gt;"))))</f>
        <v/>
      </c>
      <c r="E240" t="str">
        <f>IF($A240&gt;$B$9,"",IF(COUNTIFS(Base!$B$3:$B$5001,E$232,Base!$A$3:$A$5001,"&gt;="&amp;$C$7,Base!$A$3:$A$5001,"&lt;="&amp;$B240,Base!$Z$3:$Z$5001,"&lt;&gt;")=0,"",SUMIFS(Base!$Z$3:$Z$5001,Base!$B$3:$B$5001,E$232,Base!$A$3:$A$5001,_xlfn.MAXIFS(Base!$A$3:$A$5001,Base!$B$3:$B$5001,E$232,Base!$A$3:$A$5001,"&gt;="&amp;$C$7,Base!$A$3:$A$5001,"&lt;="&amp;$B240,Base!$Z$3:$Z$5001,"&lt;&gt;"))))</f>
        <v/>
      </c>
      <c r="F240" t="str">
        <f>IF($A240&gt;$B$9,"",IF(COUNTIFS(Base!$B$3:$B$5001,F$232,Base!$A$3:$A$5001,"&gt;="&amp;$C$7,Base!$A$3:$A$5001,"&lt;="&amp;$B240,Base!$Z$3:$Z$5001,"&lt;&gt;")=0,"",SUMIFS(Base!$Z$3:$Z$5001,Base!$B$3:$B$5001,F$232,Base!$A$3:$A$5001,_xlfn.MAXIFS(Base!$A$3:$A$5001,Base!$B$3:$B$5001,F$232,Base!$A$3:$A$5001,"&gt;="&amp;$C$7,Base!$A$3:$A$5001,"&lt;="&amp;$B240,Base!$Z$3:$Z$5001,"&lt;&gt;"))))</f>
        <v/>
      </c>
      <c r="G240" t="str">
        <f>IF($A240&gt;$B$9,"",IF(COUNTIFS(Base!$B$3:$B$5001,G$232,Base!$A$3:$A$5001,"&gt;="&amp;$C$7,Base!$A$3:$A$5001,"&lt;="&amp;$B240,Base!$Z$3:$Z$5001,"&lt;&gt;")=0,"",SUMIFS(Base!$Z$3:$Z$5001,Base!$B$3:$B$5001,G$232,Base!$A$3:$A$5001,_xlfn.MAXIFS(Base!$A$3:$A$5001,Base!$B$3:$B$5001,G$232,Base!$A$3:$A$5001,"&gt;="&amp;$C$7,Base!$A$3:$A$5001,"&lt;="&amp;$B240,Base!$Z$3:$Z$5001,"&lt;&gt;"))))</f>
        <v/>
      </c>
      <c r="H240" t="str">
        <f>IF($A240&gt;$B$9,"",IF(COUNTIFS(Base!$B$3:$B$5001,H$232,Base!$A$3:$A$5001,"&gt;="&amp;$C$7,Base!$A$3:$A$5001,"&lt;="&amp;$B240,Base!$Z$3:$Z$5001,"&lt;&gt;")=0,"",SUMIFS(Base!$Z$3:$Z$5001,Base!$B$3:$B$5001,H$232,Base!$A$3:$A$5001,_xlfn.MAXIFS(Base!$A$3:$A$5001,Base!$B$3:$B$5001,H$232,Base!$A$3:$A$5001,"&gt;="&amp;$C$7,Base!$A$3:$A$5001,"&lt;="&amp;$B240,Base!$Z$3:$Z$5001,"&lt;&gt;"))))</f>
        <v/>
      </c>
      <c r="I240" t="str">
        <f>IF($A240&gt;$B$9,"",IF(COUNTIFS(Base!$B$3:$B$5001,I$232,Base!$A$3:$A$5001,"&gt;="&amp;$C$7,Base!$A$3:$A$5001,"&lt;="&amp;$B240,Base!$Z$3:$Z$5001,"&lt;&gt;")=0,"",SUMIFS(Base!$Z$3:$Z$5001,Base!$B$3:$B$5001,I$232,Base!$A$3:$A$5001,_xlfn.MAXIFS(Base!$A$3:$A$5001,Base!$B$3:$B$5001,I$232,Base!$A$3:$A$5001,"&gt;="&amp;$C$7,Base!$A$3:$A$5001,"&lt;="&amp;$B240,Base!$Z$3:$Z$5001,"&lt;&gt;"))))</f>
        <v/>
      </c>
      <c r="J240" t="str">
        <f>IF($A240&gt;$B$9,"",IF(COUNTIFS(Base!$B$3:$B$5001,J$232,Base!$A$3:$A$5001,"&gt;="&amp;$C$7,Base!$A$3:$A$5001,"&lt;="&amp;$B240,Base!$Z$3:$Z$5001,"&lt;&gt;")=0,"",SUMIFS(Base!$Z$3:$Z$5001,Base!$B$3:$B$5001,J$232,Base!$A$3:$A$5001,_xlfn.MAXIFS(Base!$A$3:$A$5001,Base!$B$3:$B$5001,J$232,Base!$A$3:$A$5001,"&gt;="&amp;$C$7,Base!$A$3:$A$5001,"&lt;="&amp;$B240,Base!$Z$3:$Z$5001,"&lt;&gt;"))))</f>
        <v/>
      </c>
      <c r="K240" t="str">
        <f>IF($A240&gt;$B$9,"",IF(COUNTIFS(Base!$B$3:$B$5001,K$232,Base!$A$3:$A$5001,"&gt;="&amp;$C$7,Base!$A$3:$A$5001,"&lt;="&amp;$B240,Base!$Z$3:$Z$5001,"&lt;&gt;")=0,"",SUMIFS(Base!$Z$3:$Z$5001,Base!$B$3:$B$5001,K$232,Base!$A$3:$A$5001,_xlfn.MAXIFS(Base!$A$3:$A$5001,Base!$B$3:$B$5001,K$232,Base!$A$3:$A$5001,"&gt;="&amp;$C$7,Base!$A$3:$A$5001,"&lt;="&amp;$B240,Base!$Z$3:$Z$5001,"&lt;&gt;"))))</f>
        <v/>
      </c>
    </row>
    <row r="241">
      <c r="A241">
        <v>9</v>
      </c>
      <c r="B241" s="152">
        <f>$B$20</f>
        <v>46274</v>
      </c>
      <c r="C241" t="str">
        <f>IF($A241&gt;$B$9,"",IF(COUNTIFS(Base!$B$3:$B$5001,C$232,Base!$A$3:$A$5001,"&gt;="&amp;$C$7,Base!$A$3:$A$5001,"&lt;="&amp;$B241,Base!$Z$3:$Z$5001,"&lt;&gt;")=0,"",SUMIFS(Base!$Z$3:$Z$5001,Base!$B$3:$B$5001,C$232,Base!$A$3:$A$5001,_xlfn.MAXIFS(Base!$A$3:$A$5001,Base!$B$3:$B$5001,C$232,Base!$A$3:$A$5001,"&gt;="&amp;$C$7,Base!$A$3:$A$5001,"&lt;="&amp;$B241,Base!$Z$3:$Z$5001,"&lt;&gt;"))))</f>
        <v/>
      </c>
      <c r="D241" t="str">
        <f>IF($A241&gt;$B$9,"",IF(COUNTIFS(Base!$B$3:$B$5001,D$232,Base!$A$3:$A$5001,"&gt;="&amp;$C$7,Base!$A$3:$A$5001,"&lt;="&amp;$B241,Base!$Z$3:$Z$5001,"&lt;&gt;")=0,"",SUMIFS(Base!$Z$3:$Z$5001,Base!$B$3:$B$5001,D$232,Base!$A$3:$A$5001,_xlfn.MAXIFS(Base!$A$3:$A$5001,Base!$B$3:$B$5001,D$232,Base!$A$3:$A$5001,"&gt;="&amp;$C$7,Base!$A$3:$A$5001,"&lt;="&amp;$B241,Base!$Z$3:$Z$5001,"&lt;&gt;"))))</f>
        <v/>
      </c>
      <c r="E241" t="str">
        <f>IF($A241&gt;$B$9,"",IF(COUNTIFS(Base!$B$3:$B$5001,E$232,Base!$A$3:$A$5001,"&gt;="&amp;$C$7,Base!$A$3:$A$5001,"&lt;="&amp;$B241,Base!$Z$3:$Z$5001,"&lt;&gt;")=0,"",SUMIFS(Base!$Z$3:$Z$5001,Base!$B$3:$B$5001,E$232,Base!$A$3:$A$5001,_xlfn.MAXIFS(Base!$A$3:$A$5001,Base!$B$3:$B$5001,E$232,Base!$A$3:$A$5001,"&gt;="&amp;$C$7,Base!$A$3:$A$5001,"&lt;="&amp;$B241,Base!$Z$3:$Z$5001,"&lt;&gt;"))))</f>
        <v/>
      </c>
      <c r="F241" t="str">
        <f>IF($A241&gt;$B$9,"",IF(COUNTIFS(Base!$B$3:$B$5001,F$232,Base!$A$3:$A$5001,"&gt;="&amp;$C$7,Base!$A$3:$A$5001,"&lt;="&amp;$B241,Base!$Z$3:$Z$5001,"&lt;&gt;")=0,"",SUMIFS(Base!$Z$3:$Z$5001,Base!$B$3:$B$5001,F$232,Base!$A$3:$A$5001,_xlfn.MAXIFS(Base!$A$3:$A$5001,Base!$B$3:$B$5001,F$232,Base!$A$3:$A$5001,"&gt;="&amp;$C$7,Base!$A$3:$A$5001,"&lt;="&amp;$B241,Base!$Z$3:$Z$5001,"&lt;&gt;"))))</f>
        <v/>
      </c>
      <c r="G241" t="str">
        <f>IF($A241&gt;$B$9,"",IF(COUNTIFS(Base!$B$3:$B$5001,G$232,Base!$A$3:$A$5001,"&gt;="&amp;$C$7,Base!$A$3:$A$5001,"&lt;="&amp;$B241,Base!$Z$3:$Z$5001,"&lt;&gt;")=0,"",SUMIFS(Base!$Z$3:$Z$5001,Base!$B$3:$B$5001,G$232,Base!$A$3:$A$5001,_xlfn.MAXIFS(Base!$A$3:$A$5001,Base!$B$3:$B$5001,G$232,Base!$A$3:$A$5001,"&gt;="&amp;$C$7,Base!$A$3:$A$5001,"&lt;="&amp;$B241,Base!$Z$3:$Z$5001,"&lt;&gt;"))))</f>
        <v/>
      </c>
      <c r="H241" t="str">
        <f>IF($A241&gt;$B$9,"",IF(COUNTIFS(Base!$B$3:$B$5001,H$232,Base!$A$3:$A$5001,"&gt;="&amp;$C$7,Base!$A$3:$A$5001,"&lt;="&amp;$B241,Base!$Z$3:$Z$5001,"&lt;&gt;")=0,"",SUMIFS(Base!$Z$3:$Z$5001,Base!$B$3:$B$5001,H$232,Base!$A$3:$A$5001,_xlfn.MAXIFS(Base!$A$3:$A$5001,Base!$B$3:$B$5001,H$232,Base!$A$3:$A$5001,"&gt;="&amp;$C$7,Base!$A$3:$A$5001,"&lt;="&amp;$B241,Base!$Z$3:$Z$5001,"&lt;&gt;"))))</f>
        <v/>
      </c>
      <c r="I241" t="str">
        <f>IF($A241&gt;$B$9,"",IF(COUNTIFS(Base!$B$3:$B$5001,I$232,Base!$A$3:$A$5001,"&gt;="&amp;$C$7,Base!$A$3:$A$5001,"&lt;="&amp;$B241,Base!$Z$3:$Z$5001,"&lt;&gt;")=0,"",SUMIFS(Base!$Z$3:$Z$5001,Base!$B$3:$B$5001,I$232,Base!$A$3:$A$5001,_xlfn.MAXIFS(Base!$A$3:$A$5001,Base!$B$3:$B$5001,I$232,Base!$A$3:$A$5001,"&gt;="&amp;$C$7,Base!$A$3:$A$5001,"&lt;="&amp;$B241,Base!$Z$3:$Z$5001,"&lt;&gt;"))))</f>
        <v/>
      </c>
      <c r="J241" t="str">
        <f>IF($A241&gt;$B$9,"",IF(COUNTIFS(Base!$B$3:$B$5001,J$232,Base!$A$3:$A$5001,"&gt;="&amp;$C$7,Base!$A$3:$A$5001,"&lt;="&amp;$B241,Base!$Z$3:$Z$5001,"&lt;&gt;")=0,"",SUMIFS(Base!$Z$3:$Z$5001,Base!$B$3:$B$5001,J$232,Base!$A$3:$A$5001,_xlfn.MAXIFS(Base!$A$3:$A$5001,Base!$B$3:$B$5001,J$232,Base!$A$3:$A$5001,"&gt;="&amp;$C$7,Base!$A$3:$A$5001,"&lt;="&amp;$B241,Base!$Z$3:$Z$5001,"&lt;&gt;"))))</f>
        <v/>
      </c>
      <c r="K241" t="str">
        <f>IF($A241&gt;$B$9,"",IF(COUNTIFS(Base!$B$3:$B$5001,K$232,Base!$A$3:$A$5001,"&gt;="&amp;$C$7,Base!$A$3:$A$5001,"&lt;="&amp;$B241,Base!$Z$3:$Z$5001,"&lt;&gt;")=0,"",SUMIFS(Base!$Z$3:$Z$5001,Base!$B$3:$B$5001,K$232,Base!$A$3:$A$5001,_xlfn.MAXIFS(Base!$A$3:$A$5001,Base!$B$3:$B$5001,K$232,Base!$A$3:$A$5001,"&gt;="&amp;$C$7,Base!$A$3:$A$5001,"&lt;="&amp;$B241,Base!$Z$3:$Z$5001,"&lt;&gt;"))))</f>
        <v/>
      </c>
    </row>
    <row r="242">
      <c r="A242">
        <v>10</v>
      </c>
      <c r="B242" s="152">
        <f>$B$21</f>
        <v>46275</v>
      </c>
      <c r="C242" t="str">
        <f>IF($A242&gt;$B$9,"",IF(COUNTIFS(Base!$B$3:$B$5001,C$232,Base!$A$3:$A$5001,"&gt;="&amp;$C$7,Base!$A$3:$A$5001,"&lt;="&amp;$B242,Base!$Z$3:$Z$5001,"&lt;&gt;")=0,"",SUMIFS(Base!$Z$3:$Z$5001,Base!$B$3:$B$5001,C$232,Base!$A$3:$A$5001,_xlfn.MAXIFS(Base!$A$3:$A$5001,Base!$B$3:$B$5001,C$232,Base!$A$3:$A$5001,"&gt;="&amp;$C$7,Base!$A$3:$A$5001,"&lt;="&amp;$B242,Base!$Z$3:$Z$5001,"&lt;&gt;"))))</f>
        <v/>
      </c>
      <c r="D242" t="str">
        <f>IF($A242&gt;$B$9,"",IF(COUNTIFS(Base!$B$3:$B$5001,D$232,Base!$A$3:$A$5001,"&gt;="&amp;$C$7,Base!$A$3:$A$5001,"&lt;="&amp;$B242,Base!$Z$3:$Z$5001,"&lt;&gt;")=0,"",SUMIFS(Base!$Z$3:$Z$5001,Base!$B$3:$B$5001,D$232,Base!$A$3:$A$5001,_xlfn.MAXIFS(Base!$A$3:$A$5001,Base!$B$3:$B$5001,D$232,Base!$A$3:$A$5001,"&gt;="&amp;$C$7,Base!$A$3:$A$5001,"&lt;="&amp;$B242,Base!$Z$3:$Z$5001,"&lt;&gt;"))))</f>
        <v/>
      </c>
      <c r="E242" t="str">
        <f>IF($A242&gt;$B$9,"",IF(COUNTIFS(Base!$B$3:$B$5001,E$232,Base!$A$3:$A$5001,"&gt;="&amp;$C$7,Base!$A$3:$A$5001,"&lt;="&amp;$B242,Base!$Z$3:$Z$5001,"&lt;&gt;")=0,"",SUMIFS(Base!$Z$3:$Z$5001,Base!$B$3:$B$5001,E$232,Base!$A$3:$A$5001,_xlfn.MAXIFS(Base!$A$3:$A$5001,Base!$B$3:$B$5001,E$232,Base!$A$3:$A$5001,"&gt;="&amp;$C$7,Base!$A$3:$A$5001,"&lt;="&amp;$B242,Base!$Z$3:$Z$5001,"&lt;&gt;"))))</f>
        <v/>
      </c>
      <c r="F242" t="str">
        <f>IF($A242&gt;$B$9,"",IF(COUNTIFS(Base!$B$3:$B$5001,F$232,Base!$A$3:$A$5001,"&gt;="&amp;$C$7,Base!$A$3:$A$5001,"&lt;="&amp;$B242,Base!$Z$3:$Z$5001,"&lt;&gt;")=0,"",SUMIFS(Base!$Z$3:$Z$5001,Base!$B$3:$B$5001,F$232,Base!$A$3:$A$5001,_xlfn.MAXIFS(Base!$A$3:$A$5001,Base!$B$3:$B$5001,F$232,Base!$A$3:$A$5001,"&gt;="&amp;$C$7,Base!$A$3:$A$5001,"&lt;="&amp;$B242,Base!$Z$3:$Z$5001,"&lt;&gt;"))))</f>
        <v/>
      </c>
      <c r="G242" t="str">
        <f>IF($A242&gt;$B$9,"",IF(COUNTIFS(Base!$B$3:$B$5001,G$232,Base!$A$3:$A$5001,"&gt;="&amp;$C$7,Base!$A$3:$A$5001,"&lt;="&amp;$B242,Base!$Z$3:$Z$5001,"&lt;&gt;")=0,"",SUMIFS(Base!$Z$3:$Z$5001,Base!$B$3:$B$5001,G$232,Base!$A$3:$A$5001,_xlfn.MAXIFS(Base!$A$3:$A$5001,Base!$B$3:$B$5001,G$232,Base!$A$3:$A$5001,"&gt;="&amp;$C$7,Base!$A$3:$A$5001,"&lt;="&amp;$B242,Base!$Z$3:$Z$5001,"&lt;&gt;"))))</f>
        <v/>
      </c>
      <c r="H242" t="str">
        <f>IF($A242&gt;$B$9,"",IF(COUNTIFS(Base!$B$3:$B$5001,H$232,Base!$A$3:$A$5001,"&gt;="&amp;$C$7,Base!$A$3:$A$5001,"&lt;="&amp;$B242,Base!$Z$3:$Z$5001,"&lt;&gt;")=0,"",SUMIFS(Base!$Z$3:$Z$5001,Base!$B$3:$B$5001,H$232,Base!$A$3:$A$5001,_xlfn.MAXIFS(Base!$A$3:$A$5001,Base!$B$3:$B$5001,H$232,Base!$A$3:$A$5001,"&gt;="&amp;$C$7,Base!$A$3:$A$5001,"&lt;="&amp;$B242,Base!$Z$3:$Z$5001,"&lt;&gt;"))))</f>
        <v/>
      </c>
      <c r="I242" t="str">
        <f>IF($A242&gt;$B$9,"",IF(COUNTIFS(Base!$B$3:$B$5001,I$232,Base!$A$3:$A$5001,"&gt;="&amp;$C$7,Base!$A$3:$A$5001,"&lt;="&amp;$B242,Base!$Z$3:$Z$5001,"&lt;&gt;")=0,"",SUMIFS(Base!$Z$3:$Z$5001,Base!$B$3:$B$5001,I$232,Base!$A$3:$A$5001,_xlfn.MAXIFS(Base!$A$3:$A$5001,Base!$B$3:$B$5001,I$232,Base!$A$3:$A$5001,"&gt;="&amp;$C$7,Base!$A$3:$A$5001,"&lt;="&amp;$B242,Base!$Z$3:$Z$5001,"&lt;&gt;"))))</f>
        <v/>
      </c>
      <c r="J242" t="str">
        <f>IF($A242&gt;$B$9,"",IF(COUNTIFS(Base!$B$3:$B$5001,J$232,Base!$A$3:$A$5001,"&gt;="&amp;$C$7,Base!$A$3:$A$5001,"&lt;="&amp;$B242,Base!$Z$3:$Z$5001,"&lt;&gt;")=0,"",SUMIFS(Base!$Z$3:$Z$5001,Base!$B$3:$B$5001,J$232,Base!$A$3:$A$5001,_xlfn.MAXIFS(Base!$A$3:$A$5001,Base!$B$3:$B$5001,J$232,Base!$A$3:$A$5001,"&gt;="&amp;$C$7,Base!$A$3:$A$5001,"&lt;="&amp;$B242,Base!$Z$3:$Z$5001,"&lt;&gt;"))))</f>
        <v/>
      </c>
      <c r="K242" t="str">
        <f>IF($A242&gt;$B$9,"",IF(COUNTIFS(Base!$B$3:$B$5001,K$232,Base!$A$3:$A$5001,"&gt;="&amp;$C$7,Base!$A$3:$A$5001,"&lt;="&amp;$B242,Base!$Z$3:$Z$5001,"&lt;&gt;")=0,"",SUMIFS(Base!$Z$3:$Z$5001,Base!$B$3:$B$5001,K$232,Base!$A$3:$A$5001,_xlfn.MAXIFS(Base!$A$3:$A$5001,Base!$B$3:$B$5001,K$232,Base!$A$3:$A$5001,"&gt;="&amp;$C$7,Base!$A$3:$A$5001,"&lt;="&amp;$B242,Base!$Z$3:$Z$5001,"&lt;&gt;"))))</f>
        <v/>
      </c>
    </row>
    <row r="243">
      <c r="A243">
        <v>11</v>
      </c>
      <c r="B243" s="152">
        <f>$B$22</f>
        <v>46276</v>
      </c>
      <c r="C243" t="str">
        <f>IF($A243&gt;$B$9,"",IF(COUNTIFS(Base!$B$3:$B$5001,C$232,Base!$A$3:$A$5001,"&gt;="&amp;$C$7,Base!$A$3:$A$5001,"&lt;="&amp;$B243,Base!$Z$3:$Z$5001,"&lt;&gt;")=0,"",SUMIFS(Base!$Z$3:$Z$5001,Base!$B$3:$B$5001,C$232,Base!$A$3:$A$5001,_xlfn.MAXIFS(Base!$A$3:$A$5001,Base!$B$3:$B$5001,C$232,Base!$A$3:$A$5001,"&gt;="&amp;$C$7,Base!$A$3:$A$5001,"&lt;="&amp;$B243,Base!$Z$3:$Z$5001,"&lt;&gt;"))))</f>
        <v/>
      </c>
      <c r="D243" t="str">
        <f>IF($A243&gt;$B$9,"",IF(COUNTIFS(Base!$B$3:$B$5001,D$232,Base!$A$3:$A$5001,"&gt;="&amp;$C$7,Base!$A$3:$A$5001,"&lt;="&amp;$B243,Base!$Z$3:$Z$5001,"&lt;&gt;")=0,"",SUMIFS(Base!$Z$3:$Z$5001,Base!$B$3:$B$5001,D$232,Base!$A$3:$A$5001,_xlfn.MAXIFS(Base!$A$3:$A$5001,Base!$B$3:$B$5001,D$232,Base!$A$3:$A$5001,"&gt;="&amp;$C$7,Base!$A$3:$A$5001,"&lt;="&amp;$B243,Base!$Z$3:$Z$5001,"&lt;&gt;"))))</f>
        <v/>
      </c>
      <c r="E243" t="str">
        <f>IF($A243&gt;$B$9,"",IF(COUNTIFS(Base!$B$3:$B$5001,E$232,Base!$A$3:$A$5001,"&gt;="&amp;$C$7,Base!$A$3:$A$5001,"&lt;="&amp;$B243,Base!$Z$3:$Z$5001,"&lt;&gt;")=0,"",SUMIFS(Base!$Z$3:$Z$5001,Base!$B$3:$B$5001,E$232,Base!$A$3:$A$5001,_xlfn.MAXIFS(Base!$A$3:$A$5001,Base!$B$3:$B$5001,E$232,Base!$A$3:$A$5001,"&gt;="&amp;$C$7,Base!$A$3:$A$5001,"&lt;="&amp;$B243,Base!$Z$3:$Z$5001,"&lt;&gt;"))))</f>
        <v/>
      </c>
      <c r="F243" t="str">
        <f>IF($A243&gt;$B$9,"",IF(COUNTIFS(Base!$B$3:$B$5001,F$232,Base!$A$3:$A$5001,"&gt;="&amp;$C$7,Base!$A$3:$A$5001,"&lt;="&amp;$B243,Base!$Z$3:$Z$5001,"&lt;&gt;")=0,"",SUMIFS(Base!$Z$3:$Z$5001,Base!$B$3:$B$5001,F$232,Base!$A$3:$A$5001,_xlfn.MAXIFS(Base!$A$3:$A$5001,Base!$B$3:$B$5001,F$232,Base!$A$3:$A$5001,"&gt;="&amp;$C$7,Base!$A$3:$A$5001,"&lt;="&amp;$B243,Base!$Z$3:$Z$5001,"&lt;&gt;"))))</f>
        <v/>
      </c>
      <c r="G243" t="str">
        <f>IF($A243&gt;$B$9,"",IF(COUNTIFS(Base!$B$3:$B$5001,G$232,Base!$A$3:$A$5001,"&gt;="&amp;$C$7,Base!$A$3:$A$5001,"&lt;="&amp;$B243,Base!$Z$3:$Z$5001,"&lt;&gt;")=0,"",SUMIFS(Base!$Z$3:$Z$5001,Base!$B$3:$B$5001,G$232,Base!$A$3:$A$5001,_xlfn.MAXIFS(Base!$A$3:$A$5001,Base!$B$3:$B$5001,G$232,Base!$A$3:$A$5001,"&gt;="&amp;$C$7,Base!$A$3:$A$5001,"&lt;="&amp;$B243,Base!$Z$3:$Z$5001,"&lt;&gt;"))))</f>
        <v/>
      </c>
      <c r="H243" t="str">
        <f>IF($A243&gt;$B$9,"",IF(COUNTIFS(Base!$B$3:$B$5001,H$232,Base!$A$3:$A$5001,"&gt;="&amp;$C$7,Base!$A$3:$A$5001,"&lt;="&amp;$B243,Base!$Z$3:$Z$5001,"&lt;&gt;")=0,"",SUMIFS(Base!$Z$3:$Z$5001,Base!$B$3:$B$5001,H$232,Base!$A$3:$A$5001,_xlfn.MAXIFS(Base!$A$3:$A$5001,Base!$B$3:$B$5001,H$232,Base!$A$3:$A$5001,"&gt;="&amp;$C$7,Base!$A$3:$A$5001,"&lt;="&amp;$B243,Base!$Z$3:$Z$5001,"&lt;&gt;"))))</f>
        <v/>
      </c>
      <c r="I243" t="str">
        <f>IF($A243&gt;$B$9,"",IF(COUNTIFS(Base!$B$3:$B$5001,I$232,Base!$A$3:$A$5001,"&gt;="&amp;$C$7,Base!$A$3:$A$5001,"&lt;="&amp;$B243,Base!$Z$3:$Z$5001,"&lt;&gt;")=0,"",SUMIFS(Base!$Z$3:$Z$5001,Base!$B$3:$B$5001,I$232,Base!$A$3:$A$5001,_xlfn.MAXIFS(Base!$A$3:$A$5001,Base!$B$3:$B$5001,I$232,Base!$A$3:$A$5001,"&gt;="&amp;$C$7,Base!$A$3:$A$5001,"&lt;="&amp;$B243,Base!$Z$3:$Z$5001,"&lt;&gt;"))))</f>
        <v/>
      </c>
      <c r="J243" t="str">
        <f>IF($A243&gt;$B$9,"",IF(COUNTIFS(Base!$B$3:$B$5001,J$232,Base!$A$3:$A$5001,"&gt;="&amp;$C$7,Base!$A$3:$A$5001,"&lt;="&amp;$B243,Base!$Z$3:$Z$5001,"&lt;&gt;")=0,"",SUMIFS(Base!$Z$3:$Z$5001,Base!$B$3:$B$5001,J$232,Base!$A$3:$A$5001,_xlfn.MAXIFS(Base!$A$3:$A$5001,Base!$B$3:$B$5001,J$232,Base!$A$3:$A$5001,"&gt;="&amp;$C$7,Base!$A$3:$A$5001,"&lt;="&amp;$B243,Base!$Z$3:$Z$5001,"&lt;&gt;"))))</f>
        <v/>
      </c>
      <c r="K243" t="str">
        <f>IF($A243&gt;$B$9,"",IF(COUNTIFS(Base!$B$3:$B$5001,K$232,Base!$A$3:$A$5001,"&gt;="&amp;$C$7,Base!$A$3:$A$5001,"&lt;="&amp;$B243,Base!$Z$3:$Z$5001,"&lt;&gt;")=0,"",SUMIFS(Base!$Z$3:$Z$5001,Base!$B$3:$B$5001,K$232,Base!$A$3:$A$5001,_xlfn.MAXIFS(Base!$A$3:$A$5001,Base!$B$3:$B$5001,K$232,Base!$A$3:$A$5001,"&gt;="&amp;$C$7,Base!$A$3:$A$5001,"&lt;="&amp;$B243,Base!$Z$3:$Z$5001,"&lt;&gt;"))))</f>
        <v/>
      </c>
    </row>
    <row r="244">
      <c r="A244">
        <v>12</v>
      </c>
      <c r="B244" s="152">
        <f>$B$23</f>
        <v>46277</v>
      </c>
      <c r="C244" t="str">
        <f>IF($A244&gt;$B$9,"",IF(COUNTIFS(Base!$B$3:$B$5001,C$232,Base!$A$3:$A$5001,"&gt;="&amp;$C$7,Base!$A$3:$A$5001,"&lt;="&amp;$B244,Base!$Z$3:$Z$5001,"&lt;&gt;")=0,"",SUMIFS(Base!$Z$3:$Z$5001,Base!$B$3:$B$5001,C$232,Base!$A$3:$A$5001,_xlfn.MAXIFS(Base!$A$3:$A$5001,Base!$B$3:$B$5001,C$232,Base!$A$3:$A$5001,"&gt;="&amp;$C$7,Base!$A$3:$A$5001,"&lt;="&amp;$B244,Base!$Z$3:$Z$5001,"&lt;&gt;"))))</f>
        <v/>
      </c>
      <c r="D244" t="str">
        <f>IF($A244&gt;$B$9,"",IF(COUNTIFS(Base!$B$3:$B$5001,D$232,Base!$A$3:$A$5001,"&gt;="&amp;$C$7,Base!$A$3:$A$5001,"&lt;="&amp;$B244,Base!$Z$3:$Z$5001,"&lt;&gt;")=0,"",SUMIFS(Base!$Z$3:$Z$5001,Base!$B$3:$B$5001,D$232,Base!$A$3:$A$5001,_xlfn.MAXIFS(Base!$A$3:$A$5001,Base!$B$3:$B$5001,D$232,Base!$A$3:$A$5001,"&gt;="&amp;$C$7,Base!$A$3:$A$5001,"&lt;="&amp;$B244,Base!$Z$3:$Z$5001,"&lt;&gt;"))))</f>
        <v/>
      </c>
      <c r="E244" t="str">
        <f>IF($A244&gt;$B$9,"",IF(COUNTIFS(Base!$B$3:$B$5001,E$232,Base!$A$3:$A$5001,"&gt;="&amp;$C$7,Base!$A$3:$A$5001,"&lt;="&amp;$B244,Base!$Z$3:$Z$5001,"&lt;&gt;")=0,"",SUMIFS(Base!$Z$3:$Z$5001,Base!$B$3:$B$5001,E$232,Base!$A$3:$A$5001,_xlfn.MAXIFS(Base!$A$3:$A$5001,Base!$B$3:$B$5001,E$232,Base!$A$3:$A$5001,"&gt;="&amp;$C$7,Base!$A$3:$A$5001,"&lt;="&amp;$B244,Base!$Z$3:$Z$5001,"&lt;&gt;"))))</f>
        <v/>
      </c>
      <c r="F244" t="str">
        <f>IF($A244&gt;$B$9,"",IF(COUNTIFS(Base!$B$3:$B$5001,F$232,Base!$A$3:$A$5001,"&gt;="&amp;$C$7,Base!$A$3:$A$5001,"&lt;="&amp;$B244,Base!$Z$3:$Z$5001,"&lt;&gt;")=0,"",SUMIFS(Base!$Z$3:$Z$5001,Base!$B$3:$B$5001,F$232,Base!$A$3:$A$5001,_xlfn.MAXIFS(Base!$A$3:$A$5001,Base!$B$3:$B$5001,F$232,Base!$A$3:$A$5001,"&gt;="&amp;$C$7,Base!$A$3:$A$5001,"&lt;="&amp;$B244,Base!$Z$3:$Z$5001,"&lt;&gt;"))))</f>
        <v/>
      </c>
      <c r="G244" t="str">
        <f>IF($A244&gt;$B$9,"",IF(COUNTIFS(Base!$B$3:$B$5001,G$232,Base!$A$3:$A$5001,"&gt;="&amp;$C$7,Base!$A$3:$A$5001,"&lt;="&amp;$B244,Base!$Z$3:$Z$5001,"&lt;&gt;")=0,"",SUMIFS(Base!$Z$3:$Z$5001,Base!$B$3:$B$5001,G$232,Base!$A$3:$A$5001,_xlfn.MAXIFS(Base!$A$3:$A$5001,Base!$B$3:$B$5001,G$232,Base!$A$3:$A$5001,"&gt;="&amp;$C$7,Base!$A$3:$A$5001,"&lt;="&amp;$B244,Base!$Z$3:$Z$5001,"&lt;&gt;"))))</f>
        <v/>
      </c>
      <c r="H244" t="str">
        <f>IF($A244&gt;$B$9,"",IF(COUNTIFS(Base!$B$3:$B$5001,H$232,Base!$A$3:$A$5001,"&gt;="&amp;$C$7,Base!$A$3:$A$5001,"&lt;="&amp;$B244,Base!$Z$3:$Z$5001,"&lt;&gt;")=0,"",SUMIFS(Base!$Z$3:$Z$5001,Base!$B$3:$B$5001,H$232,Base!$A$3:$A$5001,_xlfn.MAXIFS(Base!$A$3:$A$5001,Base!$B$3:$B$5001,H$232,Base!$A$3:$A$5001,"&gt;="&amp;$C$7,Base!$A$3:$A$5001,"&lt;="&amp;$B244,Base!$Z$3:$Z$5001,"&lt;&gt;"))))</f>
        <v/>
      </c>
      <c r="I244" t="str">
        <f>IF($A244&gt;$B$9,"",IF(COUNTIFS(Base!$B$3:$B$5001,I$232,Base!$A$3:$A$5001,"&gt;="&amp;$C$7,Base!$A$3:$A$5001,"&lt;="&amp;$B244,Base!$Z$3:$Z$5001,"&lt;&gt;")=0,"",SUMIFS(Base!$Z$3:$Z$5001,Base!$B$3:$B$5001,I$232,Base!$A$3:$A$5001,_xlfn.MAXIFS(Base!$A$3:$A$5001,Base!$B$3:$B$5001,I$232,Base!$A$3:$A$5001,"&gt;="&amp;$C$7,Base!$A$3:$A$5001,"&lt;="&amp;$B244,Base!$Z$3:$Z$5001,"&lt;&gt;"))))</f>
        <v/>
      </c>
      <c r="J244" t="str">
        <f>IF($A244&gt;$B$9,"",IF(COUNTIFS(Base!$B$3:$B$5001,J$232,Base!$A$3:$A$5001,"&gt;="&amp;$C$7,Base!$A$3:$A$5001,"&lt;="&amp;$B244,Base!$Z$3:$Z$5001,"&lt;&gt;")=0,"",SUMIFS(Base!$Z$3:$Z$5001,Base!$B$3:$B$5001,J$232,Base!$A$3:$A$5001,_xlfn.MAXIFS(Base!$A$3:$A$5001,Base!$B$3:$B$5001,J$232,Base!$A$3:$A$5001,"&gt;="&amp;$C$7,Base!$A$3:$A$5001,"&lt;="&amp;$B244,Base!$Z$3:$Z$5001,"&lt;&gt;"))))</f>
        <v/>
      </c>
      <c r="K244" t="str">
        <f>IF($A244&gt;$B$9,"",IF(COUNTIFS(Base!$B$3:$B$5001,K$232,Base!$A$3:$A$5001,"&gt;="&amp;$C$7,Base!$A$3:$A$5001,"&lt;="&amp;$B244,Base!$Z$3:$Z$5001,"&lt;&gt;")=0,"",SUMIFS(Base!$Z$3:$Z$5001,Base!$B$3:$B$5001,K$232,Base!$A$3:$A$5001,_xlfn.MAXIFS(Base!$A$3:$A$5001,Base!$B$3:$B$5001,K$232,Base!$A$3:$A$5001,"&gt;="&amp;$C$7,Base!$A$3:$A$5001,"&lt;="&amp;$B244,Base!$Z$3:$Z$5001,"&lt;&gt;"))))</f>
        <v/>
      </c>
    </row>
    <row r="245">
      <c r="A245">
        <v>13</v>
      </c>
      <c r="B245" s="152">
        <f>$B$24</f>
        <v>46278</v>
      </c>
      <c r="C245" t="str">
        <f>IF($A245&gt;$B$9,"",IF(COUNTIFS(Base!$B$3:$B$5001,C$232,Base!$A$3:$A$5001,"&gt;="&amp;$C$7,Base!$A$3:$A$5001,"&lt;="&amp;$B245,Base!$Z$3:$Z$5001,"&lt;&gt;")=0,"",SUMIFS(Base!$Z$3:$Z$5001,Base!$B$3:$B$5001,C$232,Base!$A$3:$A$5001,_xlfn.MAXIFS(Base!$A$3:$A$5001,Base!$B$3:$B$5001,C$232,Base!$A$3:$A$5001,"&gt;="&amp;$C$7,Base!$A$3:$A$5001,"&lt;="&amp;$B245,Base!$Z$3:$Z$5001,"&lt;&gt;"))))</f>
        <v/>
      </c>
      <c r="D245" t="str">
        <f>IF($A245&gt;$B$9,"",IF(COUNTIFS(Base!$B$3:$B$5001,D$232,Base!$A$3:$A$5001,"&gt;="&amp;$C$7,Base!$A$3:$A$5001,"&lt;="&amp;$B245,Base!$Z$3:$Z$5001,"&lt;&gt;")=0,"",SUMIFS(Base!$Z$3:$Z$5001,Base!$B$3:$B$5001,D$232,Base!$A$3:$A$5001,_xlfn.MAXIFS(Base!$A$3:$A$5001,Base!$B$3:$B$5001,D$232,Base!$A$3:$A$5001,"&gt;="&amp;$C$7,Base!$A$3:$A$5001,"&lt;="&amp;$B245,Base!$Z$3:$Z$5001,"&lt;&gt;"))))</f>
        <v/>
      </c>
      <c r="E245" t="str">
        <f>IF($A245&gt;$B$9,"",IF(COUNTIFS(Base!$B$3:$B$5001,E$232,Base!$A$3:$A$5001,"&gt;="&amp;$C$7,Base!$A$3:$A$5001,"&lt;="&amp;$B245,Base!$Z$3:$Z$5001,"&lt;&gt;")=0,"",SUMIFS(Base!$Z$3:$Z$5001,Base!$B$3:$B$5001,E$232,Base!$A$3:$A$5001,_xlfn.MAXIFS(Base!$A$3:$A$5001,Base!$B$3:$B$5001,E$232,Base!$A$3:$A$5001,"&gt;="&amp;$C$7,Base!$A$3:$A$5001,"&lt;="&amp;$B245,Base!$Z$3:$Z$5001,"&lt;&gt;"))))</f>
        <v/>
      </c>
      <c r="F245" t="str">
        <f>IF($A245&gt;$B$9,"",IF(COUNTIFS(Base!$B$3:$B$5001,F$232,Base!$A$3:$A$5001,"&gt;="&amp;$C$7,Base!$A$3:$A$5001,"&lt;="&amp;$B245,Base!$Z$3:$Z$5001,"&lt;&gt;")=0,"",SUMIFS(Base!$Z$3:$Z$5001,Base!$B$3:$B$5001,F$232,Base!$A$3:$A$5001,_xlfn.MAXIFS(Base!$A$3:$A$5001,Base!$B$3:$B$5001,F$232,Base!$A$3:$A$5001,"&gt;="&amp;$C$7,Base!$A$3:$A$5001,"&lt;="&amp;$B245,Base!$Z$3:$Z$5001,"&lt;&gt;"))))</f>
        <v/>
      </c>
      <c r="G245" t="str">
        <f>IF($A245&gt;$B$9,"",IF(COUNTIFS(Base!$B$3:$B$5001,G$232,Base!$A$3:$A$5001,"&gt;="&amp;$C$7,Base!$A$3:$A$5001,"&lt;="&amp;$B245,Base!$Z$3:$Z$5001,"&lt;&gt;")=0,"",SUMIFS(Base!$Z$3:$Z$5001,Base!$B$3:$B$5001,G$232,Base!$A$3:$A$5001,_xlfn.MAXIFS(Base!$A$3:$A$5001,Base!$B$3:$B$5001,G$232,Base!$A$3:$A$5001,"&gt;="&amp;$C$7,Base!$A$3:$A$5001,"&lt;="&amp;$B245,Base!$Z$3:$Z$5001,"&lt;&gt;"))))</f>
        <v/>
      </c>
      <c r="H245" t="str">
        <f>IF($A245&gt;$B$9,"",IF(COUNTIFS(Base!$B$3:$B$5001,H$232,Base!$A$3:$A$5001,"&gt;="&amp;$C$7,Base!$A$3:$A$5001,"&lt;="&amp;$B245,Base!$Z$3:$Z$5001,"&lt;&gt;")=0,"",SUMIFS(Base!$Z$3:$Z$5001,Base!$B$3:$B$5001,H$232,Base!$A$3:$A$5001,_xlfn.MAXIFS(Base!$A$3:$A$5001,Base!$B$3:$B$5001,H$232,Base!$A$3:$A$5001,"&gt;="&amp;$C$7,Base!$A$3:$A$5001,"&lt;="&amp;$B245,Base!$Z$3:$Z$5001,"&lt;&gt;"))))</f>
        <v/>
      </c>
      <c r="I245" t="str">
        <f>IF($A245&gt;$B$9,"",IF(COUNTIFS(Base!$B$3:$B$5001,I$232,Base!$A$3:$A$5001,"&gt;="&amp;$C$7,Base!$A$3:$A$5001,"&lt;="&amp;$B245,Base!$Z$3:$Z$5001,"&lt;&gt;")=0,"",SUMIFS(Base!$Z$3:$Z$5001,Base!$B$3:$B$5001,I$232,Base!$A$3:$A$5001,_xlfn.MAXIFS(Base!$A$3:$A$5001,Base!$B$3:$B$5001,I$232,Base!$A$3:$A$5001,"&gt;="&amp;$C$7,Base!$A$3:$A$5001,"&lt;="&amp;$B245,Base!$Z$3:$Z$5001,"&lt;&gt;"))))</f>
        <v/>
      </c>
      <c r="J245" t="str">
        <f>IF($A245&gt;$B$9,"",IF(COUNTIFS(Base!$B$3:$B$5001,J$232,Base!$A$3:$A$5001,"&gt;="&amp;$C$7,Base!$A$3:$A$5001,"&lt;="&amp;$B245,Base!$Z$3:$Z$5001,"&lt;&gt;")=0,"",SUMIFS(Base!$Z$3:$Z$5001,Base!$B$3:$B$5001,J$232,Base!$A$3:$A$5001,_xlfn.MAXIFS(Base!$A$3:$A$5001,Base!$B$3:$B$5001,J$232,Base!$A$3:$A$5001,"&gt;="&amp;$C$7,Base!$A$3:$A$5001,"&lt;="&amp;$B245,Base!$Z$3:$Z$5001,"&lt;&gt;"))))</f>
        <v/>
      </c>
      <c r="K245" t="str">
        <f>IF($A245&gt;$B$9,"",IF(COUNTIFS(Base!$B$3:$B$5001,K$232,Base!$A$3:$A$5001,"&gt;="&amp;$C$7,Base!$A$3:$A$5001,"&lt;="&amp;$B245,Base!$Z$3:$Z$5001,"&lt;&gt;")=0,"",SUMIFS(Base!$Z$3:$Z$5001,Base!$B$3:$B$5001,K$232,Base!$A$3:$A$5001,_xlfn.MAXIFS(Base!$A$3:$A$5001,Base!$B$3:$B$5001,K$232,Base!$A$3:$A$5001,"&gt;="&amp;$C$7,Base!$A$3:$A$5001,"&lt;="&amp;$B245,Base!$Z$3:$Z$5001,"&lt;&gt;"))))</f>
        <v/>
      </c>
    </row>
    <row r="246">
      <c r="A246">
        <v>14</v>
      </c>
      <c r="B246" s="152">
        <f>$B$25</f>
        <v>46279</v>
      </c>
      <c r="C246" t="str">
        <f>IF($A246&gt;$B$9,"",IF(COUNTIFS(Base!$B$3:$B$5001,C$232,Base!$A$3:$A$5001,"&gt;="&amp;$C$7,Base!$A$3:$A$5001,"&lt;="&amp;$B246,Base!$Z$3:$Z$5001,"&lt;&gt;")=0,"",SUMIFS(Base!$Z$3:$Z$5001,Base!$B$3:$B$5001,C$232,Base!$A$3:$A$5001,_xlfn.MAXIFS(Base!$A$3:$A$5001,Base!$B$3:$B$5001,C$232,Base!$A$3:$A$5001,"&gt;="&amp;$C$7,Base!$A$3:$A$5001,"&lt;="&amp;$B246,Base!$Z$3:$Z$5001,"&lt;&gt;"))))</f>
        <v/>
      </c>
      <c r="D246" t="str">
        <f>IF($A246&gt;$B$9,"",IF(COUNTIFS(Base!$B$3:$B$5001,D$232,Base!$A$3:$A$5001,"&gt;="&amp;$C$7,Base!$A$3:$A$5001,"&lt;="&amp;$B246,Base!$Z$3:$Z$5001,"&lt;&gt;")=0,"",SUMIFS(Base!$Z$3:$Z$5001,Base!$B$3:$B$5001,D$232,Base!$A$3:$A$5001,_xlfn.MAXIFS(Base!$A$3:$A$5001,Base!$B$3:$B$5001,D$232,Base!$A$3:$A$5001,"&gt;="&amp;$C$7,Base!$A$3:$A$5001,"&lt;="&amp;$B246,Base!$Z$3:$Z$5001,"&lt;&gt;"))))</f>
        <v/>
      </c>
      <c r="E246" t="str">
        <f>IF($A246&gt;$B$9,"",IF(COUNTIFS(Base!$B$3:$B$5001,E$232,Base!$A$3:$A$5001,"&gt;="&amp;$C$7,Base!$A$3:$A$5001,"&lt;="&amp;$B246,Base!$Z$3:$Z$5001,"&lt;&gt;")=0,"",SUMIFS(Base!$Z$3:$Z$5001,Base!$B$3:$B$5001,E$232,Base!$A$3:$A$5001,_xlfn.MAXIFS(Base!$A$3:$A$5001,Base!$B$3:$B$5001,E$232,Base!$A$3:$A$5001,"&gt;="&amp;$C$7,Base!$A$3:$A$5001,"&lt;="&amp;$B246,Base!$Z$3:$Z$5001,"&lt;&gt;"))))</f>
        <v/>
      </c>
      <c r="F246" t="str">
        <f>IF($A246&gt;$B$9,"",IF(COUNTIFS(Base!$B$3:$B$5001,F$232,Base!$A$3:$A$5001,"&gt;="&amp;$C$7,Base!$A$3:$A$5001,"&lt;="&amp;$B246,Base!$Z$3:$Z$5001,"&lt;&gt;")=0,"",SUMIFS(Base!$Z$3:$Z$5001,Base!$B$3:$B$5001,F$232,Base!$A$3:$A$5001,_xlfn.MAXIFS(Base!$A$3:$A$5001,Base!$B$3:$B$5001,F$232,Base!$A$3:$A$5001,"&gt;="&amp;$C$7,Base!$A$3:$A$5001,"&lt;="&amp;$B246,Base!$Z$3:$Z$5001,"&lt;&gt;"))))</f>
        <v/>
      </c>
      <c r="G246" t="str">
        <f>IF($A246&gt;$B$9,"",IF(COUNTIFS(Base!$B$3:$B$5001,G$232,Base!$A$3:$A$5001,"&gt;="&amp;$C$7,Base!$A$3:$A$5001,"&lt;="&amp;$B246,Base!$Z$3:$Z$5001,"&lt;&gt;")=0,"",SUMIFS(Base!$Z$3:$Z$5001,Base!$B$3:$B$5001,G$232,Base!$A$3:$A$5001,_xlfn.MAXIFS(Base!$A$3:$A$5001,Base!$B$3:$B$5001,G$232,Base!$A$3:$A$5001,"&gt;="&amp;$C$7,Base!$A$3:$A$5001,"&lt;="&amp;$B246,Base!$Z$3:$Z$5001,"&lt;&gt;"))))</f>
        <v/>
      </c>
      <c r="H246" t="str">
        <f>IF($A246&gt;$B$9,"",IF(COUNTIFS(Base!$B$3:$B$5001,H$232,Base!$A$3:$A$5001,"&gt;="&amp;$C$7,Base!$A$3:$A$5001,"&lt;="&amp;$B246,Base!$Z$3:$Z$5001,"&lt;&gt;")=0,"",SUMIFS(Base!$Z$3:$Z$5001,Base!$B$3:$B$5001,H$232,Base!$A$3:$A$5001,_xlfn.MAXIFS(Base!$A$3:$A$5001,Base!$B$3:$B$5001,H$232,Base!$A$3:$A$5001,"&gt;="&amp;$C$7,Base!$A$3:$A$5001,"&lt;="&amp;$B246,Base!$Z$3:$Z$5001,"&lt;&gt;"))))</f>
        <v/>
      </c>
      <c r="I246" t="str">
        <f>IF($A246&gt;$B$9,"",IF(COUNTIFS(Base!$B$3:$B$5001,I$232,Base!$A$3:$A$5001,"&gt;="&amp;$C$7,Base!$A$3:$A$5001,"&lt;="&amp;$B246,Base!$Z$3:$Z$5001,"&lt;&gt;")=0,"",SUMIFS(Base!$Z$3:$Z$5001,Base!$B$3:$B$5001,I$232,Base!$A$3:$A$5001,_xlfn.MAXIFS(Base!$A$3:$A$5001,Base!$B$3:$B$5001,I$232,Base!$A$3:$A$5001,"&gt;="&amp;$C$7,Base!$A$3:$A$5001,"&lt;="&amp;$B246,Base!$Z$3:$Z$5001,"&lt;&gt;"))))</f>
        <v/>
      </c>
      <c r="J246" t="str">
        <f>IF($A246&gt;$B$9,"",IF(COUNTIFS(Base!$B$3:$B$5001,J$232,Base!$A$3:$A$5001,"&gt;="&amp;$C$7,Base!$A$3:$A$5001,"&lt;="&amp;$B246,Base!$Z$3:$Z$5001,"&lt;&gt;")=0,"",SUMIFS(Base!$Z$3:$Z$5001,Base!$B$3:$B$5001,J$232,Base!$A$3:$A$5001,_xlfn.MAXIFS(Base!$A$3:$A$5001,Base!$B$3:$B$5001,J$232,Base!$A$3:$A$5001,"&gt;="&amp;$C$7,Base!$A$3:$A$5001,"&lt;="&amp;$B246,Base!$Z$3:$Z$5001,"&lt;&gt;"))))</f>
        <v/>
      </c>
      <c r="K246" t="str">
        <f>IF($A246&gt;$B$9,"",IF(COUNTIFS(Base!$B$3:$B$5001,K$232,Base!$A$3:$A$5001,"&gt;="&amp;$C$7,Base!$A$3:$A$5001,"&lt;="&amp;$B246,Base!$Z$3:$Z$5001,"&lt;&gt;")=0,"",SUMIFS(Base!$Z$3:$Z$5001,Base!$B$3:$B$5001,K$232,Base!$A$3:$A$5001,_xlfn.MAXIFS(Base!$A$3:$A$5001,Base!$B$3:$B$5001,K$232,Base!$A$3:$A$5001,"&gt;="&amp;$C$7,Base!$A$3:$A$5001,"&lt;="&amp;$B246,Base!$Z$3:$Z$5001,"&lt;&gt;"))))</f>
        <v/>
      </c>
    </row>
    <row r="247">
      <c r="A247">
        <v>15</v>
      </c>
      <c r="B247" s="152">
        <f>$B$26</f>
        <v>46280</v>
      </c>
      <c r="C247" t="str">
        <f>IF($A247&gt;$B$9,"",IF(COUNTIFS(Base!$B$3:$B$5001,C$232,Base!$A$3:$A$5001,"&gt;="&amp;$C$7,Base!$A$3:$A$5001,"&lt;="&amp;$B247,Base!$Z$3:$Z$5001,"&lt;&gt;")=0,"",SUMIFS(Base!$Z$3:$Z$5001,Base!$B$3:$B$5001,C$232,Base!$A$3:$A$5001,_xlfn.MAXIFS(Base!$A$3:$A$5001,Base!$B$3:$B$5001,C$232,Base!$A$3:$A$5001,"&gt;="&amp;$C$7,Base!$A$3:$A$5001,"&lt;="&amp;$B247,Base!$Z$3:$Z$5001,"&lt;&gt;"))))</f>
        <v/>
      </c>
      <c r="D247" t="str">
        <f>IF($A247&gt;$B$9,"",IF(COUNTIFS(Base!$B$3:$B$5001,D$232,Base!$A$3:$A$5001,"&gt;="&amp;$C$7,Base!$A$3:$A$5001,"&lt;="&amp;$B247,Base!$Z$3:$Z$5001,"&lt;&gt;")=0,"",SUMIFS(Base!$Z$3:$Z$5001,Base!$B$3:$B$5001,D$232,Base!$A$3:$A$5001,_xlfn.MAXIFS(Base!$A$3:$A$5001,Base!$B$3:$B$5001,D$232,Base!$A$3:$A$5001,"&gt;="&amp;$C$7,Base!$A$3:$A$5001,"&lt;="&amp;$B247,Base!$Z$3:$Z$5001,"&lt;&gt;"))))</f>
        <v/>
      </c>
      <c r="E247" t="str">
        <f>IF($A247&gt;$B$9,"",IF(COUNTIFS(Base!$B$3:$B$5001,E$232,Base!$A$3:$A$5001,"&gt;="&amp;$C$7,Base!$A$3:$A$5001,"&lt;="&amp;$B247,Base!$Z$3:$Z$5001,"&lt;&gt;")=0,"",SUMIFS(Base!$Z$3:$Z$5001,Base!$B$3:$B$5001,E$232,Base!$A$3:$A$5001,_xlfn.MAXIFS(Base!$A$3:$A$5001,Base!$B$3:$B$5001,E$232,Base!$A$3:$A$5001,"&gt;="&amp;$C$7,Base!$A$3:$A$5001,"&lt;="&amp;$B247,Base!$Z$3:$Z$5001,"&lt;&gt;"))))</f>
        <v/>
      </c>
      <c r="F247" t="str">
        <f>IF($A247&gt;$B$9,"",IF(COUNTIFS(Base!$B$3:$B$5001,F$232,Base!$A$3:$A$5001,"&gt;="&amp;$C$7,Base!$A$3:$A$5001,"&lt;="&amp;$B247,Base!$Z$3:$Z$5001,"&lt;&gt;")=0,"",SUMIFS(Base!$Z$3:$Z$5001,Base!$B$3:$B$5001,F$232,Base!$A$3:$A$5001,_xlfn.MAXIFS(Base!$A$3:$A$5001,Base!$B$3:$B$5001,F$232,Base!$A$3:$A$5001,"&gt;="&amp;$C$7,Base!$A$3:$A$5001,"&lt;="&amp;$B247,Base!$Z$3:$Z$5001,"&lt;&gt;"))))</f>
        <v/>
      </c>
      <c r="G247" t="str">
        <f>IF($A247&gt;$B$9,"",IF(COUNTIFS(Base!$B$3:$B$5001,G$232,Base!$A$3:$A$5001,"&gt;="&amp;$C$7,Base!$A$3:$A$5001,"&lt;="&amp;$B247,Base!$Z$3:$Z$5001,"&lt;&gt;")=0,"",SUMIFS(Base!$Z$3:$Z$5001,Base!$B$3:$B$5001,G$232,Base!$A$3:$A$5001,_xlfn.MAXIFS(Base!$A$3:$A$5001,Base!$B$3:$B$5001,G$232,Base!$A$3:$A$5001,"&gt;="&amp;$C$7,Base!$A$3:$A$5001,"&lt;="&amp;$B247,Base!$Z$3:$Z$5001,"&lt;&gt;"))))</f>
        <v/>
      </c>
      <c r="H247" t="str">
        <f>IF($A247&gt;$B$9,"",IF(COUNTIFS(Base!$B$3:$B$5001,H$232,Base!$A$3:$A$5001,"&gt;="&amp;$C$7,Base!$A$3:$A$5001,"&lt;="&amp;$B247,Base!$Z$3:$Z$5001,"&lt;&gt;")=0,"",SUMIFS(Base!$Z$3:$Z$5001,Base!$B$3:$B$5001,H$232,Base!$A$3:$A$5001,_xlfn.MAXIFS(Base!$A$3:$A$5001,Base!$B$3:$B$5001,H$232,Base!$A$3:$A$5001,"&gt;="&amp;$C$7,Base!$A$3:$A$5001,"&lt;="&amp;$B247,Base!$Z$3:$Z$5001,"&lt;&gt;"))))</f>
        <v/>
      </c>
      <c r="I247" t="str">
        <f>IF($A247&gt;$B$9,"",IF(COUNTIFS(Base!$B$3:$B$5001,I$232,Base!$A$3:$A$5001,"&gt;="&amp;$C$7,Base!$A$3:$A$5001,"&lt;="&amp;$B247,Base!$Z$3:$Z$5001,"&lt;&gt;")=0,"",SUMIFS(Base!$Z$3:$Z$5001,Base!$B$3:$B$5001,I$232,Base!$A$3:$A$5001,_xlfn.MAXIFS(Base!$A$3:$A$5001,Base!$B$3:$B$5001,I$232,Base!$A$3:$A$5001,"&gt;="&amp;$C$7,Base!$A$3:$A$5001,"&lt;="&amp;$B247,Base!$Z$3:$Z$5001,"&lt;&gt;"))))</f>
        <v/>
      </c>
      <c r="J247" t="str">
        <f>IF($A247&gt;$B$9,"",IF(COUNTIFS(Base!$B$3:$B$5001,J$232,Base!$A$3:$A$5001,"&gt;="&amp;$C$7,Base!$A$3:$A$5001,"&lt;="&amp;$B247,Base!$Z$3:$Z$5001,"&lt;&gt;")=0,"",SUMIFS(Base!$Z$3:$Z$5001,Base!$B$3:$B$5001,J$232,Base!$A$3:$A$5001,_xlfn.MAXIFS(Base!$A$3:$A$5001,Base!$B$3:$B$5001,J$232,Base!$A$3:$A$5001,"&gt;="&amp;$C$7,Base!$A$3:$A$5001,"&lt;="&amp;$B247,Base!$Z$3:$Z$5001,"&lt;&gt;"))))</f>
        <v/>
      </c>
      <c r="K247" t="str">
        <f>IF($A247&gt;$B$9,"",IF(COUNTIFS(Base!$B$3:$B$5001,K$232,Base!$A$3:$A$5001,"&gt;="&amp;$C$7,Base!$A$3:$A$5001,"&lt;="&amp;$B247,Base!$Z$3:$Z$5001,"&lt;&gt;")=0,"",SUMIFS(Base!$Z$3:$Z$5001,Base!$B$3:$B$5001,K$232,Base!$A$3:$A$5001,_xlfn.MAXIFS(Base!$A$3:$A$5001,Base!$B$3:$B$5001,K$232,Base!$A$3:$A$5001,"&gt;="&amp;$C$7,Base!$A$3:$A$5001,"&lt;="&amp;$B247,Base!$Z$3:$Z$5001,"&lt;&gt;"))))</f>
        <v/>
      </c>
    </row>
    <row r="248">
      <c r="A248">
        <v>16</v>
      </c>
      <c r="B248" s="152">
        <f>$B$27</f>
        <v>46281</v>
      </c>
      <c r="C248" t="str">
        <f>IF($A248&gt;$B$9,"",IF(COUNTIFS(Base!$B$3:$B$5001,C$232,Base!$A$3:$A$5001,"&gt;="&amp;$C$7,Base!$A$3:$A$5001,"&lt;="&amp;$B248,Base!$Z$3:$Z$5001,"&lt;&gt;")=0,"",SUMIFS(Base!$Z$3:$Z$5001,Base!$B$3:$B$5001,C$232,Base!$A$3:$A$5001,_xlfn.MAXIFS(Base!$A$3:$A$5001,Base!$B$3:$B$5001,C$232,Base!$A$3:$A$5001,"&gt;="&amp;$C$7,Base!$A$3:$A$5001,"&lt;="&amp;$B248,Base!$Z$3:$Z$5001,"&lt;&gt;"))))</f>
        <v/>
      </c>
      <c r="D248" t="str">
        <f>IF($A248&gt;$B$9,"",IF(COUNTIFS(Base!$B$3:$B$5001,D$232,Base!$A$3:$A$5001,"&gt;="&amp;$C$7,Base!$A$3:$A$5001,"&lt;="&amp;$B248,Base!$Z$3:$Z$5001,"&lt;&gt;")=0,"",SUMIFS(Base!$Z$3:$Z$5001,Base!$B$3:$B$5001,D$232,Base!$A$3:$A$5001,_xlfn.MAXIFS(Base!$A$3:$A$5001,Base!$B$3:$B$5001,D$232,Base!$A$3:$A$5001,"&gt;="&amp;$C$7,Base!$A$3:$A$5001,"&lt;="&amp;$B248,Base!$Z$3:$Z$5001,"&lt;&gt;"))))</f>
        <v/>
      </c>
      <c r="E248" t="str">
        <f>IF($A248&gt;$B$9,"",IF(COUNTIFS(Base!$B$3:$B$5001,E$232,Base!$A$3:$A$5001,"&gt;="&amp;$C$7,Base!$A$3:$A$5001,"&lt;="&amp;$B248,Base!$Z$3:$Z$5001,"&lt;&gt;")=0,"",SUMIFS(Base!$Z$3:$Z$5001,Base!$B$3:$B$5001,E$232,Base!$A$3:$A$5001,_xlfn.MAXIFS(Base!$A$3:$A$5001,Base!$B$3:$B$5001,E$232,Base!$A$3:$A$5001,"&gt;="&amp;$C$7,Base!$A$3:$A$5001,"&lt;="&amp;$B248,Base!$Z$3:$Z$5001,"&lt;&gt;"))))</f>
        <v/>
      </c>
      <c r="F248" t="str">
        <f>IF($A248&gt;$B$9,"",IF(COUNTIFS(Base!$B$3:$B$5001,F$232,Base!$A$3:$A$5001,"&gt;="&amp;$C$7,Base!$A$3:$A$5001,"&lt;="&amp;$B248,Base!$Z$3:$Z$5001,"&lt;&gt;")=0,"",SUMIFS(Base!$Z$3:$Z$5001,Base!$B$3:$B$5001,F$232,Base!$A$3:$A$5001,_xlfn.MAXIFS(Base!$A$3:$A$5001,Base!$B$3:$B$5001,F$232,Base!$A$3:$A$5001,"&gt;="&amp;$C$7,Base!$A$3:$A$5001,"&lt;="&amp;$B248,Base!$Z$3:$Z$5001,"&lt;&gt;"))))</f>
        <v/>
      </c>
      <c r="G248" t="str">
        <f>IF($A248&gt;$B$9,"",IF(COUNTIFS(Base!$B$3:$B$5001,G$232,Base!$A$3:$A$5001,"&gt;="&amp;$C$7,Base!$A$3:$A$5001,"&lt;="&amp;$B248,Base!$Z$3:$Z$5001,"&lt;&gt;")=0,"",SUMIFS(Base!$Z$3:$Z$5001,Base!$B$3:$B$5001,G$232,Base!$A$3:$A$5001,_xlfn.MAXIFS(Base!$A$3:$A$5001,Base!$B$3:$B$5001,G$232,Base!$A$3:$A$5001,"&gt;="&amp;$C$7,Base!$A$3:$A$5001,"&lt;="&amp;$B248,Base!$Z$3:$Z$5001,"&lt;&gt;"))))</f>
        <v/>
      </c>
      <c r="H248" t="str">
        <f>IF($A248&gt;$B$9,"",IF(COUNTIFS(Base!$B$3:$B$5001,H$232,Base!$A$3:$A$5001,"&gt;="&amp;$C$7,Base!$A$3:$A$5001,"&lt;="&amp;$B248,Base!$Z$3:$Z$5001,"&lt;&gt;")=0,"",SUMIFS(Base!$Z$3:$Z$5001,Base!$B$3:$B$5001,H$232,Base!$A$3:$A$5001,_xlfn.MAXIFS(Base!$A$3:$A$5001,Base!$B$3:$B$5001,H$232,Base!$A$3:$A$5001,"&gt;="&amp;$C$7,Base!$A$3:$A$5001,"&lt;="&amp;$B248,Base!$Z$3:$Z$5001,"&lt;&gt;"))))</f>
        <v/>
      </c>
      <c r="I248" t="str">
        <f>IF($A248&gt;$B$9,"",IF(COUNTIFS(Base!$B$3:$B$5001,I$232,Base!$A$3:$A$5001,"&gt;="&amp;$C$7,Base!$A$3:$A$5001,"&lt;="&amp;$B248,Base!$Z$3:$Z$5001,"&lt;&gt;")=0,"",SUMIFS(Base!$Z$3:$Z$5001,Base!$B$3:$B$5001,I$232,Base!$A$3:$A$5001,_xlfn.MAXIFS(Base!$A$3:$A$5001,Base!$B$3:$B$5001,I$232,Base!$A$3:$A$5001,"&gt;="&amp;$C$7,Base!$A$3:$A$5001,"&lt;="&amp;$B248,Base!$Z$3:$Z$5001,"&lt;&gt;"))))</f>
        <v/>
      </c>
      <c r="J248" t="str">
        <f>IF($A248&gt;$B$9,"",IF(COUNTIFS(Base!$B$3:$B$5001,J$232,Base!$A$3:$A$5001,"&gt;="&amp;$C$7,Base!$A$3:$A$5001,"&lt;="&amp;$B248,Base!$Z$3:$Z$5001,"&lt;&gt;")=0,"",SUMIFS(Base!$Z$3:$Z$5001,Base!$B$3:$B$5001,J$232,Base!$A$3:$A$5001,_xlfn.MAXIFS(Base!$A$3:$A$5001,Base!$B$3:$B$5001,J$232,Base!$A$3:$A$5001,"&gt;="&amp;$C$7,Base!$A$3:$A$5001,"&lt;="&amp;$B248,Base!$Z$3:$Z$5001,"&lt;&gt;"))))</f>
        <v/>
      </c>
      <c r="K248" t="str">
        <f>IF($A248&gt;$B$9,"",IF(COUNTIFS(Base!$B$3:$B$5001,K$232,Base!$A$3:$A$5001,"&gt;="&amp;$C$7,Base!$A$3:$A$5001,"&lt;="&amp;$B248,Base!$Z$3:$Z$5001,"&lt;&gt;")=0,"",SUMIFS(Base!$Z$3:$Z$5001,Base!$B$3:$B$5001,K$232,Base!$A$3:$A$5001,_xlfn.MAXIFS(Base!$A$3:$A$5001,Base!$B$3:$B$5001,K$232,Base!$A$3:$A$5001,"&gt;="&amp;$C$7,Base!$A$3:$A$5001,"&lt;="&amp;$B248,Base!$Z$3:$Z$5001,"&lt;&gt;"))))</f>
        <v/>
      </c>
    </row>
    <row r="249">
      <c r="A249">
        <v>17</v>
      </c>
      <c r="B249" s="152">
        <f>$B$28</f>
        <v>46282</v>
      </c>
      <c r="C249" t="str">
        <f>IF($A249&gt;$B$9,"",IF(COUNTIFS(Base!$B$3:$B$5001,C$232,Base!$A$3:$A$5001,"&gt;="&amp;$C$7,Base!$A$3:$A$5001,"&lt;="&amp;$B249,Base!$Z$3:$Z$5001,"&lt;&gt;")=0,"",SUMIFS(Base!$Z$3:$Z$5001,Base!$B$3:$B$5001,C$232,Base!$A$3:$A$5001,_xlfn.MAXIFS(Base!$A$3:$A$5001,Base!$B$3:$B$5001,C$232,Base!$A$3:$A$5001,"&gt;="&amp;$C$7,Base!$A$3:$A$5001,"&lt;="&amp;$B249,Base!$Z$3:$Z$5001,"&lt;&gt;"))))</f>
        <v/>
      </c>
      <c r="D249" t="str">
        <f>IF($A249&gt;$B$9,"",IF(COUNTIFS(Base!$B$3:$B$5001,D$232,Base!$A$3:$A$5001,"&gt;="&amp;$C$7,Base!$A$3:$A$5001,"&lt;="&amp;$B249,Base!$Z$3:$Z$5001,"&lt;&gt;")=0,"",SUMIFS(Base!$Z$3:$Z$5001,Base!$B$3:$B$5001,D$232,Base!$A$3:$A$5001,_xlfn.MAXIFS(Base!$A$3:$A$5001,Base!$B$3:$B$5001,D$232,Base!$A$3:$A$5001,"&gt;="&amp;$C$7,Base!$A$3:$A$5001,"&lt;="&amp;$B249,Base!$Z$3:$Z$5001,"&lt;&gt;"))))</f>
        <v/>
      </c>
      <c r="E249" t="str">
        <f>IF($A249&gt;$B$9,"",IF(COUNTIFS(Base!$B$3:$B$5001,E$232,Base!$A$3:$A$5001,"&gt;="&amp;$C$7,Base!$A$3:$A$5001,"&lt;="&amp;$B249,Base!$Z$3:$Z$5001,"&lt;&gt;")=0,"",SUMIFS(Base!$Z$3:$Z$5001,Base!$B$3:$B$5001,E$232,Base!$A$3:$A$5001,_xlfn.MAXIFS(Base!$A$3:$A$5001,Base!$B$3:$B$5001,E$232,Base!$A$3:$A$5001,"&gt;="&amp;$C$7,Base!$A$3:$A$5001,"&lt;="&amp;$B249,Base!$Z$3:$Z$5001,"&lt;&gt;"))))</f>
        <v/>
      </c>
      <c r="F249" t="str">
        <f>IF($A249&gt;$B$9,"",IF(COUNTIFS(Base!$B$3:$B$5001,F$232,Base!$A$3:$A$5001,"&gt;="&amp;$C$7,Base!$A$3:$A$5001,"&lt;="&amp;$B249,Base!$Z$3:$Z$5001,"&lt;&gt;")=0,"",SUMIFS(Base!$Z$3:$Z$5001,Base!$B$3:$B$5001,F$232,Base!$A$3:$A$5001,_xlfn.MAXIFS(Base!$A$3:$A$5001,Base!$B$3:$B$5001,F$232,Base!$A$3:$A$5001,"&gt;="&amp;$C$7,Base!$A$3:$A$5001,"&lt;="&amp;$B249,Base!$Z$3:$Z$5001,"&lt;&gt;"))))</f>
        <v/>
      </c>
      <c r="G249" t="str">
        <f>IF($A249&gt;$B$9,"",IF(COUNTIFS(Base!$B$3:$B$5001,G$232,Base!$A$3:$A$5001,"&gt;="&amp;$C$7,Base!$A$3:$A$5001,"&lt;="&amp;$B249,Base!$Z$3:$Z$5001,"&lt;&gt;")=0,"",SUMIFS(Base!$Z$3:$Z$5001,Base!$B$3:$B$5001,G$232,Base!$A$3:$A$5001,_xlfn.MAXIFS(Base!$A$3:$A$5001,Base!$B$3:$B$5001,G$232,Base!$A$3:$A$5001,"&gt;="&amp;$C$7,Base!$A$3:$A$5001,"&lt;="&amp;$B249,Base!$Z$3:$Z$5001,"&lt;&gt;"))))</f>
        <v/>
      </c>
      <c r="H249" t="str">
        <f>IF($A249&gt;$B$9,"",IF(COUNTIFS(Base!$B$3:$B$5001,H$232,Base!$A$3:$A$5001,"&gt;="&amp;$C$7,Base!$A$3:$A$5001,"&lt;="&amp;$B249,Base!$Z$3:$Z$5001,"&lt;&gt;")=0,"",SUMIFS(Base!$Z$3:$Z$5001,Base!$B$3:$B$5001,H$232,Base!$A$3:$A$5001,_xlfn.MAXIFS(Base!$A$3:$A$5001,Base!$B$3:$B$5001,H$232,Base!$A$3:$A$5001,"&gt;="&amp;$C$7,Base!$A$3:$A$5001,"&lt;="&amp;$B249,Base!$Z$3:$Z$5001,"&lt;&gt;"))))</f>
        <v/>
      </c>
      <c r="I249" t="str">
        <f>IF($A249&gt;$B$9,"",IF(COUNTIFS(Base!$B$3:$B$5001,I$232,Base!$A$3:$A$5001,"&gt;="&amp;$C$7,Base!$A$3:$A$5001,"&lt;="&amp;$B249,Base!$Z$3:$Z$5001,"&lt;&gt;")=0,"",SUMIFS(Base!$Z$3:$Z$5001,Base!$B$3:$B$5001,I$232,Base!$A$3:$A$5001,_xlfn.MAXIFS(Base!$A$3:$A$5001,Base!$B$3:$B$5001,I$232,Base!$A$3:$A$5001,"&gt;="&amp;$C$7,Base!$A$3:$A$5001,"&lt;="&amp;$B249,Base!$Z$3:$Z$5001,"&lt;&gt;"))))</f>
        <v/>
      </c>
      <c r="J249" t="str">
        <f>IF($A249&gt;$B$9,"",IF(COUNTIFS(Base!$B$3:$B$5001,J$232,Base!$A$3:$A$5001,"&gt;="&amp;$C$7,Base!$A$3:$A$5001,"&lt;="&amp;$B249,Base!$Z$3:$Z$5001,"&lt;&gt;")=0,"",SUMIFS(Base!$Z$3:$Z$5001,Base!$B$3:$B$5001,J$232,Base!$A$3:$A$5001,_xlfn.MAXIFS(Base!$A$3:$A$5001,Base!$B$3:$B$5001,J$232,Base!$A$3:$A$5001,"&gt;="&amp;$C$7,Base!$A$3:$A$5001,"&lt;="&amp;$B249,Base!$Z$3:$Z$5001,"&lt;&gt;"))))</f>
        <v/>
      </c>
      <c r="K249" t="str">
        <f>IF($A249&gt;$B$9,"",IF(COUNTIFS(Base!$B$3:$B$5001,K$232,Base!$A$3:$A$5001,"&gt;="&amp;$C$7,Base!$A$3:$A$5001,"&lt;="&amp;$B249,Base!$Z$3:$Z$5001,"&lt;&gt;")=0,"",SUMIFS(Base!$Z$3:$Z$5001,Base!$B$3:$B$5001,K$232,Base!$A$3:$A$5001,_xlfn.MAXIFS(Base!$A$3:$A$5001,Base!$B$3:$B$5001,K$232,Base!$A$3:$A$5001,"&gt;="&amp;$C$7,Base!$A$3:$A$5001,"&lt;="&amp;$B249,Base!$Z$3:$Z$5001,"&lt;&gt;"))))</f>
        <v/>
      </c>
    </row>
    <row r="250">
      <c r="A250">
        <v>18</v>
      </c>
      <c r="B250" s="152">
        <f>$B$29</f>
        <v>46283</v>
      </c>
      <c r="C250" t="str">
        <f>IF($A250&gt;$B$9,"",IF(COUNTIFS(Base!$B$3:$B$5001,C$232,Base!$A$3:$A$5001,"&gt;="&amp;$C$7,Base!$A$3:$A$5001,"&lt;="&amp;$B250,Base!$Z$3:$Z$5001,"&lt;&gt;")=0,"",SUMIFS(Base!$Z$3:$Z$5001,Base!$B$3:$B$5001,C$232,Base!$A$3:$A$5001,_xlfn.MAXIFS(Base!$A$3:$A$5001,Base!$B$3:$B$5001,C$232,Base!$A$3:$A$5001,"&gt;="&amp;$C$7,Base!$A$3:$A$5001,"&lt;="&amp;$B250,Base!$Z$3:$Z$5001,"&lt;&gt;"))))</f>
        <v/>
      </c>
      <c r="D250" t="str">
        <f>IF($A250&gt;$B$9,"",IF(COUNTIFS(Base!$B$3:$B$5001,D$232,Base!$A$3:$A$5001,"&gt;="&amp;$C$7,Base!$A$3:$A$5001,"&lt;="&amp;$B250,Base!$Z$3:$Z$5001,"&lt;&gt;")=0,"",SUMIFS(Base!$Z$3:$Z$5001,Base!$B$3:$B$5001,D$232,Base!$A$3:$A$5001,_xlfn.MAXIFS(Base!$A$3:$A$5001,Base!$B$3:$B$5001,D$232,Base!$A$3:$A$5001,"&gt;="&amp;$C$7,Base!$A$3:$A$5001,"&lt;="&amp;$B250,Base!$Z$3:$Z$5001,"&lt;&gt;"))))</f>
        <v/>
      </c>
      <c r="E250" t="str">
        <f>IF($A250&gt;$B$9,"",IF(COUNTIFS(Base!$B$3:$B$5001,E$232,Base!$A$3:$A$5001,"&gt;="&amp;$C$7,Base!$A$3:$A$5001,"&lt;="&amp;$B250,Base!$Z$3:$Z$5001,"&lt;&gt;")=0,"",SUMIFS(Base!$Z$3:$Z$5001,Base!$B$3:$B$5001,E$232,Base!$A$3:$A$5001,_xlfn.MAXIFS(Base!$A$3:$A$5001,Base!$B$3:$B$5001,E$232,Base!$A$3:$A$5001,"&gt;="&amp;$C$7,Base!$A$3:$A$5001,"&lt;="&amp;$B250,Base!$Z$3:$Z$5001,"&lt;&gt;"))))</f>
        <v/>
      </c>
      <c r="F250" t="str">
        <f>IF($A250&gt;$B$9,"",IF(COUNTIFS(Base!$B$3:$B$5001,F$232,Base!$A$3:$A$5001,"&gt;="&amp;$C$7,Base!$A$3:$A$5001,"&lt;="&amp;$B250,Base!$Z$3:$Z$5001,"&lt;&gt;")=0,"",SUMIFS(Base!$Z$3:$Z$5001,Base!$B$3:$B$5001,F$232,Base!$A$3:$A$5001,_xlfn.MAXIFS(Base!$A$3:$A$5001,Base!$B$3:$B$5001,F$232,Base!$A$3:$A$5001,"&gt;="&amp;$C$7,Base!$A$3:$A$5001,"&lt;="&amp;$B250,Base!$Z$3:$Z$5001,"&lt;&gt;"))))</f>
        <v/>
      </c>
      <c r="G250" t="str">
        <f>IF($A250&gt;$B$9,"",IF(COUNTIFS(Base!$B$3:$B$5001,G$232,Base!$A$3:$A$5001,"&gt;="&amp;$C$7,Base!$A$3:$A$5001,"&lt;="&amp;$B250,Base!$Z$3:$Z$5001,"&lt;&gt;")=0,"",SUMIFS(Base!$Z$3:$Z$5001,Base!$B$3:$B$5001,G$232,Base!$A$3:$A$5001,_xlfn.MAXIFS(Base!$A$3:$A$5001,Base!$B$3:$B$5001,G$232,Base!$A$3:$A$5001,"&gt;="&amp;$C$7,Base!$A$3:$A$5001,"&lt;="&amp;$B250,Base!$Z$3:$Z$5001,"&lt;&gt;"))))</f>
        <v/>
      </c>
      <c r="H250" t="str">
        <f>IF($A250&gt;$B$9,"",IF(COUNTIFS(Base!$B$3:$B$5001,H$232,Base!$A$3:$A$5001,"&gt;="&amp;$C$7,Base!$A$3:$A$5001,"&lt;="&amp;$B250,Base!$Z$3:$Z$5001,"&lt;&gt;")=0,"",SUMIFS(Base!$Z$3:$Z$5001,Base!$B$3:$B$5001,H$232,Base!$A$3:$A$5001,_xlfn.MAXIFS(Base!$A$3:$A$5001,Base!$B$3:$B$5001,H$232,Base!$A$3:$A$5001,"&gt;="&amp;$C$7,Base!$A$3:$A$5001,"&lt;="&amp;$B250,Base!$Z$3:$Z$5001,"&lt;&gt;"))))</f>
        <v/>
      </c>
      <c r="I250" t="str">
        <f>IF($A250&gt;$B$9,"",IF(COUNTIFS(Base!$B$3:$B$5001,I$232,Base!$A$3:$A$5001,"&gt;="&amp;$C$7,Base!$A$3:$A$5001,"&lt;="&amp;$B250,Base!$Z$3:$Z$5001,"&lt;&gt;")=0,"",SUMIFS(Base!$Z$3:$Z$5001,Base!$B$3:$B$5001,I$232,Base!$A$3:$A$5001,_xlfn.MAXIFS(Base!$A$3:$A$5001,Base!$B$3:$B$5001,I$232,Base!$A$3:$A$5001,"&gt;="&amp;$C$7,Base!$A$3:$A$5001,"&lt;="&amp;$B250,Base!$Z$3:$Z$5001,"&lt;&gt;"))))</f>
        <v/>
      </c>
      <c r="J250" t="str">
        <f>IF($A250&gt;$B$9,"",IF(COUNTIFS(Base!$B$3:$B$5001,J$232,Base!$A$3:$A$5001,"&gt;="&amp;$C$7,Base!$A$3:$A$5001,"&lt;="&amp;$B250,Base!$Z$3:$Z$5001,"&lt;&gt;")=0,"",SUMIFS(Base!$Z$3:$Z$5001,Base!$B$3:$B$5001,J$232,Base!$A$3:$A$5001,_xlfn.MAXIFS(Base!$A$3:$A$5001,Base!$B$3:$B$5001,J$232,Base!$A$3:$A$5001,"&gt;="&amp;$C$7,Base!$A$3:$A$5001,"&lt;="&amp;$B250,Base!$Z$3:$Z$5001,"&lt;&gt;"))))</f>
        <v/>
      </c>
      <c r="K250" t="str">
        <f>IF($A250&gt;$B$9,"",IF(COUNTIFS(Base!$B$3:$B$5001,K$232,Base!$A$3:$A$5001,"&gt;="&amp;$C$7,Base!$A$3:$A$5001,"&lt;="&amp;$B250,Base!$Z$3:$Z$5001,"&lt;&gt;")=0,"",SUMIFS(Base!$Z$3:$Z$5001,Base!$B$3:$B$5001,K$232,Base!$A$3:$A$5001,_xlfn.MAXIFS(Base!$A$3:$A$5001,Base!$B$3:$B$5001,K$232,Base!$A$3:$A$5001,"&gt;="&amp;$C$7,Base!$A$3:$A$5001,"&lt;="&amp;$B250,Base!$Z$3:$Z$5001,"&lt;&gt;"))))</f>
        <v/>
      </c>
    </row>
    <row r="251">
      <c r="A251">
        <v>19</v>
      </c>
      <c r="B251" s="152">
        <f>$B$30</f>
        <v>46284</v>
      </c>
      <c r="C251" t="str">
        <f>IF($A251&gt;$B$9,"",IF(COUNTIFS(Base!$B$3:$B$5001,C$232,Base!$A$3:$A$5001,"&gt;="&amp;$C$7,Base!$A$3:$A$5001,"&lt;="&amp;$B251,Base!$Z$3:$Z$5001,"&lt;&gt;")=0,"",SUMIFS(Base!$Z$3:$Z$5001,Base!$B$3:$B$5001,C$232,Base!$A$3:$A$5001,_xlfn.MAXIFS(Base!$A$3:$A$5001,Base!$B$3:$B$5001,C$232,Base!$A$3:$A$5001,"&gt;="&amp;$C$7,Base!$A$3:$A$5001,"&lt;="&amp;$B251,Base!$Z$3:$Z$5001,"&lt;&gt;"))))</f>
        <v/>
      </c>
      <c r="D251" t="str">
        <f>IF($A251&gt;$B$9,"",IF(COUNTIFS(Base!$B$3:$B$5001,D$232,Base!$A$3:$A$5001,"&gt;="&amp;$C$7,Base!$A$3:$A$5001,"&lt;="&amp;$B251,Base!$Z$3:$Z$5001,"&lt;&gt;")=0,"",SUMIFS(Base!$Z$3:$Z$5001,Base!$B$3:$B$5001,D$232,Base!$A$3:$A$5001,_xlfn.MAXIFS(Base!$A$3:$A$5001,Base!$B$3:$B$5001,D$232,Base!$A$3:$A$5001,"&gt;="&amp;$C$7,Base!$A$3:$A$5001,"&lt;="&amp;$B251,Base!$Z$3:$Z$5001,"&lt;&gt;"))))</f>
        <v/>
      </c>
      <c r="E251" t="str">
        <f>IF($A251&gt;$B$9,"",IF(COUNTIFS(Base!$B$3:$B$5001,E$232,Base!$A$3:$A$5001,"&gt;="&amp;$C$7,Base!$A$3:$A$5001,"&lt;="&amp;$B251,Base!$Z$3:$Z$5001,"&lt;&gt;")=0,"",SUMIFS(Base!$Z$3:$Z$5001,Base!$B$3:$B$5001,E$232,Base!$A$3:$A$5001,_xlfn.MAXIFS(Base!$A$3:$A$5001,Base!$B$3:$B$5001,E$232,Base!$A$3:$A$5001,"&gt;="&amp;$C$7,Base!$A$3:$A$5001,"&lt;="&amp;$B251,Base!$Z$3:$Z$5001,"&lt;&gt;"))))</f>
        <v/>
      </c>
      <c r="F251" t="str">
        <f>IF($A251&gt;$B$9,"",IF(COUNTIFS(Base!$B$3:$B$5001,F$232,Base!$A$3:$A$5001,"&gt;="&amp;$C$7,Base!$A$3:$A$5001,"&lt;="&amp;$B251,Base!$Z$3:$Z$5001,"&lt;&gt;")=0,"",SUMIFS(Base!$Z$3:$Z$5001,Base!$B$3:$B$5001,F$232,Base!$A$3:$A$5001,_xlfn.MAXIFS(Base!$A$3:$A$5001,Base!$B$3:$B$5001,F$232,Base!$A$3:$A$5001,"&gt;="&amp;$C$7,Base!$A$3:$A$5001,"&lt;="&amp;$B251,Base!$Z$3:$Z$5001,"&lt;&gt;"))))</f>
        <v/>
      </c>
      <c r="G251" t="str">
        <f>IF($A251&gt;$B$9,"",IF(COUNTIFS(Base!$B$3:$B$5001,G$232,Base!$A$3:$A$5001,"&gt;="&amp;$C$7,Base!$A$3:$A$5001,"&lt;="&amp;$B251,Base!$Z$3:$Z$5001,"&lt;&gt;")=0,"",SUMIFS(Base!$Z$3:$Z$5001,Base!$B$3:$B$5001,G$232,Base!$A$3:$A$5001,_xlfn.MAXIFS(Base!$A$3:$A$5001,Base!$B$3:$B$5001,G$232,Base!$A$3:$A$5001,"&gt;="&amp;$C$7,Base!$A$3:$A$5001,"&lt;="&amp;$B251,Base!$Z$3:$Z$5001,"&lt;&gt;"))))</f>
        <v/>
      </c>
      <c r="H251" t="str">
        <f>IF($A251&gt;$B$9,"",IF(COUNTIFS(Base!$B$3:$B$5001,H$232,Base!$A$3:$A$5001,"&gt;="&amp;$C$7,Base!$A$3:$A$5001,"&lt;="&amp;$B251,Base!$Z$3:$Z$5001,"&lt;&gt;")=0,"",SUMIFS(Base!$Z$3:$Z$5001,Base!$B$3:$B$5001,H$232,Base!$A$3:$A$5001,_xlfn.MAXIFS(Base!$A$3:$A$5001,Base!$B$3:$B$5001,H$232,Base!$A$3:$A$5001,"&gt;="&amp;$C$7,Base!$A$3:$A$5001,"&lt;="&amp;$B251,Base!$Z$3:$Z$5001,"&lt;&gt;"))))</f>
        <v/>
      </c>
      <c r="I251" t="str">
        <f>IF($A251&gt;$B$9,"",IF(COUNTIFS(Base!$B$3:$B$5001,I$232,Base!$A$3:$A$5001,"&gt;="&amp;$C$7,Base!$A$3:$A$5001,"&lt;="&amp;$B251,Base!$Z$3:$Z$5001,"&lt;&gt;")=0,"",SUMIFS(Base!$Z$3:$Z$5001,Base!$B$3:$B$5001,I$232,Base!$A$3:$A$5001,_xlfn.MAXIFS(Base!$A$3:$A$5001,Base!$B$3:$B$5001,I$232,Base!$A$3:$A$5001,"&gt;="&amp;$C$7,Base!$A$3:$A$5001,"&lt;="&amp;$B251,Base!$Z$3:$Z$5001,"&lt;&gt;"))))</f>
        <v/>
      </c>
      <c r="J251" t="str">
        <f>IF($A251&gt;$B$9,"",IF(COUNTIFS(Base!$B$3:$B$5001,J$232,Base!$A$3:$A$5001,"&gt;="&amp;$C$7,Base!$A$3:$A$5001,"&lt;="&amp;$B251,Base!$Z$3:$Z$5001,"&lt;&gt;")=0,"",SUMIFS(Base!$Z$3:$Z$5001,Base!$B$3:$B$5001,J$232,Base!$A$3:$A$5001,_xlfn.MAXIFS(Base!$A$3:$A$5001,Base!$B$3:$B$5001,J$232,Base!$A$3:$A$5001,"&gt;="&amp;$C$7,Base!$A$3:$A$5001,"&lt;="&amp;$B251,Base!$Z$3:$Z$5001,"&lt;&gt;"))))</f>
        <v/>
      </c>
      <c r="K251" t="str">
        <f>IF($A251&gt;$B$9,"",IF(COUNTIFS(Base!$B$3:$B$5001,K$232,Base!$A$3:$A$5001,"&gt;="&amp;$C$7,Base!$A$3:$A$5001,"&lt;="&amp;$B251,Base!$Z$3:$Z$5001,"&lt;&gt;")=0,"",SUMIFS(Base!$Z$3:$Z$5001,Base!$B$3:$B$5001,K$232,Base!$A$3:$A$5001,_xlfn.MAXIFS(Base!$A$3:$A$5001,Base!$B$3:$B$5001,K$232,Base!$A$3:$A$5001,"&gt;="&amp;$C$7,Base!$A$3:$A$5001,"&lt;="&amp;$B251,Base!$Z$3:$Z$5001,"&lt;&gt;"))))</f>
        <v/>
      </c>
    </row>
    <row r="252">
      <c r="A252">
        <v>20</v>
      </c>
      <c r="B252" s="152">
        <f>$B$31</f>
        <v>46285</v>
      </c>
      <c r="C252" t="str">
        <f>IF($A252&gt;$B$9,"",IF(COUNTIFS(Base!$B$3:$B$5001,C$232,Base!$A$3:$A$5001,"&gt;="&amp;$C$7,Base!$A$3:$A$5001,"&lt;="&amp;$B252,Base!$Z$3:$Z$5001,"&lt;&gt;")=0,"",SUMIFS(Base!$Z$3:$Z$5001,Base!$B$3:$B$5001,C$232,Base!$A$3:$A$5001,_xlfn.MAXIFS(Base!$A$3:$A$5001,Base!$B$3:$B$5001,C$232,Base!$A$3:$A$5001,"&gt;="&amp;$C$7,Base!$A$3:$A$5001,"&lt;="&amp;$B252,Base!$Z$3:$Z$5001,"&lt;&gt;"))))</f>
        <v/>
      </c>
      <c r="D252" t="str">
        <f>IF($A252&gt;$B$9,"",IF(COUNTIFS(Base!$B$3:$B$5001,D$232,Base!$A$3:$A$5001,"&gt;="&amp;$C$7,Base!$A$3:$A$5001,"&lt;="&amp;$B252,Base!$Z$3:$Z$5001,"&lt;&gt;")=0,"",SUMIFS(Base!$Z$3:$Z$5001,Base!$B$3:$B$5001,D$232,Base!$A$3:$A$5001,_xlfn.MAXIFS(Base!$A$3:$A$5001,Base!$B$3:$B$5001,D$232,Base!$A$3:$A$5001,"&gt;="&amp;$C$7,Base!$A$3:$A$5001,"&lt;="&amp;$B252,Base!$Z$3:$Z$5001,"&lt;&gt;"))))</f>
        <v/>
      </c>
      <c r="E252" t="str">
        <f>IF($A252&gt;$B$9,"",IF(COUNTIFS(Base!$B$3:$B$5001,E$232,Base!$A$3:$A$5001,"&gt;="&amp;$C$7,Base!$A$3:$A$5001,"&lt;="&amp;$B252,Base!$Z$3:$Z$5001,"&lt;&gt;")=0,"",SUMIFS(Base!$Z$3:$Z$5001,Base!$B$3:$B$5001,E$232,Base!$A$3:$A$5001,_xlfn.MAXIFS(Base!$A$3:$A$5001,Base!$B$3:$B$5001,E$232,Base!$A$3:$A$5001,"&gt;="&amp;$C$7,Base!$A$3:$A$5001,"&lt;="&amp;$B252,Base!$Z$3:$Z$5001,"&lt;&gt;"))))</f>
        <v/>
      </c>
      <c r="F252" t="str">
        <f>IF($A252&gt;$B$9,"",IF(COUNTIFS(Base!$B$3:$B$5001,F$232,Base!$A$3:$A$5001,"&gt;="&amp;$C$7,Base!$A$3:$A$5001,"&lt;="&amp;$B252,Base!$Z$3:$Z$5001,"&lt;&gt;")=0,"",SUMIFS(Base!$Z$3:$Z$5001,Base!$B$3:$B$5001,F$232,Base!$A$3:$A$5001,_xlfn.MAXIFS(Base!$A$3:$A$5001,Base!$B$3:$B$5001,F$232,Base!$A$3:$A$5001,"&gt;="&amp;$C$7,Base!$A$3:$A$5001,"&lt;="&amp;$B252,Base!$Z$3:$Z$5001,"&lt;&gt;"))))</f>
        <v/>
      </c>
      <c r="G252" t="str">
        <f>IF($A252&gt;$B$9,"",IF(COUNTIFS(Base!$B$3:$B$5001,G$232,Base!$A$3:$A$5001,"&gt;="&amp;$C$7,Base!$A$3:$A$5001,"&lt;="&amp;$B252,Base!$Z$3:$Z$5001,"&lt;&gt;")=0,"",SUMIFS(Base!$Z$3:$Z$5001,Base!$B$3:$B$5001,G$232,Base!$A$3:$A$5001,_xlfn.MAXIFS(Base!$A$3:$A$5001,Base!$B$3:$B$5001,G$232,Base!$A$3:$A$5001,"&gt;="&amp;$C$7,Base!$A$3:$A$5001,"&lt;="&amp;$B252,Base!$Z$3:$Z$5001,"&lt;&gt;"))))</f>
        <v/>
      </c>
      <c r="H252" t="str">
        <f>IF($A252&gt;$B$9,"",IF(COUNTIFS(Base!$B$3:$B$5001,H$232,Base!$A$3:$A$5001,"&gt;="&amp;$C$7,Base!$A$3:$A$5001,"&lt;="&amp;$B252,Base!$Z$3:$Z$5001,"&lt;&gt;")=0,"",SUMIFS(Base!$Z$3:$Z$5001,Base!$B$3:$B$5001,H$232,Base!$A$3:$A$5001,_xlfn.MAXIFS(Base!$A$3:$A$5001,Base!$B$3:$B$5001,H$232,Base!$A$3:$A$5001,"&gt;="&amp;$C$7,Base!$A$3:$A$5001,"&lt;="&amp;$B252,Base!$Z$3:$Z$5001,"&lt;&gt;"))))</f>
        <v/>
      </c>
      <c r="I252" t="str">
        <f>IF($A252&gt;$B$9,"",IF(COUNTIFS(Base!$B$3:$B$5001,I$232,Base!$A$3:$A$5001,"&gt;="&amp;$C$7,Base!$A$3:$A$5001,"&lt;="&amp;$B252,Base!$Z$3:$Z$5001,"&lt;&gt;")=0,"",SUMIFS(Base!$Z$3:$Z$5001,Base!$B$3:$B$5001,I$232,Base!$A$3:$A$5001,_xlfn.MAXIFS(Base!$A$3:$A$5001,Base!$B$3:$B$5001,I$232,Base!$A$3:$A$5001,"&gt;="&amp;$C$7,Base!$A$3:$A$5001,"&lt;="&amp;$B252,Base!$Z$3:$Z$5001,"&lt;&gt;"))))</f>
        <v/>
      </c>
      <c r="J252" t="str">
        <f>IF($A252&gt;$B$9,"",IF(COUNTIFS(Base!$B$3:$B$5001,J$232,Base!$A$3:$A$5001,"&gt;="&amp;$C$7,Base!$A$3:$A$5001,"&lt;="&amp;$B252,Base!$Z$3:$Z$5001,"&lt;&gt;")=0,"",SUMIFS(Base!$Z$3:$Z$5001,Base!$B$3:$B$5001,J$232,Base!$A$3:$A$5001,_xlfn.MAXIFS(Base!$A$3:$A$5001,Base!$B$3:$B$5001,J$232,Base!$A$3:$A$5001,"&gt;="&amp;$C$7,Base!$A$3:$A$5001,"&lt;="&amp;$B252,Base!$Z$3:$Z$5001,"&lt;&gt;"))))</f>
        <v/>
      </c>
      <c r="K252" t="str">
        <f>IF($A252&gt;$B$9,"",IF(COUNTIFS(Base!$B$3:$B$5001,K$232,Base!$A$3:$A$5001,"&gt;="&amp;$C$7,Base!$A$3:$A$5001,"&lt;="&amp;$B252,Base!$Z$3:$Z$5001,"&lt;&gt;")=0,"",SUMIFS(Base!$Z$3:$Z$5001,Base!$B$3:$B$5001,K$232,Base!$A$3:$A$5001,_xlfn.MAXIFS(Base!$A$3:$A$5001,Base!$B$3:$B$5001,K$232,Base!$A$3:$A$5001,"&gt;="&amp;$C$7,Base!$A$3:$A$5001,"&lt;="&amp;$B252,Base!$Z$3:$Z$5001,"&lt;&gt;"))))</f>
        <v/>
      </c>
    </row>
    <row r="253">
      <c r="A253">
        <v>21</v>
      </c>
      <c r="B253" s="152">
        <f>$B$32</f>
        <v>46286</v>
      </c>
      <c r="C253" t="str">
        <f>IF($A253&gt;$B$9,"",IF(COUNTIFS(Base!$B$3:$B$5001,C$232,Base!$A$3:$A$5001,"&gt;="&amp;$C$7,Base!$A$3:$A$5001,"&lt;="&amp;$B253,Base!$Z$3:$Z$5001,"&lt;&gt;")=0,"",SUMIFS(Base!$Z$3:$Z$5001,Base!$B$3:$B$5001,C$232,Base!$A$3:$A$5001,_xlfn.MAXIFS(Base!$A$3:$A$5001,Base!$B$3:$B$5001,C$232,Base!$A$3:$A$5001,"&gt;="&amp;$C$7,Base!$A$3:$A$5001,"&lt;="&amp;$B253,Base!$Z$3:$Z$5001,"&lt;&gt;"))))</f>
        <v/>
      </c>
      <c r="D253" t="str">
        <f>IF($A253&gt;$B$9,"",IF(COUNTIFS(Base!$B$3:$B$5001,D$232,Base!$A$3:$A$5001,"&gt;="&amp;$C$7,Base!$A$3:$A$5001,"&lt;="&amp;$B253,Base!$Z$3:$Z$5001,"&lt;&gt;")=0,"",SUMIFS(Base!$Z$3:$Z$5001,Base!$B$3:$B$5001,D$232,Base!$A$3:$A$5001,_xlfn.MAXIFS(Base!$A$3:$A$5001,Base!$B$3:$B$5001,D$232,Base!$A$3:$A$5001,"&gt;="&amp;$C$7,Base!$A$3:$A$5001,"&lt;="&amp;$B253,Base!$Z$3:$Z$5001,"&lt;&gt;"))))</f>
        <v/>
      </c>
      <c r="E253" t="str">
        <f>IF($A253&gt;$B$9,"",IF(COUNTIFS(Base!$B$3:$B$5001,E$232,Base!$A$3:$A$5001,"&gt;="&amp;$C$7,Base!$A$3:$A$5001,"&lt;="&amp;$B253,Base!$Z$3:$Z$5001,"&lt;&gt;")=0,"",SUMIFS(Base!$Z$3:$Z$5001,Base!$B$3:$B$5001,E$232,Base!$A$3:$A$5001,_xlfn.MAXIFS(Base!$A$3:$A$5001,Base!$B$3:$B$5001,E$232,Base!$A$3:$A$5001,"&gt;="&amp;$C$7,Base!$A$3:$A$5001,"&lt;="&amp;$B253,Base!$Z$3:$Z$5001,"&lt;&gt;"))))</f>
        <v/>
      </c>
      <c r="F253" t="str">
        <f>IF($A253&gt;$B$9,"",IF(COUNTIFS(Base!$B$3:$B$5001,F$232,Base!$A$3:$A$5001,"&gt;="&amp;$C$7,Base!$A$3:$A$5001,"&lt;="&amp;$B253,Base!$Z$3:$Z$5001,"&lt;&gt;")=0,"",SUMIFS(Base!$Z$3:$Z$5001,Base!$B$3:$B$5001,F$232,Base!$A$3:$A$5001,_xlfn.MAXIFS(Base!$A$3:$A$5001,Base!$B$3:$B$5001,F$232,Base!$A$3:$A$5001,"&gt;="&amp;$C$7,Base!$A$3:$A$5001,"&lt;="&amp;$B253,Base!$Z$3:$Z$5001,"&lt;&gt;"))))</f>
        <v/>
      </c>
      <c r="G253" t="str">
        <f>IF($A253&gt;$B$9,"",IF(COUNTIFS(Base!$B$3:$B$5001,G$232,Base!$A$3:$A$5001,"&gt;="&amp;$C$7,Base!$A$3:$A$5001,"&lt;="&amp;$B253,Base!$Z$3:$Z$5001,"&lt;&gt;")=0,"",SUMIFS(Base!$Z$3:$Z$5001,Base!$B$3:$B$5001,G$232,Base!$A$3:$A$5001,_xlfn.MAXIFS(Base!$A$3:$A$5001,Base!$B$3:$B$5001,G$232,Base!$A$3:$A$5001,"&gt;="&amp;$C$7,Base!$A$3:$A$5001,"&lt;="&amp;$B253,Base!$Z$3:$Z$5001,"&lt;&gt;"))))</f>
        <v/>
      </c>
      <c r="H253" t="str">
        <f>IF($A253&gt;$B$9,"",IF(COUNTIFS(Base!$B$3:$B$5001,H$232,Base!$A$3:$A$5001,"&gt;="&amp;$C$7,Base!$A$3:$A$5001,"&lt;="&amp;$B253,Base!$Z$3:$Z$5001,"&lt;&gt;")=0,"",SUMIFS(Base!$Z$3:$Z$5001,Base!$B$3:$B$5001,H$232,Base!$A$3:$A$5001,_xlfn.MAXIFS(Base!$A$3:$A$5001,Base!$B$3:$B$5001,H$232,Base!$A$3:$A$5001,"&gt;="&amp;$C$7,Base!$A$3:$A$5001,"&lt;="&amp;$B253,Base!$Z$3:$Z$5001,"&lt;&gt;"))))</f>
        <v/>
      </c>
      <c r="I253" t="str">
        <f>IF($A253&gt;$B$9,"",IF(COUNTIFS(Base!$B$3:$B$5001,I$232,Base!$A$3:$A$5001,"&gt;="&amp;$C$7,Base!$A$3:$A$5001,"&lt;="&amp;$B253,Base!$Z$3:$Z$5001,"&lt;&gt;")=0,"",SUMIFS(Base!$Z$3:$Z$5001,Base!$B$3:$B$5001,I$232,Base!$A$3:$A$5001,_xlfn.MAXIFS(Base!$A$3:$A$5001,Base!$B$3:$B$5001,I$232,Base!$A$3:$A$5001,"&gt;="&amp;$C$7,Base!$A$3:$A$5001,"&lt;="&amp;$B253,Base!$Z$3:$Z$5001,"&lt;&gt;"))))</f>
        <v/>
      </c>
      <c r="J253" t="str">
        <f>IF($A253&gt;$B$9,"",IF(COUNTIFS(Base!$B$3:$B$5001,J$232,Base!$A$3:$A$5001,"&gt;="&amp;$C$7,Base!$A$3:$A$5001,"&lt;="&amp;$B253,Base!$Z$3:$Z$5001,"&lt;&gt;")=0,"",SUMIFS(Base!$Z$3:$Z$5001,Base!$B$3:$B$5001,J$232,Base!$A$3:$A$5001,_xlfn.MAXIFS(Base!$A$3:$A$5001,Base!$B$3:$B$5001,J$232,Base!$A$3:$A$5001,"&gt;="&amp;$C$7,Base!$A$3:$A$5001,"&lt;="&amp;$B253,Base!$Z$3:$Z$5001,"&lt;&gt;"))))</f>
        <v/>
      </c>
      <c r="K253" t="str">
        <f>IF($A253&gt;$B$9,"",IF(COUNTIFS(Base!$B$3:$B$5001,K$232,Base!$A$3:$A$5001,"&gt;="&amp;$C$7,Base!$A$3:$A$5001,"&lt;="&amp;$B253,Base!$Z$3:$Z$5001,"&lt;&gt;")=0,"",SUMIFS(Base!$Z$3:$Z$5001,Base!$B$3:$B$5001,K$232,Base!$A$3:$A$5001,_xlfn.MAXIFS(Base!$A$3:$A$5001,Base!$B$3:$B$5001,K$232,Base!$A$3:$A$5001,"&gt;="&amp;$C$7,Base!$A$3:$A$5001,"&lt;="&amp;$B253,Base!$Z$3:$Z$5001,"&lt;&gt;"))))</f>
        <v/>
      </c>
    </row>
    <row r="254">
      <c r="A254">
        <v>22</v>
      </c>
      <c r="B254" s="152">
        <f>$B$33</f>
        <v>46287</v>
      </c>
      <c r="C254" t="str">
        <f>IF($A254&gt;$B$9,"",IF(COUNTIFS(Base!$B$3:$B$5001,C$232,Base!$A$3:$A$5001,"&gt;="&amp;$C$7,Base!$A$3:$A$5001,"&lt;="&amp;$B254,Base!$Z$3:$Z$5001,"&lt;&gt;")=0,"",SUMIFS(Base!$Z$3:$Z$5001,Base!$B$3:$B$5001,C$232,Base!$A$3:$A$5001,_xlfn.MAXIFS(Base!$A$3:$A$5001,Base!$B$3:$B$5001,C$232,Base!$A$3:$A$5001,"&gt;="&amp;$C$7,Base!$A$3:$A$5001,"&lt;="&amp;$B254,Base!$Z$3:$Z$5001,"&lt;&gt;"))))</f>
        <v/>
      </c>
      <c r="D254" t="str">
        <f>IF($A254&gt;$B$9,"",IF(COUNTIFS(Base!$B$3:$B$5001,D$232,Base!$A$3:$A$5001,"&gt;="&amp;$C$7,Base!$A$3:$A$5001,"&lt;="&amp;$B254,Base!$Z$3:$Z$5001,"&lt;&gt;")=0,"",SUMIFS(Base!$Z$3:$Z$5001,Base!$B$3:$B$5001,D$232,Base!$A$3:$A$5001,_xlfn.MAXIFS(Base!$A$3:$A$5001,Base!$B$3:$B$5001,D$232,Base!$A$3:$A$5001,"&gt;="&amp;$C$7,Base!$A$3:$A$5001,"&lt;="&amp;$B254,Base!$Z$3:$Z$5001,"&lt;&gt;"))))</f>
        <v/>
      </c>
      <c r="E254" t="str">
        <f>IF($A254&gt;$B$9,"",IF(COUNTIFS(Base!$B$3:$B$5001,E$232,Base!$A$3:$A$5001,"&gt;="&amp;$C$7,Base!$A$3:$A$5001,"&lt;="&amp;$B254,Base!$Z$3:$Z$5001,"&lt;&gt;")=0,"",SUMIFS(Base!$Z$3:$Z$5001,Base!$B$3:$B$5001,E$232,Base!$A$3:$A$5001,_xlfn.MAXIFS(Base!$A$3:$A$5001,Base!$B$3:$B$5001,E$232,Base!$A$3:$A$5001,"&gt;="&amp;$C$7,Base!$A$3:$A$5001,"&lt;="&amp;$B254,Base!$Z$3:$Z$5001,"&lt;&gt;"))))</f>
        <v/>
      </c>
      <c r="F254" t="str">
        <f>IF($A254&gt;$B$9,"",IF(COUNTIFS(Base!$B$3:$B$5001,F$232,Base!$A$3:$A$5001,"&gt;="&amp;$C$7,Base!$A$3:$A$5001,"&lt;="&amp;$B254,Base!$Z$3:$Z$5001,"&lt;&gt;")=0,"",SUMIFS(Base!$Z$3:$Z$5001,Base!$B$3:$B$5001,F$232,Base!$A$3:$A$5001,_xlfn.MAXIFS(Base!$A$3:$A$5001,Base!$B$3:$B$5001,F$232,Base!$A$3:$A$5001,"&gt;="&amp;$C$7,Base!$A$3:$A$5001,"&lt;="&amp;$B254,Base!$Z$3:$Z$5001,"&lt;&gt;"))))</f>
        <v/>
      </c>
      <c r="G254" t="str">
        <f>IF($A254&gt;$B$9,"",IF(COUNTIFS(Base!$B$3:$B$5001,G$232,Base!$A$3:$A$5001,"&gt;="&amp;$C$7,Base!$A$3:$A$5001,"&lt;="&amp;$B254,Base!$Z$3:$Z$5001,"&lt;&gt;")=0,"",SUMIFS(Base!$Z$3:$Z$5001,Base!$B$3:$B$5001,G$232,Base!$A$3:$A$5001,_xlfn.MAXIFS(Base!$A$3:$A$5001,Base!$B$3:$B$5001,G$232,Base!$A$3:$A$5001,"&gt;="&amp;$C$7,Base!$A$3:$A$5001,"&lt;="&amp;$B254,Base!$Z$3:$Z$5001,"&lt;&gt;"))))</f>
        <v/>
      </c>
      <c r="H254" t="str">
        <f>IF($A254&gt;$B$9,"",IF(COUNTIFS(Base!$B$3:$B$5001,H$232,Base!$A$3:$A$5001,"&gt;="&amp;$C$7,Base!$A$3:$A$5001,"&lt;="&amp;$B254,Base!$Z$3:$Z$5001,"&lt;&gt;")=0,"",SUMIFS(Base!$Z$3:$Z$5001,Base!$B$3:$B$5001,H$232,Base!$A$3:$A$5001,_xlfn.MAXIFS(Base!$A$3:$A$5001,Base!$B$3:$B$5001,H$232,Base!$A$3:$A$5001,"&gt;="&amp;$C$7,Base!$A$3:$A$5001,"&lt;="&amp;$B254,Base!$Z$3:$Z$5001,"&lt;&gt;"))))</f>
        <v/>
      </c>
      <c r="I254" t="str">
        <f>IF($A254&gt;$B$9,"",IF(COUNTIFS(Base!$B$3:$B$5001,I$232,Base!$A$3:$A$5001,"&gt;="&amp;$C$7,Base!$A$3:$A$5001,"&lt;="&amp;$B254,Base!$Z$3:$Z$5001,"&lt;&gt;")=0,"",SUMIFS(Base!$Z$3:$Z$5001,Base!$B$3:$B$5001,I$232,Base!$A$3:$A$5001,_xlfn.MAXIFS(Base!$A$3:$A$5001,Base!$B$3:$B$5001,I$232,Base!$A$3:$A$5001,"&gt;="&amp;$C$7,Base!$A$3:$A$5001,"&lt;="&amp;$B254,Base!$Z$3:$Z$5001,"&lt;&gt;"))))</f>
        <v/>
      </c>
      <c r="J254" t="str">
        <f>IF($A254&gt;$B$9,"",IF(COUNTIFS(Base!$B$3:$B$5001,J$232,Base!$A$3:$A$5001,"&gt;="&amp;$C$7,Base!$A$3:$A$5001,"&lt;="&amp;$B254,Base!$Z$3:$Z$5001,"&lt;&gt;")=0,"",SUMIFS(Base!$Z$3:$Z$5001,Base!$B$3:$B$5001,J$232,Base!$A$3:$A$5001,_xlfn.MAXIFS(Base!$A$3:$A$5001,Base!$B$3:$B$5001,J$232,Base!$A$3:$A$5001,"&gt;="&amp;$C$7,Base!$A$3:$A$5001,"&lt;="&amp;$B254,Base!$Z$3:$Z$5001,"&lt;&gt;"))))</f>
        <v/>
      </c>
      <c r="K254" t="str">
        <f>IF($A254&gt;$B$9,"",IF(COUNTIFS(Base!$B$3:$B$5001,K$232,Base!$A$3:$A$5001,"&gt;="&amp;$C$7,Base!$A$3:$A$5001,"&lt;="&amp;$B254,Base!$Z$3:$Z$5001,"&lt;&gt;")=0,"",SUMIFS(Base!$Z$3:$Z$5001,Base!$B$3:$B$5001,K$232,Base!$A$3:$A$5001,_xlfn.MAXIFS(Base!$A$3:$A$5001,Base!$B$3:$B$5001,K$232,Base!$A$3:$A$5001,"&gt;="&amp;$C$7,Base!$A$3:$A$5001,"&lt;="&amp;$B254,Base!$Z$3:$Z$5001,"&lt;&gt;"))))</f>
        <v/>
      </c>
    </row>
    <row r="255">
      <c r="A255">
        <v>23</v>
      </c>
      <c r="B255" s="152">
        <f>$B$34</f>
        <v>46288</v>
      </c>
      <c r="C255" t="str">
        <f>IF($A255&gt;$B$9,"",IF(COUNTIFS(Base!$B$3:$B$5001,C$232,Base!$A$3:$A$5001,"&gt;="&amp;$C$7,Base!$A$3:$A$5001,"&lt;="&amp;$B255,Base!$Z$3:$Z$5001,"&lt;&gt;")=0,"",SUMIFS(Base!$Z$3:$Z$5001,Base!$B$3:$B$5001,C$232,Base!$A$3:$A$5001,_xlfn.MAXIFS(Base!$A$3:$A$5001,Base!$B$3:$B$5001,C$232,Base!$A$3:$A$5001,"&gt;="&amp;$C$7,Base!$A$3:$A$5001,"&lt;="&amp;$B255,Base!$Z$3:$Z$5001,"&lt;&gt;"))))</f>
        <v/>
      </c>
      <c r="D255" t="str">
        <f>IF($A255&gt;$B$9,"",IF(COUNTIFS(Base!$B$3:$B$5001,D$232,Base!$A$3:$A$5001,"&gt;="&amp;$C$7,Base!$A$3:$A$5001,"&lt;="&amp;$B255,Base!$Z$3:$Z$5001,"&lt;&gt;")=0,"",SUMIFS(Base!$Z$3:$Z$5001,Base!$B$3:$B$5001,D$232,Base!$A$3:$A$5001,_xlfn.MAXIFS(Base!$A$3:$A$5001,Base!$B$3:$B$5001,D$232,Base!$A$3:$A$5001,"&gt;="&amp;$C$7,Base!$A$3:$A$5001,"&lt;="&amp;$B255,Base!$Z$3:$Z$5001,"&lt;&gt;"))))</f>
        <v/>
      </c>
      <c r="E255" t="str">
        <f>IF($A255&gt;$B$9,"",IF(COUNTIFS(Base!$B$3:$B$5001,E$232,Base!$A$3:$A$5001,"&gt;="&amp;$C$7,Base!$A$3:$A$5001,"&lt;="&amp;$B255,Base!$Z$3:$Z$5001,"&lt;&gt;")=0,"",SUMIFS(Base!$Z$3:$Z$5001,Base!$B$3:$B$5001,E$232,Base!$A$3:$A$5001,_xlfn.MAXIFS(Base!$A$3:$A$5001,Base!$B$3:$B$5001,E$232,Base!$A$3:$A$5001,"&gt;="&amp;$C$7,Base!$A$3:$A$5001,"&lt;="&amp;$B255,Base!$Z$3:$Z$5001,"&lt;&gt;"))))</f>
        <v/>
      </c>
      <c r="F255" t="str">
        <f>IF($A255&gt;$B$9,"",IF(COUNTIFS(Base!$B$3:$B$5001,F$232,Base!$A$3:$A$5001,"&gt;="&amp;$C$7,Base!$A$3:$A$5001,"&lt;="&amp;$B255,Base!$Z$3:$Z$5001,"&lt;&gt;")=0,"",SUMIFS(Base!$Z$3:$Z$5001,Base!$B$3:$B$5001,F$232,Base!$A$3:$A$5001,_xlfn.MAXIFS(Base!$A$3:$A$5001,Base!$B$3:$B$5001,F$232,Base!$A$3:$A$5001,"&gt;="&amp;$C$7,Base!$A$3:$A$5001,"&lt;="&amp;$B255,Base!$Z$3:$Z$5001,"&lt;&gt;"))))</f>
        <v/>
      </c>
      <c r="G255" t="str">
        <f>IF($A255&gt;$B$9,"",IF(COUNTIFS(Base!$B$3:$B$5001,G$232,Base!$A$3:$A$5001,"&gt;="&amp;$C$7,Base!$A$3:$A$5001,"&lt;="&amp;$B255,Base!$Z$3:$Z$5001,"&lt;&gt;")=0,"",SUMIFS(Base!$Z$3:$Z$5001,Base!$B$3:$B$5001,G$232,Base!$A$3:$A$5001,_xlfn.MAXIFS(Base!$A$3:$A$5001,Base!$B$3:$B$5001,G$232,Base!$A$3:$A$5001,"&gt;="&amp;$C$7,Base!$A$3:$A$5001,"&lt;="&amp;$B255,Base!$Z$3:$Z$5001,"&lt;&gt;"))))</f>
        <v/>
      </c>
      <c r="H255" t="str">
        <f>IF($A255&gt;$B$9,"",IF(COUNTIFS(Base!$B$3:$B$5001,H$232,Base!$A$3:$A$5001,"&gt;="&amp;$C$7,Base!$A$3:$A$5001,"&lt;="&amp;$B255,Base!$Z$3:$Z$5001,"&lt;&gt;")=0,"",SUMIFS(Base!$Z$3:$Z$5001,Base!$B$3:$B$5001,H$232,Base!$A$3:$A$5001,_xlfn.MAXIFS(Base!$A$3:$A$5001,Base!$B$3:$B$5001,H$232,Base!$A$3:$A$5001,"&gt;="&amp;$C$7,Base!$A$3:$A$5001,"&lt;="&amp;$B255,Base!$Z$3:$Z$5001,"&lt;&gt;"))))</f>
        <v/>
      </c>
      <c r="I255" t="str">
        <f>IF($A255&gt;$B$9,"",IF(COUNTIFS(Base!$B$3:$B$5001,I$232,Base!$A$3:$A$5001,"&gt;="&amp;$C$7,Base!$A$3:$A$5001,"&lt;="&amp;$B255,Base!$Z$3:$Z$5001,"&lt;&gt;")=0,"",SUMIFS(Base!$Z$3:$Z$5001,Base!$B$3:$B$5001,I$232,Base!$A$3:$A$5001,_xlfn.MAXIFS(Base!$A$3:$A$5001,Base!$B$3:$B$5001,I$232,Base!$A$3:$A$5001,"&gt;="&amp;$C$7,Base!$A$3:$A$5001,"&lt;="&amp;$B255,Base!$Z$3:$Z$5001,"&lt;&gt;"))))</f>
        <v/>
      </c>
      <c r="J255" t="str">
        <f>IF($A255&gt;$B$9,"",IF(COUNTIFS(Base!$B$3:$B$5001,J$232,Base!$A$3:$A$5001,"&gt;="&amp;$C$7,Base!$A$3:$A$5001,"&lt;="&amp;$B255,Base!$Z$3:$Z$5001,"&lt;&gt;")=0,"",SUMIFS(Base!$Z$3:$Z$5001,Base!$B$3:$B$5001,J$232,Base!$A$3:$A$5001,_xlfn.MAXIFS(Base!$A$3:$A$5001,Base!$B$3:$B$5001,J$232,Base!$A$3:$A$5001,"&gt;="&amp;$C$7,Base!$A$3:$A$5001,"&lt;="&amp;$B255,Base!$Z$3:$Z$5001,"&lt;&gt;"))))</f>
        <v/>
      </c>
      <c r="K255" t="str">
        <f>IF($A255&gt;$B$9,"",IF(COUNTIFS(Base!$B$3:$B$5001,K$232,Base!$A$3:$A$5001,"&gt;="&amp;$C$7,Base!$A$3:$A$5001,"&lt;="&amp;$B255,Base!$Z$3:$Z$5001,"&lt;&gt;")=0,"",SUMIFS(Base!$Z$3:$Z$5001,Base!$B$3:$B$5001,K$232,Base!$A$3:$A$5001,_xlfn.MAXIFS(Base!$A$3:$A$5001,Base!$B$3:$B$5001,K$232,Base!$A$3:$A$5001,"&gt;="&amp;$C$7,Base!$A$3:$A$5001,"&lt;="&amp;$B255,Base!$Z$3:$Z$5001,"&lt;&gt;"))))</f>
        <v/>
      </c>
    </row>
    <row r="256">
      <c r="A256">
        <v>24</v>
      </c>
      <c r="B256" s="152">
        <f>$B$35</f>
        <v>46289</v>
      </c>
      <c r="C256" t="str">
        <f>IF($A256&gt;$B$9,"",IF(COUNTIFS(Base!$B$3:$B$5001,C$232,Base!$A$3:$A$5001,"&gt;="&amp;$C$7,Base!$A$3:$A$5001,"&lt;="&amp;$B256,Base!$Z$3:$Z$5001,"&lt;&gt;")=0,"",SUMIFS(Base!$Z$3:$Z$5001,Base!$B$3:$B$5001,C$232,Base!$A$3:$A$5001,_xlfn.MAXIFS(Base!$A$3:$A$5001,Base!$B$3:$B$5001,C$232,Base!$A$3:$A$5001,"&gt;="&amp;$C$7,Base!$A$3:$A$5001,"&lt;="&amp;$B256,Base!$Z$3:$Z$5001,"&lt;&gt;"))))</f>
        <v/>
      </c>
      <c r="D256" t="str">
        <f>IF($A256&gt;$B$9,"",IF(COUNTIFS(Base!$B$3:$B$5001,D$232,Base!$A$3:$A$5001,"&gt;="&amp;$C$7,Base!$A$3:$A$5001,"&lt;="&amp;$B256,Base!$Z$3:$Z$5001,"&lt;&gt;")=0,"",SUMIFS(Base!$Z$3:$Z$5001,Base!$B$3:$B$5001,D$232,Base!$A$3:$A$5001,_xlfn.MAXIFS(Base!$A$3:$A$5001,Base!$B$3:$B$5001,D$232,Base!$A$3:$A$5001,"&gt;="&amp;$C$7,Base!$A$3:$A$5001,"&lt;="&amp;$B256,Base!$Z$3:$Z$5001,"&lt;&gt;"))))</f>
        <v/>
      </c>
      <c r="E256" t="str">
        <f>IF($A256&gt;$B$9,"",IF(COUNTIFS(Base!$B$3:$B$5001,E$232,Base!$A$3:$A$5001,"&gt;="&amp;$C$7,Base!$A$3:$A$5001,"&lt;="&amp;$B256,Base!$Z$3:$Z$5001,"&lt;&gt;")=0,"",SUMIFS(Base!$Z$3:$Z$5001,Base!$B$3:$B$5001,E$232,Base!$A$3:$A$5001,_xlfn.MAXIFS(Base!$A$3:$A$5001,Base!$B$3:$B$5001,E$232,Base!$A$3:$A$5001,"&gt;="&amp;$C$7,Base!$A$3:$A$5001,"&lt;="&amp;$B256,Base!$Z$3:$Z$5001,"&lt;&gt;"))))</f>
        <v/>
      </c>
      <c r="F256" t="str">
        <f>IF($A256&gt;$B$9,"",IF(COUNTIFS(Base!$B$3:$B$5001,F$232,Base!$A$3:$A$5001,"&gt;="&amp;$C$7,Base!$A$3:$A$5001,"&lt;="&amp;$B256,Base!$Z$3:$Z$5001,"&lt;&gt;")=0,"",SUMIFS(Base!$Z$3:$Z$5001,Base!$B$3:$B$5001,F$232,Base!$A$3:$A$5001,_xlfn.MAXIFS(Base!$A$3:$A$5001,Base!$B$3:$B$5001,F$232,Base!$A$3:$A$5001,"&gt;="&amp;$C$7,Base!$A$3:$A$5001,"&lt;="&amp;$B256,Base!$Z$3:$Z$5001,"&lt;&gt;"))))</f>
        <v/>
      </c>
      <c r="G256" t="str">
        <f>IF($A256&gt;$B$9,"",IF(COUNTIFS(Base!$B$3:$B$5001,G$232,Base!$A$3:$A$5001,"&gt;="&amp;$C$7,Base!$A$3:$A$5001,"&lt;="&amp;$B256,Base!$Z$3:$Z$5001,"&lt;&gt;")=0,"",SUMIFS(Base!$Z$3:$Z$5001,Base!$B$3:$B$5001,G$232,Base!$A$3:$A$5001,_xlfn.MAXIFS(Base!$A$3:$A$5001,Base!$B$3:$B$5001,G$232,Base!$A$3:$A$5001,"&gt;="&amp;$C$7,Base!$A$3:$A$5001,"&lt;="&amp;$B256,Base!$Z$3:$Z$5001,"&lt;&gt;"))))</f>
        <v/>
      </c>
      <c r="H256" t="str">
        <f>IF($A256&gt;$B$9,"",IF(COUNTIFS(Base!$B$3:$B$5001,H$232,Base!$A$3:$A$5001,"&gt;="&amp;$C$7,Base!$A$3:$A$5001,"&lt;="&amp;$B256,Base!$Z$3:$Z$5001,"&lt;&gt;")=0,"",SUMIFS(Base!$Z$3:$Z$5001,Base!$B$3:$B$5001,H$232,Base!$A$3:$A$5001,_xlfn.MAXIFS(Base!$A$3:$A$5001,Base!$B$3:$B$5001,H$232,Base!$A$3:$A$5001,"&gt;="&amp;$C$7,Base!$A$3:$A$5001,"&lt;="&amp;$B256,Base!$Z$3:$Z$5001,"&lt;&gt;"))))</f>
        <v/>
      </c>
      <c r="I256" t="str">
        <f>IF($A256&gt;$B$9,"",IF(COUNTIFS(Base!$B$3:$B$5001,I$232,Base!$A$3:$A$5001,"&gt;="&amp;$C$7,Base!$A$3:$A$5001,"&lt;="&amp;$B256,Base!$Z$3:$Z$5001,"&lt;&gt;")=0,"",SUMIFS(Base!$Z$3:$Z$5001,Base!$B$3:$B$5001,I$232,Base!$A$3:$A$5001,_xlfn.MAXIFS(Base!$A$3:$A$5001,Base!$B$3:$B$5001,I$232,Base!$A$3:$A$5001,"&gt;="&amp;$C$7,Base!$A$3:$A$5001,"&lt;="&amp;$B256,Base!$Z$3:$Z$5001,"&lt;&gt;"))))</f>
        <v/>
      </c>
      <c r="J256" t="str">
        <f>IF($A256&gt;$B$9,"",IF(COUNTIFS(Base!$B$3:$B$5001,J$232,Base!$A$3:$A$5001,"&gt;="&amp;$C$7,Base!$A$3:$A$5001,"&lt;="&amp;$B256,Base!$Z$3:$Z$5001,"&lt;&gt;")=0,"",SUMIFS(Base!$Z$3:$Z$5001,Base!$B$3:$B$5001,J$232,Base!$A$3:$A$5001,_xlfn.MAXIFS(Base!$A$3:$A$5001,Base!$B$3:$B$5001,J$232,Base!$A$3:$A$5001,"&gt;="&amp;$C$7,Base!$A$3:$A$5001,"&lt;="&amp;$B256,Base!$Z$3:$Z$5001,"&lt;&gt;"))))</f>
        <v/>
      </c>
      <c r="K256" t="str">
        <f>IF($A256&gt;$B$9,"",IF(COUNTIFS(Base!$B$3:$B$5001,K$232,Base!$A$3:$A$5001,"&gt;="&amp;$C$7,Base!$A$3:$A$5001,"&lt;="&amp;$B256,Base!$Z$3:$Z$5001,"&lt;&gt;")=0,"",SUMIFS(Base!$Z$3:$Z$5001,Base!$B$3:$B$5001,K$232,Base!$A$3:$A$5001,_xlfn.MAXIFS(Base!$A$3:$A$5001,Base!$B$3:$B$5001,K$232,Base!$A$3:$A$5001,"&gt;="&amp;$C$7,Base!$A$3:$A$5001,"&lt;="&amp;$B256,Base!$Z$3:$Z$5001,"&lt;&gt;"))))</f>
        <v/>
      </c>
    </row>
    <row r="257">
      <c r="A257">
        <v>25</v>
      </c>
      <c r="B257" s="152">
        <f>$B$36</f>
        <v>46290</v>
      </c>
      <c r="C257" t="str">
        <f>IF($A257&gt;$B$9,"",IF(COUNTIFS(Base!$B$3:$B$5001,C$232,Base!$A$3:$A$5001,"&gt;="&amp;$C$7,Base!$A$3:$A$5001,"&lt;="&amp;$B257,Base!$Z$3:$Z$5001,"&lt;&gt;")=0,"",SUMIFS(Base!$Z$3:$Z$5001,Base!$B$3:$B$5001,C$232,Base!$A$3:$A$5001,_xlfn.MAXIFS(Base!$A$3:$A$5001,Base!$B$3:$B$5001,C$232,Base!$A$3:$A$5001,"&gt;="&amp;$C$7,Base!$A$3:$A$5001,"&lt;="&amp;$B257,Base!$Z$3:$Z$5001,"&lt;&gt;"))))</f>
        <v/>
      </c>
      <c r="D257" t="str">
        <f>IF($A257&gt;$B$9,"",IF(COUNTIFS(Base!$B$3:$B$5001,D$232,Base!$A$3:$A$5001,"&gt;="&amp;$C$7,Base!$A$3:$A$5001,"&lt;="&amp;$B257,Base!$Z$3:$Z$5001,"&lt;&gt;")=0,"",SUMIFS(Base!$Z$3:$Z$5001,Base!$B$3:$B$5001,D$232,Base!$A$3:$A$5001,_xlfn.MAXIFS(Base!$A$3:$A$5001,Base!$B$3:$B$5001,D$232,Base!$A$3:$A$5001,"&gt;="&amp;$C$7,Base!$A$3:$A$5001,"&lt;="&amp;$B257,Base!$Z$3:$Z$5001,"&lt;&gt;"))))</f>
        <v/>
      </c>
      <c r="E257" t="str">
        <f>IF($A257&gt;$B$9,"",IF(COUNTIFS(Base!$B$3:$B$5001,E$232,Base!$A$3:$A$5001,"&gt;="&amp;$C$7,Base!$A$3:$A$5001,"&lt;="&amp;$B257,Base!$Z$3:$Z$5001,"&lt;&gt;")=0,"",SUMIFS(Base!$Z$3:$Z$5001,Base!$B$3:$B$5001,E$232,Base!$A$3:$A$5001,_xlfn.MAXIFS(Base!$A$3:$A$5001,Base!$B$3:$B$5001,E$232,Base!$A$3:$A$5001,"&gt;="&amp;$C$7,Base!$A$3:$A$5001,"&lt;="&amp;$B257,Base!$Z$3:$Z$5001,"&lt;&gt;"))))</f>
        <v/>
      </c>
      <c r="F257" t="str">
        <f>IF($A257&gt;$B$9,"",IF(COUNTIFS(Base!$B$3:$B$5001,F$232,Base!$A$3:$A$5001,"&gt;="&amp;$C$7,Base!$A$3:$A$5001,"&lt;="&amp;$B257,Base!$Z$3:$Z$5001,"&lt;&gt;")=0,"",SUMIFS(Base!$Z$3:$Z$5001,Base!$B$3:$B$5001,F$232,Base!$A$3:$A$5001,_xlfn.MAXIFS(Base!$A$3:$A$5001,Base!$B$3:$B$5001,F$232,Base!$A$3:$A$5001,"&gt;="&amp;$C$7,Base!$A$3:$A$5001,"&lt;="&amp;$B257,Base!$Z$3:$Z$5001,"&lt;&gt;"))))</f>
        <v/>
      </c>
      <c r="G257" t="str">
        <f>IF($A257&gt;$B$9,"",IF(COUNTIFS(Base!$B$3:$B$5001,G$232,Base!$A$3:$A$5001,"&gt;="&amp;$C$7,Base!$A$3:$A$5001,"&lt;="&amp;$B257,Base!$Z$3:$Z$5001,"&lt;&gt;")=0,"",SUMIFS(Base!$Z$3:$Z$5001,Base!$B$3:$B$5001,G$232,Base!$A$3:$A$5001,_xlfn.MAXIFS(Base!$A$3:$A$5001,Base!$B$3:$B$5001,G$232,Base!$A$3:$A$5001,"&gt;="&amp;$C$7,Base!$A$3:$A$5001,"&lt;="&amp;$B257,Base!$Z$3:$Z$5001,"&lt;&gt;"))))</f>
        <v/>
      </c>
      <c r="H257" t="str">
        <f>IF($A257&gt;$B$9,"",IF(COUNTIFS(Base!$B$3:$B$5001,H$232,Base!$A$3:$A$5001,"&gt;="&amp;$C$7,Base!$A$3:$A$5001,"&lt;="&amp;$B257,Base!$Z$3:$Z$5001,"&lt;&gt;")=0,"",SUMIFS(Base!$Z$3:$Z$5001,Base!$B$3:$B$5001,H$232,Base!$A$3:$A$5001,_xlfn.MAXIFS(Base!$A$3:$A$5001,Base!$B$3:$B$5001,H$232,Base!$A$3:$A$5001,"&gt;="&amp;$C$7,Base!$A$3:$A$5001,"&lt;="&amp;$B257,Base!$Z$3:$Z$5001,"&lt;&gt;"))))</f>
        <v/>
      </c>
      <c r="I257" t="str">
        <f>IF($A257&gt;$B$9,"",IF(COUNTIFS(Base!$B$3:$B$5001,I$232,Base!$A$3:$A$5001,"&gt;="&amp;$C$7,Base!$A$3:$A$5001,"&lt;="&amp;$B257,Base!$Z$3:$Z$5001,"&lt;&gt;")=0,"",SUMIFS(Base!$Z$3:$Z$5001,Base!$B$3:$B$5001,I$232,Base!$A$3:$A$5001,_xlfn.MAXIFS(Base!$A$3:$A$5001,Base!$B$3:$B$5001,I$232,Base!$A$3:$A$5001,"&gt;="&amp;$C$7,Base!$A$3:$A$5001,"&lt;="&amp;$B257,Base!$Z$3:$Z$5001,"&lt;&gt;"))))</f>
        <v/>
      </c>
      <c r="J257" t="str">
        <f>IF($A257&gt;$B$9,"",IF(COUNTIFS(Base!$B$3:$B$5001,J$232,Base!$A$3:$A$5001,"&gt;="&amp;$C$7,Base!$A$3:$A$5001,"&lt;="&amp;$B257,Base!$Z$3:$Z$5001,"&lt;&gt;")=0,"",SUMIFS(Base!$Z$3:$Z$5001,Base!$B$3:$B$5001,J$232,Base!$A$3:$A$5001,_xlfn.MAXIFS(Base!$A$3:$A$5001,Base!$B$3:$B$5001,J$232,Base!$A$3:$A$5001,"&gt;="&amp;$C$7,Base!$A$3:$A$5001,"&lt;="&amp;$B257,Base!$Z$3:$Z$5001,"&lt;&gt;"))))</f>
        <v/>
      </c>
      <c r="K257" t="str">
        <f>IF($A257&gt;$B$9,"",IF(COUNTIFS(Base!$B$3:$B$5001,K$232,Base!$A$3:$A$5001,"&gt;="&amp;$C$7,Base!$A$3:$A$5001,"&lt;="&amp;$B257,Base!$Z$3:$Z$5001,"&lt;&gt;")=0,"",SUMIFS(Base!$Z$3:$Z$5001,Base!$B$3:$B$5001,K$232,Base!$A$3:$A$5001,_xlfn.MAXIFS(Base!$A$3:$A$5001,Base!$B$3:$B$5001,K$232,Base!$A$3:$A$5001,"&gt;="&amp;$C$7,Base!$A$3:$A$5001,"&lt;="&amp;$B257,Base!$Z$3:$Z$5001,"&lt;&gt;"))))</f>
        <v/>
      </c>
    </row>
    <row r="258">
      <c r="A258">
        <v>26</v>
      </c>
      <c r="B258" s="152">
        <f>$B$37</f>
        <v>46291</v>
      </c>
      <c r="C258" t="str">
        <f>IF($A258&gt;$B$9,"",IF(COUNTIFS(Base!$B$3:$B$5001,C$232,Base!$A$3:$A$5001,"&gt;="&amp;$C$7,Base!$A$3:$A$5001,"&lt;="&amp;$B258,Base!$Z$3:$Z$5001,"&lt;&gt;")=0,"",SUMIFS(Base!$Z$3:$Z$5001,Base!$B$3:$B$5001,C$232,Base!$A$3:$A$5001,_xlfn.MAXIFS(Base!$A$3:$A$5001,Base!$B$3:$B$5001,C$232,Base!$A$3:$A$5001,"&gt;="&amp;$C$7,Base!$A$3:$A$5001,"&lt;="&amp;$B258,Base!$Z$3:$Z$5001,"&lt;&gt;"))))</f>
        <v/>
      </c>
      <c r="D258" t="str">
        <f>IF($A258&gt;$B$9,"",IF(COUNTIFS(Base!$B$3:$B$5001,D$232,Base!$A$3:$A$5001,"&gt;="&amp;$C$7,Base!$A$3:$A$5001,"&lt;="&amp;$B258,Base!$Z$3:$Z$5001,"&lt;&gt;")=0,"",SUMIFS(Base!$Z$3:$Z$5001,Base!$B$3:$B$5001,D$232,Base!$A$3:$A$5001,_xlfn.MAXIFS(Base!$A$3:$A$5001,Base!$B$3:$B$5001,D$232,Base!$A$3:$A$5001,"&gt;="&amp;$C$7,Base!$A$3:$A$5001,"&lt;="&amp;$B258,Base!$Z$3:$Z$5001,"&lt;&gt;"))))</f>
        <v/>
      </c>
      <c r="E258" t="str">
        <f>IF($A258&gt;$B$9,"",IF(COUNTIFS(Base!$B$3:$B$5001,E$232,Base!$A$3:$A$5001,"&gt;="&amp;$C$7,Base!$A$3:$A$5001,"&lt;="&amp;$B258,Base!$Z$3:$Z$5001,"&lt;&gt;")=0,"",SUMIFS(Base!$Z$3:$Z$5001,Base!$B$3:$B$5001,E$232,Base!$A$3:$A$5001,_xlfn.MAXIFS(Base!$A$3:$A$5001,Base!$B$3:$B$5001,E$232,Base!$A$3:$A$5001,"&gt;="&amp;$C$7,Base!$A$3:$A$5001,"&lt;="&amp;$B258,Base!$Z$3:$Z$5001,"&lt;&gt;"))))</f>
        <v/>
      </c>
      <c r="F258" t="str">
        <f>IF($A258&gt;$B$9,"",IF(COUNTIFS(Base!$B$3:$B$5001,F$232,Base!$A$3:$A$5001,"&gt;="&amp;$C$7,Base!$A$3:$A$5001,"&lt;="&amp;$B258,Base!$Z$3:$Z$5001,"&lt;&gt;")=0,"",SUMIFS(Base!$Z$3:$Z$5001,Base!$B$3:$B$5001,F$232,Base!$A$3:$A$5001,_xlfn.MAXIFS(Base!$A$3:$A$5001,Base!$B$3:$B$5001,F$232,Base!$A$3:$A$5001,"&gt;="&amp;$C$7,Base!$A$3:$A$5001,"&lt;="&amp;$B258,Base!$Z$3:$Z$5001,"&lt;&gt;"))))</f>
        <v/>
      </c>
      <c r="G258" t="str">
        <f>IF($A258&gt;$B$9,"",IF(COUNTIFS(Base!$B$3:$B$5001,G$232,Base!$A$3:$A$5001,"&gt;="&amp;$C$7,Base!$A$3:$A$5001,"&lt;="&amp;$B258,Base!$Z$3:$Z$5001,"&lt;&gt;")=0,"",SUMIFS(Base!$Z$3:$Z$5001,Base!$B$3:$B$5001,G$232,Base!$A$3:$A$5001,_xlfn.MAXIFS(Base!$A$3:$A$5001,Base!$B$3:$B$5001,G$232,Base!$A$3:$A$5001,"&gt;="&amp;$C$7,Base!$A$3:$A$5001,"&lt;="&amp;$B258,Base!$Z$3:$Z$5001,"&lt;&gt;"))))</f>
        <v/>
      </c>
      <c r="H258" t="str">
        <f>IF($A258&gt;$B$9,"",IF(COUNTIFS(Base!$B$3:$B$5001,H$232,Base!$A$3:$A$5001,"&gt;="&amp;$C$7,Base!$A$3:$A$5001,"&lt;="&amp;$B258,Base!$Z$3:$Z$5001,"&lt;&gt;")=0,"",SUMIFS(Base!$Z$3:$Z$5001,Base!$B$3:$B$5001,H$232,Base!$A$3:$A$5001,_xlfn.MAXIFS(Base!$A$3:$A$5001,Base!$B$3:$B$5001,H$232,Base!$A$3:$A$5001,"&gt;="&amp;$C$7,Base!$A$3:$A$5001,"&lt;="&amp;$B258,Base!$Z$3:$Z$5001,"&lt;&gt;"))))</f>
        <v/>
      </c>
      <c r="I258" t="str">
        <f>IF($A258&gt;$B$9,"",IF(COUNTIFS(Base!$B$3:$B$5001,I$232,Base!$A$3:$A$5001,"&gt;="&amp;$C$7,Base!$A$3:$A$5001,"&lt;="&amp;$B258,Base!$Z$3:$Z$5001,"&lt;&gt;")=0,"",SUMIFS(Base!$Z$3:$Z$5001,Base!$B$3:$B$5001,I$232,Base!$A$3:$A$5001,_xlfn.MAXIFS(Base!$A$3:$A$5001,Base!$B$3:$B$5001,I$232,Base!$A$3:$A$5001,"&gt;="&amp;$C$7,Base!$A$3:$A$5001,"&lt;="&amp;$B258,Base!$Z$3:$Z$5001,"&lt;&gt;"))))</f>
        <v/>
      </c>
      <c r="J258" t="str">
        <f>IF($A258&gt;$B$9,"",IF(COUNTIFS(Base!$B$3:$B$5001,J$232,Base!$A$3:$A$5001,"&gt;="&amp;$C$7,Base!$A$3:$A$5001,"&lt;="&amp;$B258,Base!$Z$3:$Z$5001,"&lt;&gt;")=0,"",SUMIFS(Base!$Z$3:$Z$5001,Base!$B$3:$B$5001,J$232,Base!$A$3:$A$5001,_xlfn.MAXIFS(Base!$A$3:$A$5001,Base!$B$3:$B$5001,J$232,Base!$A$3:$A$5001,"&gt;="&amp;$C$7,Base!$A$3:$A$5001,"&lt;="&amp;$B258,Base!$Z$3:$Z$5001,"&lt;&gt;"))))</f>
        <v/>
      </c>
      <c r="K258" t="str">
        <f>IF($A258&gt;$B$9,"",IF(COUNTIFS(Base!$B$3:$B$5001,K$232,Base!$A$3:$A$5001,"&gt;="&amp;$C$7,Base!$A$3:$A$5001,"&lt;="&amp;$B258,Base!$Z$3:$Z$5001,"&lt;&gt;")=0,"",SUMIFS(Base!$Z$3:$Z$5001,Base!$B$3:$B$5001,K$232,Base!$A$3:$A$5001,_xlfn.MAXIFS(Base!$A$3:$A$5001,Base!$B$3:$B$5001,K$232,Base!$A$3:$A$5001,"&gt;="&amp;$C$7,Base!$A$3:$A$5001,"&lt;="&amp;$B258,Base!$Z$3:$Z$5001,"&lt;&gt;"))))</f>
        <v/>
      </c>
    </row>
    <row r="259">
      <c r="A259">
        <v>27</v>
      </c>
      <c r="B259" s="152">
        <f>$B$38</f>
        <v>46292</v>
      </c>
      <c r="C259" t="str">
        <f>IF($A259&gt;$B$9,"",IF(COUNTIFS(Base!$B$3:$B$5001,C$232,Base!$A$3:$A$5001,"&gt;="&amp;$C$7,Base!$A$3:$A$5001,"&lt;="&amp;$B259,Base!$Z$3:$Z$5001,"&lt;&gt;")=0,"",SUMIFS(Base!$Z$3:$Z$5001,Base!$B$3:$B$5001,C$232,Base!$A$3:$A$5001,_xlfn.MAXIFS(Base!$A$3:$A$5001,Base!$B$3:$B$5001,C$232,Base!$A$3:$A$5001,"&gt;="&amp;$C$7,Base!$A$3:$A$5001,"&lt;="&amp;$B259,Base!$Z$3:$Z$5001,"&lt;&gt;"))))</f>
        <v/>
      </c>
      <c r="D259" t="str">
        <f>IF($A259&gt;$B$9,"",IF(COUNTIFS(Base!$B$3:$B$5001,D$232,Base!$A$3:$A$5001,"&gt;="&amp;$C$7,Base!$A$3:$A$5001,"&lt;="&amp;$B259,Base!$Z$3:$Z$5001,"&lt;&gt;")=0,"",SUMIFS(Base!$Z$3:$Z$5001,Base!$B$3:$B$5001,D$232,Base!$A$3:$A$5001,_xlfn.MAXIFS(Base!$A$3:$A$5001,Base!$B$3:$B$5001,D$232,Base!$A$3:$A$5001,"&gt;="&amp;$C$7,Base!$A$3:$A$5001,"&lt;="&amp;$B259,Base!$Z$3:$Z$5001,"&lt;&gt;"))))</f>
        <v/>
      </c>
      <c r="E259" t="str">
        <f>IF($A259&gt;$B$9,"",IF(COUNTIFS(Base!$B$3:$B$5001,E$232,Base!$A$3:$A$5001,"&gt;="&amp;$C$7,Base!$A$3:$A$5001,"&lt;="&amp;$B259,Base!$Z$3:$Z$5001,"&lt;&gt;")=0,"",SUMIFS(Base!$Z$3:$Z$5001,Base!$B$3:$B$5001,E$232,Base!$A$3:$A$5001,_xlfn.MAXIFS(Base!$A$3:$A$5001,Base!$B$3:$B$5001,E$232,Base!$A$3:$A$5001,"&gt;="&amp;$C$7,Base!$A$3:$A$5001,"&lt;="&amp;$B259,Base!$Z$3:$Z$5001,"&lt;&gt;"))))</f>
        <v/>
      </c>
      <c r="F259" t="str">
        <f>IF($A259&gt;$B$9,"",IF(COUNTIFS(Base!$B$3:$B$5001,F$232,Base!$A$3:$A$5001,"&gt;="&amp;$C$7,Base!$A$3:$A$5001,"&lt;="&amp;$B259,Base!$Z$3:$Z$5001,"&lt;&gt;")=0,"",SUMIFS(Base!$Z$3:$Z$5001,Base!$B$3:$B$5001,F$232,Base!$A$3:$A$5001,_xlfn.MAXIFS(Base!$A$3:$A$5001,Base!$B$3:$B$5001,F$232,Base!$A$3:$A$5001,"&gt;="&amp;$C$7,Base!$A$3:$A$5001,"&lt;="&amp;$B259,Base!$Z$3:$Z$5001,"&lt;&gt;"))))</f>
        <v/>
      </c>
      <c r="G259" t="str">
        <f>IF($A259&gt;$B$9,"",IF(COUNTIFS(Base!$B$3:$B$5001,G$232,Base!$A$3:$A$5001,"&gt;="&amp;$C$7,Base!$A$3:$A$5001,"&lt;="&amp;$B259,Base!$Z$3:$Z$5001,"&lt;&gt;")=0,"",SUMIFS(Base!$Z$3:$Z$5001,Base!$B$3:$B$5001,G$232,Base!$A$3:$A$5001,_xlfn.MAXIFS(Base!$A$3:$A$5001,Base!$B$3:$B$5001,G$232,Base!$A$3:$A$5001,"&gt;="&amp;$C$7,Base!$A$3:$A$5001,"&lt;="&amp;$B259,Base!$Z$3:$Z$5001,"&lt;&gt;"))))</f>
        <v/>
      </c>
      <c r="H259" t="str">
        <f>IF($A259&gt;$B$9,"",IF(COUNTIFS(Base!$B$3:$B$5001,H$232,Base!$A$3:$A$5001,"&gt;="&amp;$C$7,Base!$A$3:$A$5001,"&lt;="&amp;$B259,Base!$Z$3:$Z$5001,"&lt;&gt;")=0,"",SUMIFS(Base!$Z$3:$Z$5001,Base!$B$3:$B$5001,H$232,Base!$A$3:$A$5001,_xlfn.MAXIFS(Base!$A$3:$A$5001,Base!$B$3:$B$5001,H$232,Base!$A$3:$A$5001,"&gt;="&amp;$C$7,Base!$A$3:$A$5001,"&lt;="&amp;$B259,Base!$Z$3:$Z$5001,"&lt;&gt;"))))</f>
        <v/>
      </c>
      <c r="I259" t="str">
        <f>IF($A259&gt;$B$9,"",IF(COUNTIFS(Base!$B$3:$B$5001,I$232,Base!$A$3:$A$5001,"&gt;="&amp;$C$7,Base!$A$3:$A$5001,"&lt;="&amp;$B259,Base!$Z$3:$Z$5001,"&lt;&gt;")=0,"",SUMIFS(Base!$Z$3:$Z$5001,Base!$B$3:$B$5001,I$232,Base!$A$3:$A$5001,_xlfn.MAXIFS(Base!$A$3:$A$5001,Base!$B$3:$B$5001,I$232,Base!$A$3:$A$5001,"&gt;="&amp;$C$7,Base!$A$3:$A$5001,"&lt;="&amp;$B259,Base!$Z$3:$Z$5001,"&lt;&gt;"))))</f>
        <v/>
      </c>
      <c r="J259" t="str">
        <f>IF($A259&gt;$B$9,"",IF(COUNTIFS(Base!$B$3:$B$5001,J$232,Base!$A$3:$A$5001,"&gt;="&amp;$C$7,Base!$A$3:$A$5001,"&lt;="&amp;$B259,Base!$Z$3:$Z$5001,"&lt;&gt;")=0,"",SUMIFS(Base!$Z$3:$Z$5001,Base!$B$3:$B$5001,J$232,Base!$A$3:$A$5001,_xlfn.MAXIFS(Base!$A$3:$A$5001,Base!$B$3:$B$5001,J$232,Base!$A$3:$A$5001,"&gt;="&amp;$C$7,Base!$A$3:$A$5001,"&lt;="&amp;$B259,Base!$Z$3:$Z$5001,"&lt;&gt;"))))</f>
        <v/>
      </c>
      <c r="K259" t="str">
        <f>IF($A259&gt;$B$9,"",IF(COUNTIFS(Base!$B$3:$B$5001,K$232,Base!$A$3:$A$5001,"&gt;="&amp;$C$7,Base!$A$3:$A$5001,"&lt;="&amp;$B259,Base!$Z$3:$Z$5001,"&lt;&gt;")=0,"",SUMIFS(Base!$Z$3:$Z$5001,Base!$B$3:$B$5001,K$232,Base!$A$3:$A$5001,_xlfn.MAXIFS(Base!$A$3:$A$5001,Base!$B$3:$B$5001,K$232,Base!$A$3:$A$5001,"&gt;="&amp;$C$7,Base!$A$3:$A$5001,"&lt;="&amp;$B259,Base!$Z$3:$Z$5001,"&lt;&gt;"))))</f>
        <v/>
      </c>
    </row>
    <row r="260">
      <c r="A260">
        <v>28</v>
      </c>
      <c r="B260" s="152">
        <f>$B$39</f>
        <v>46293</v>
      </c>
      <c r="C260" t="str">
        <f>IF($A260&gt;$B$9,"",IF(COUNTIFS(Base!$B$3:$B$5001,C$232,Base!$A$3:$A$5001,"&gt;="&amp;$C$7,Base!$A$3:$A$5001,"&lt;="&amp;$B260,Base!$Z$3:$Z$5001,"&lt;&gt;")=0,"",SUMIFS(Base!$Z$3:$Z$5001,Base!$B$3:$B$5001,C$232,Base!$A$3:$A$5001,_xlfn.MAXIFS(Base!$A$3:$A$5001,Base!$B$3:$B$5001,C$232,Base!$A$3:$A$5001,"&gt;="&amp;$C$7,Base!$A$3:$A$5001,"&lt;="&amp;$B260,Base!$Z$3:$Z$5001,"&lt;&gt;"))))</f>
        <v/>
      </c>
      <c r="D260" t="str">
        <f>IF($A260&gt;$B$9,"",IF(COUNTIFS(Base!$B$3:$B$5001,D$232,Base!$A$3:$A$5001,"&gt;="&amp;$C$7,Base!$A$3:$A$5001,"&lt;="&amp;$B260,Base!$Z$3:$Z$5001,"&lt;&gt;")=0,"",SUMIFS(Base!$Z$3:$Z$5001,Base!$B$3:$B$5001,D$232,Base!$A$3:$A$5001,_xlfn.MAXIFS(Base!$A$3:$A$5001,Base!$B$3:$B$5001,D$232,Base!$A$3:$A$5001,"&gt;="&amp;$C$7,Base!$A$3:$A$5001,"&lt;="&amp;$B260,Base!$Z$3:$Z$5001,"&lt;&gt;"))))</f>
        <v/>
      </c>
      <c r="E260" t="str">
        <f>IF($A260&gt;$B$9,"",IF(COUNTIFS(Base!$B$3:$B$5001,E$232,Base!$A$3:$A$5001,"&gt;="&amp;$C$7,Base!$A$3:$A$5001,"&lt;="&amp;$B260,Base!$Z$3:$Z$5001,"&lt;&gt;")=0,"",SUMIFS(Base!$Z$3:$Z$5001,Base!$B$3:$B$5001,E$232,Base!$A$3:$A$5001,_xlfn.MAXIFS(Base!$A$3:$A$5001,Base!$B$3:$B$5001,E$232,Base!$A$3:$A$5001,"&gt;="&amp;$C$7,Base!$A$3:$A$5001,"&lt;="&amp;$B260,Base!$Z$3:$Z$5001,"&lt;&gt;"))))</f>
        <v/>
      </c>
      <c r="F260" t="str">
        <f>IF($A260&gt;$B$9,"",IF(COUNTIFS(Base!$B$3:$B$5001,F$232,Base!$A$3:$A$5001,"&gt;="&amp;$C$7,Base!$A$3:$A$5001,"&lt;="&amp;$B260,Base!$Z$3:$Z$5001,"&lt;&gt;")=0,"",SUMIFS(Base!$Z$3:$Z$5001,Base!$B$3:$B$5001,F$232,Base!$A$3:$A$5001,_xlfn.MAXIFS(Base!$A$3:$A$5001,Base!$B$3:$B$5001,F$232,Base!$A$3:$A$5001,"&gt;="&amp;$C$7,Base!$A$3:$A$5001,"&lt;="&amp;$B260,Base!$Z$3:$Z$5001,"&lt;&gt;"))))</f>
        <v/>
      </c>
      <c r="G260" t="str">
        <f>IF($A260&gt;$B$9,"",IF(COUNTIFS(Base!$B$3:$B$5001,G$232,Base!$A$3:$A$5001,"&gt;="&amp;$C$7,Base!$A$3:$A$5001,"&lt;="&amp;$B260,Base!$Z$3:$Z$5001,"&lt;&gt;")=0,"",SUMIFS(Base!$Z$3:$Z$5001,Base!$B$3:$B$5001,G$232,Base!$A$3:$A$5001,_xlfn.MAXIFS(Base!$A$3:$A$5001,Base!$B$3:$B$5001,G$232,Base!$A$3:$A$5001,"&gt;="&amp;$C$7,Base!$A$3:$A$5001,"&lt;="&amp;$B260,Base!$Z$3:$Z$5001,"&lt;&gt;"))))</f>
        <v/>
      </c>
      <c r="H260" t="str">
        <f>IF($A260&gt;$B$9,"",IF(COUNTIFS(Base!$B$3:$B$5001,H$232,Base!$A$3:$A$5001,"&gt;="&amp;$C$7,Base!$A$3:$A$5001,"&lt;="&amp;$B260,Base!$Z$3:$Z$5001,"&lt;&gt;")=0,"",SUMIFS(Base!$Z$3:$Z$5001,Base!$B$3:$B$5001,H$232,Base!$A$3:$A$5001,_xlfn.MAXIFS(Base!$A$3:$A$5001,Base!$B$3:$B$5001,H$232,Base!$A$3:$A$5001,"&gt;="&amp;$C$7,Base!$A$3:$A$5001,"&lt;="&amp;$B260,Base!$Z$3:$Z$5001,"&lt;&gt;"))))</f>
        <v/>
      </c>
      <c r="I260" t="str">
        <f>IF($A260&gt;$B$9,"",IF(COUNTIFS(Base!$B$3:$B$5001,I$232,Base!$A$3:$A$5001,"&gt;="&amp;$C$7,Base!$A$3:$A$5001,"&lt;="&amp;$B260,Base!$Z$3:$Z$5001,"&lt;&gt;")=0,"",SUMIFS(Base!$Z$3:$Z$5001,Base!$B$3:$B$5001,I$232,Base!$A$3:$A$5001,_xlfn.MAXIFS(Base!$A$3:$A$5001,Base!$B$3:$B$5001,I$232,Base!$A$3:$A$5001,"&gt;="&amp;$C$7,Base!$A$3:$A$5001,"&lt;="&amp;$B260,Base!$Z$3:$Z$5001,"&lt;&gt;"))))</f>
        <v/>
      </c>
      <c r="J260" t="str">
        <f>IF($A260&gt;$B$9,"",IF(COUNTIFS(Base!$B$3:$B$5001,J$232,Base!$A$3:$A$5001,"&gt;="&amp;$C$7,Base!$A$3:$A$5001,"&lt;="&amp;$B260,Base!$Z$3:$Z$5001,"&lt;&gt;")=0,"",SUMIFS(Base!$Z$3:$Z$5001,Base!$B$3:$B$5001,J$232,Base!$A$3:$A$5001,_xlfn.MAXIFS(Base!$A$3:$A$5001,Base!$B$3:$B$5001,J$232,Base!$A$3:$A$5001,"&gt;="&amp;$C$7,Base!$A$3:$A$5001,"&lt;="&amp;$B260,Base!$Z$3:$Z$5001,"&lt;&gt;"))))</f>
        <v/>
      </c>
      <c r="K260" t="str">
        <f>IF($A260&gt;$B$9,"",IF(COUNTIFS(Base!$B$3:$B$5001,K$232,Base!$A$3:$A$5001,"&gt;="&amp;$C$7,Base!$A$3:$A$5001,"&lt;="&amp;$B260,Base!$Z$3:$Z$5001,"&lt;&gt;")=0,"",SUMIFS(Base!$Z$3:$Z$5001,Base!$B$3:$B$5001,K$232,Base!$A$3:$A$5001,_xlfn.MAXIFS(Base!$A$3:$A$5001,Base!$B$3:$B$5001,K$232,Base!$A$3:$A$5001,"&gt;="&amp;$C$7,Base!$A$3:$A$5001,"&lt;="&amp;$B260,Base!$Z$3:$Z$5001,"&lt;&gt;"))))</f>
        <v/>
      </c>
    </row>
    <row r="261">
      <c r="A261">
        <v>29</v>
      </c>
      <c r="B261" s="152">
        <f>$B$40</f>
        <v>46294</v>
      </c>
      <c r="C261" t="str">
        <f>IF($A261&gt;$B$9,"",IF(COUNTIFS(Base!$B$3:$B$5001,C$232,Base!$A$3:$A$5001,"&gt;="&amp;$C$7,Base!$A$3:$A$5001,"&lt;="&amp;$B261,Base!$Z$3:$Z$5001,"&lt;&gt;")=0,"",SUMIFS(Base!$Z$3:$Z$5001,Base!$B$3:$B$5001,C$232,Base!$A$3:$A$5001,_xlfn.MAXIFS(Base!$A$3:$A$5001,Base!$B$3:$B$5001,C$232,Base!$A$3:$A$5001,"&gt;="&amp;$C$7,Base!$A$3:$A$5001,"&lt;="&amp;$B261,Base!$Z$3:$Z$5001,"&lt;&gt;"))))</f>
        <v/>
      </c>
      <c r="D261" t="str">
        <f>IF($A261&gt;$B$9,"",IF(COUNTIFS(Base!$B$3:$B$5001,D$232,Base!$A$3:$A$5001,"&gt;="&amp;$C$7,Base!$A$3:$A$5001,"&lt;="&amp;$B261,Base!$Z$3:$Z$5001,"&lt;&gt;")=0,"",SUMIFS(Base!$Z$3:$Z$5001,Base!$B$3:$B$5001,D$232,Base!$A$3:$A$5001,_xlfn.MAXIFS(Base!$A$3:$A$5001,Base!$B$3:$B$5001,D$232,Base!$A$3:$A$5001,"&gt;="&amp;$C$7,Base!$A$3:$A$5001,"&lt;="&amp;$B261,Base!$Z$3:$Z$5001,"&lt;&gt;"))))</f>
        <v/>
      </c>
      <c r="E261" t="str">
        <f>IF($A261&gt;$B$9,"",IF(COUNTIFS(Base!$B$3:$B$5001,E$232,Base!$A$3:$A$5001,"&gt;="&amp;$C$7,Base!$A$3:$A$5001,"&lt;="&amp;$B261,Base!$Z$3:$Z$5001,"&lt;&gt;")=0,"",SUMIFS(Base!$Z$3:$Z$5001,Base!$B$3:$B$5001,E$232,Base!$A$3:$A$5001,_xlfn.MAXIFS(Base!$A$3:$A$5001,Base!$B$3:$B$5001,E$232,Base!$A$3:$A$5001,"&gt;="&amp;$C$7,Base!$A$3:$A$5001,"&lt;="&amp;$B261,Base!$Z$3:$Z$5001,"&lt;&gt;"))))</f>
        <v/>
      </c>
      <c r="F261" t="str">
        <f>IF($A261&gt;$B$9,"",IF(COUNTIFS(Base!$B$3:$B$5001,F$232,Base!$A$3:$A$5001,"&gt;="&amp;$C$7,Base!$A$3:$A$5001,"&lt;="&amp;$B261,Base!$Z$3:$Z$5001,"&lt;&gt;")=0,"",SUMIFS(Base!$Z$3:$Z$5001,Base!$B$3:$B$5001,F$232,Base!$A$3:$A$5001,_xlfn.MAXIFS(Base!$A$3:$A$5001,Base!$B$3:$B$5001,F$232,Base!$A$3:$A$5001,"&gt;="&amp;$C$7,Base!$A$3:$A$5001,"&lt;="&amp;$B261,Base!$Z$3:$Z$5001,"&lt;&gt;"))))</f>
        <v/>
      </c>
      <c r="G261" t="str">
        <f>IF($A261&gt;$B$9,"",IF(COUNTIFS(Base!$B$3:$B$5001,G$232,Base!$A$3:$A$5001,"&gt;="&amp;$C$7,Base!$A$3:$A$5001,"&lt;="&amp;$B261,Base!$Z$3:$Z$5001,"&lt;&gt;")=0,"",SUMIFS(Base!$Z$3:$Z$5001,Base!$B$3:$B$5001,G$232,Base!$A$3:$A$5001,_xlfn.MAXIFS(Base!$A$3:$A$5001,Base!$B$3:$B$5001,G$232,Base!$A$3:$A$5001,"&gt;="&amp;$C$7,Base!$A$3:$A$5001,"&lt;="&amp;$B261,Base!$Z$3:$Z$5001,"&lt;&gt;"))))</f>
        <v/>
      </c>
      <c r="H261" t="str">
        <f>IF($A261&gt;$B$9,"",IF(COUNTIFS(Base!$B$3:$B$5001,H$232,Base!$A$3:$A$5001,"&gt;="&amp;$C$7,Base!$A$3:$A$5001,"&lt;="&amp;$B261,Base!$Z$3:$Z$5001,"&lt;&gt;")=0,"",SUMIFS(Base!$Z$3:$Z$5001,Base!$B$3:$B$5001,H$232,Base!$A$3:$A$5001,_xlfn.MAXIFS(Base!$A$3:$A$5001,Base!$B$3:$B$5001,H$232,Base!$A$3:$A$5001,"&gt;="&amp;$C$7,Base!$A$3:$A$5001,"&lt;="&amp;$B261,Base!$Z$3:$Z$5001,"&lt;&gt;"))))</f>
        <v/>
      </c>
      <c r="I261" t="str">
        <f>IF($A261&gt;$B$9,"",IF(COUNTIFS(Base!$B$3:$B$5001,I$232,Base!$A$3:$A$5001,"&gt;="&amp;$C$7,Base!$A$3:$A$5001,"&lt;="&amp;$B261,Base!$Z$3:$Z$5001,"&lt;&gt;")=0,"",SUMIFS(Base!$Z$3:$Z$5001,Base!$B$3:$B$5001,I$232,Base!$A$3:$A$5001,_xlfn.MAXIFS(Base!$A$3:$A$5001,Base!$B$3:$B$5001,I$232,Base!$A$3:$A$5001,"&gt;="&amp;$C$7,Base!$A$3:$A$5001,"&lt;="&amp;$B261,Base!$Z$3:$Z$5001,"&lt;&gt;"))))</f>
        <v/>
      </c>
      <c r="J261" t="str">
        <f>IF($A261&gt;$B$9,"",IF(COUNTIFS(Base!$B$3:$B$5001,J$232,Base!$A$3:$A$5001,"&gt;="&amp;$C$7,Base!$A$3:$A$5001,"&lt;="&amp;$B261,Base!$Z$3:$Z$5001,"&lt;&gt;")=0,"",SUMIFS(Base!$Z$3:$Z$5001,Base!$B$3:$B$5001,J$232,Base!$A$3:$A$5001,_xlfn.MAXIFS(Base!$A$3:$A$5001,Base!$B$3:$B$5001,J$232,Base!$A$3:$A$5001,"&gt;="&amp;$C$7,Base!$A$3:$A$5001,"&lt;="&amp;$B261,Base!$Z$3:$Z$5001,"&lt;&gt;"))))</f>
        <v/>
      </c>
      <c r="K261" t="str">
        <f>IF($A261&gt;$B$9,"",IF(COUNTIFS(Base!$B$3:$B$5001,K$232,Base!$A$3:$A$5001,"&gt;="&amp;$C$7,Base!$A$3:$A$5001,"&lt;="&amp;$B261,Base!$Z$3:$Z$5001,"&lt;&gt;")=0,"",SUMIFS(Base!$Z$3:$Z$5001,Base!$B$3:$B$5001,K$232,Base!$A$3:$A$5001,_xlfn.MAXIFS(Base!$A$3:$A$5001,Base!$B$3:$B$5001,K$232,Base!$A$3:$A$5001,"&gt;="&amp;$C$7,Base!$A$3:$A$5001,"&lt;="&amp;$B261,Base!$Z$3:$Z$5001,"&lt;&gt;"))))</f>
        <v/>
      </c>
    </row>
    <row r="262">
      <c r="A262">
        <v>30</v>
      </c>
      <c r="B262" s="152">
        <f>$B$41</f>
        <v>46295</v>
      </c>
      <c r="C262" t="str">
        <f>IF($A262&gt;$B$9,"",IF(COUNTIFS(Base!$B$3:$B$5001,C$232,Base!$A$3:$A$5001,"&gt;="&amp;$C$7,Base!$A$3:$A$5001,"&lt;="&amp;$B262,Base!$Z$3:$Z$5001,"&lt;&gt;")=0,"",SUMIFS(Base!$Z$3:$Z$5001,Base!$B$3:$B$5001,C$232,Base!$A$3:$A$5001,_xlfn.MAXIFS(Base!$A$3:$A$5001,Base!$B$3:$B$5001,C$232,Base!$A$3:$A$5001,"&gt;="&amp;$C$7,Base!$A$3:$A$5001,"&lt;="&amp;$B262,Base!$Z$3:$Z$5001,"&lt;&gt;"))))</f>
        <v/>
      </c>
      <c r="D262" t="str">
        <f>IF($A262&gt;$B$9,"",IF(COUNTIFS(Base!$B$3:$B$5001,D$232,Base!$A$3:$A$5001,"&gt;="&amp;$C$7,Base!$A$3:$A$5001,"&lt;="&amp;$B262,Base!$Z$3:$Z$5001,"&lt;&gt;")=0,"",SUMIFS(Base!$Z$3:$Z$5001,Base!$B$3:$B$5001,D$232,Base!$A$3:$A$5001,_xlfn.MAXIFS(Base!$A$3:$A$5001,Base!$B$3:$B$5001,D$232,Base!$A$3:$A$5001,"&gt;="&amp;$C$7,Base!$A$3:$A$5001,"&lt;="&amp;$B262,Base!$Z$3:$Z$5001,"&lt;&gt;"))))</f>
        <v/>
      </c>
      <c r="E262" t="str">
        <f>IF($A262&gt;$B$9,"",IF(COUNTIFS(Base!$B$3:$B$5001,E$232,Base!$A$3:$A$5001,"&gt;="&amp;$C$7,Base!$A$3:$A$5001,"&lt;="&amp;$B262,Base!$Z$3:$Z$5001,"&lt;&gt;")=0,"",SUMIFS(Base!$Z$3:$Z$5001,Base!$B$3:$B$5001,E$232,Base!$A$3:$A$5001,_xlfn.MAXIFS(Base!$A$3:$A$5001,Base!$B$3:$B$5001,E$232,Base!$A$3:$A$5001,"&gt;="&amp;$C$7,Base!$A$3:$A$5001,"&lt;="&amp;$B262,Base!$Z$3:$Z$5001,"&lt;&gt;"))))</f>
        <v/>
      </c>
      <c r="F262" t="str">
        <f>IF($A262&gt;$B$9,"",IF(COUNTIFS(Base!$B$3:$B$5001,F$232,Base!$A$3:$A$5001,"&gt;="&amp;$C$7,Base!$A$3:$A$5001,"&lt;="&amp;$B262,Base!$Z$3:$Z$5001,"&lt;&gt;")=0,"",SUMIFS(Base!$Z$3:$Z$5001,Base!$B$3:$B$5001,F$232,Base!$A$3:$A$5001,_xlfn.MAXIFS(Base!$A$3:$A$5001,Base!$B$3:$B$5001,F$232,Base!$A$3:$A$5001,"&gt;="&amp;$C$7,Base!$A$3:$A$5001,"&lt;="&amp;$B262,Base!$Z$3:$Z$5001,"&lt;&gt;"))))</f>
        <v/>
      </c>
      <c r="G262" t="str">
        <f>IF($A262&gt;$B$9,"",IF(COUNTIFS(Base!$B$3:$B$5001,G$232,Base!$A$3:$A$5001,"&gt;="&amp;$C$7,Base!$A$3:$A$5001,"&lt;="&amp;$B262,Base!$Z$3:$Z$5001,"&lt;&gt;")=0,"",SUMIFS(Base!$Z$3:$Z$5001,Base!$B$3:$B$5001,G$232,Base!$A$3:$A$5001,_xlfn.MAXIFS(Base!$A$3:$A$5001,Base!$B$3:$B$5001,G$232,Base!$A$3:$A$5001,"&gt;="&amp;$C$7,Base!$A$3:$A$5001,"&lt;="&amp;$B262,Base!$Z$3:$Z$5001,"&lt;&gt;"))))</f>
        <v/>
      </c>
      <c r="H262" t="str">
        <f>IF($A262&gt;$B$9,"",IF(COUNTIFS(Base!$B$3:$B$5001,H$232,Base!$A$3:$A$5001,"&gt;="&amp;$C$7,Base!$A$3:$A$5001,"&lt;="&amp;$B262,Base!$Z$3:$Z$5001,"&lt;&gt;")=0,"",SUMIFS(Base!$Z$3:$Z$5001,Base!$B$3:$B$5001,H$232,Base!$A$3:$A$5001,_xlfn.MAXIFS(Base!$A$3:$A$5001,Base!$B$3:$B$5001,H$232,Base!$A$3:$A$5001,"&gt;="&amp;$C$7,Base!$A$3:$A$5001,"&lt;="&amp;$B262,Base!$Z$3:$Z$5001,"&lt;&gt;"))))</f>
        <v/>
      </c>
      <c r="I262" t="str">
        <f>IF($A262&gt;$B$9,"",IF(COUNTIFS(Base!$B$3:$B$5001,I$232,Base!$A$3:$A$5001,"&gt;="&amp;$C$7,Base!$A$3:$A$5001,"&lt;="&amp;$B262,Base!$Z$3:$Z$5001,"&lt;&gt;")=0,"",SUMIFS(Base!$Z$3:$Z$5001,Base!$B$3:$B$5001,I$232,Base!$A$3:$A$5001,_xlfn.MAXIFS(Base!$A$3:$A$5001,Base!$B$3:$B$5001,I$232,Base!$A$3:$A$5001,"&gt;="&amp;$C$7,Base!$A$3:$A$5001,"&lt;="&amp;$B262,Base!$Z$3:$Z$5001,"&lt;&gt;"))))</f>
        <v/>
      </c>
      <c r="J262" t="str">
        <f>IF($A262&gt;$B$9,"",IF(COUNTIFS(Base!$B$3:$B$5001,J$232,Base!$A$3:$A$5001,"&gt;="&amp;$C$7,Base!$A$3:$A$5001,"&lt;="&amp;$B262,Base!$Z$3:$Z$5001,"&lt;&gt;")=0,"",SUMIFS(Base!$Z$3:$Z$5001,Base!$B$3:$B$5001,J$232,Base!$A$3:$A$5001,_xlfn.MAXIFS(Base!$A$3:$A$5001,Base!$B$3:$B$5001,J$232,Base!$A$3:$A$5001,"&gt;="&amp;$C$7,Base!$A$3:$A$5001,"&lt;="&amp;$B262,Base!$Z$3:$Z$5001,"&lt;&gt;"))))</f>
        <v/>
      </c>
      <c r="K262" t="str">
        <f>IF($A262&gt;$B$9,"",IF(COUNTIFS(Base!$B$3:$B$5001,K$232,Base!$A$3:$A$5001,"&gt;="&amp;$C$7,Base!$A$3:$A$5001,"&lt;="&amp;$B262,Base!$Z$3:$Z$5001,"&lt;&gt;")=0,"",SUMIFS(Base!$Z$3:$Z$5001,Base!$B$3:$B$5001,K$232,Base!$A$3:$A$5001,_xlfn.MAXIFS(Base!$A$3:$A$5001,Base!$B$3:$B$5001,K$232,Base!$A$3:$A$5001,"&gt;="&amp;$C$7,Base!$A$3:$A$5001,"&lt;="&amp;$B262,Base!$Z$3:$Z$5001,"&lt;&gt;"))))</f>
        <v/>
      </c>
    </row>
    <row r="263">
      <c r="A263">
        <v>31</v>
      </c>
      <c r="B263" s="152" t="str">
        <f>$B$42</f>
        <v/>
      </c>
      <c r="C263" t="str">
        <f>IF($A263&gt;$B$9,"",IF(COUNTIFS(Base!$B$3:$B$5001,C$232,Base!$A$3:$A$5001,"&gt;="&amp;$C$7,Base!$A$3:$A$5001,"&lt;="&amp;$B263,Base!$Z$3:$Z$5001,"&lt;&gt;")=0,"",SUMIFS(Base!$Z$3:$Z$5001,Base!$B$3:$B$5001,C$232,Base!$A$3:$A$5001,_xlfn.MAXIFS(Base!$A$3:$A$5001,Base!$B$3:$B$5001,C$232,Base!$A$3:$A$5001,"&gt;="&amp;$C$7,Base!$A$3:$A$5001,"&lt;="&amp;$B263,Base!$Z$3:$Z$5001,"&lt;&gt;"))))</f>
        <v/>
      </c>
      <c r="D263" t="str">
        <f>IF($A263&gt;$B$9,"",IF(COUNTIFS(Base!$B$3:$B$5001,D$232,Base!$A$3:$A$5001,"&gt;="&amp;$C$7,Base!$A$3:$A$5001,"&lt;="&amp;$B263,Base!$Z$3:$Z$5001,"&lt;&gt;")=0,"",SUMIFS(Base!$Z$3:$Z$5001,Base!$B$3:$B$5001,D$232,Base!$A$3:$A$5001,_xlfn.MAXIFS(Base!$A$3:$A$5001,Base!$B$3:$B$5001,D$232,Base!$A$3:$A$5001,"&gt;="&amp;$C$7,Base!$A$3:$A$5001,"&lt;="&amp;$B263,Base!$Z$3:$Z$5001,"&lt;&gt;"))))</f>
        <v/>
      </c>
      <c r="E263" t="str">
        <f>IF($A263&gt;$B$9,"",IF(COUNTIFS(Base!$B$3:$B$5001,E$232,Base!$A$3:$A$5001,"&gt;="&amp;$C$7,Base!$A$3:$A$5001,"&lt;="&amp;$B263,Base!$Z$3:$Z$5001,"&lt;&gt;")=0,"",SUMIFS(Base!$Z$3:$Z$5001,Base!$B$3:$B$5001,E$232,Base!$A$3:$A$5001,_xlfn.MAXIFS(Base!$A$3:$A$5001,Base!$B$3:$B$5001,E$232,Base!$A$3:$A$5001,"&gt;="&amp;$C$7,Base!$A$3:$A$5001,"&lt;="&amp;$B263,Base!$Z$3:$Z$5001,"&lt;&gt;"))))</f>
        <v/>
      </c>
      <c r="F263" t="str">
        <f>IF($A263&gt;$B$9,"",IF(COUNTIFS(Base!$B$3:$B$5001,F$232,Base!$A$3:$A$5001,"&gt;="&amp;$C$7,Base!$A$3:$A$5001,"&lt;="&amp;$B263,Base!$Z$3:$Z$5001,"&lt;&gt;")=0,"",SUMIFS(Base!$Z$3:$Z$5001,Base!$B$3:$B$5001,F$232,Base!$A$3:$A$5001,_xlfn.MAXIFS(Base!$A$3:$A$5001,Base!$B$3:$B$5001,F$232,Base!$A$3:$A$5001,"&gt;="&amp;$C$7,Base!$A$3:$A$5001,"&lt;="&amp;$B263,Base!$Z$3:$Z$5001,"&lt;&gt;"))))</f>
        <v/>
      </c>
      <c r="G263" t="str">
        <f>IF($A263&gt;$B$9,"",IF(COUNTIFS(Base!$B$3:$B$5001,G$232,Base!$A$3:$A$5001,"&gt;="&amp;$C$7,Base!$A$3:$A$5001,"&lt;="&amp;$B263,Base!$Z$3:$Z$5001,"&lt;&gt;")=0,"",SUMIFS(Base!$Z$3:$Z$5001,Base!$B$3:$B$5001,G$232,Base!$A$3:$A$5001,_xlfn.MAXIFS(Base!$A$3:$A$5001,Base!$B$3:$B$5001,G$232,Base!$A$3:$A$5001,"&gt;="&amp;$C$7,Base!$A$3:$A$5001,"&lt;="&amp;$B263,Base!$Z$3:$Z$5001,"&lt;&gt;"))))</f>
        <v/>
      </c>
      <c r="H263" t="str">
        <f>IF($A263&gt;$B$9,"",IF(COUNTIFS(Base!$B$3:$B$5001,H$232,Base!$A$3:$A$5001,"&gt;="&amp;$C$7,Base!$A$3:$A$5001,"&lt;="&amp;$B263,Base!$Z$3:$Z$5001,"&lt;&gt;")=0,"",SUMIFS(Base!$Z$3:$Z$5001,Base!$B$3:$B$5001,H$232,Base!$A$3:$A$5001,_xlfn.MAXIFS(Base!$A$3:$A$5001,Base!$B$3:$B$5001,H$232,Base!$A$3:$A$5001,"&gt;="&amp;$C$7,Base!$A$3:$A$5001,"&lt;="&amp;$B263,Base!$Z$3:$Z$5001,"&lt;&gt;"))))</f>
        <v/>
      </c>
      <c r="I263" t="str">
        <f>IF($A263&gt;$B$9,"",IF(COUNTIFS(Base!$B$3:$B$5001,I$232,Base!$A$3:$A$5001,"&gt;="&amp;$C$7,Base!$A$3:$A$5001,"&lt;="&amp;$B263,Base!$Z$3:$Z$5001,"&lt;&gt;")=0,"",SUMIFS(Base!$Z$3:$Z$5001,Base!$B$3:$B$5001,I$232,Base!$A$3:$A$5001,_xlfn.MAXIFS(Base!$A$3:$A$5001,Base!$B$3:$B$5001,I$232,Base!$A$3:$A$5001,"&gt;="&amp;$C$7,Base!$A$3:$A$5001,"&lt;="&amp;$B263,Base!$Z$3:$Z$5001,"&lt;&gt;"))))</f>
        <v/>
      </c>
      <c r="J263" t="str">
        <f>IF($A263&gt;$B$9,"",IF(COUNTIFS(Base!$B$3:$B$5001,J$232,Base!$A$3:$A$5001,"&gt;="&amp;$C$7,Base!$A$3:$A$5001,"&lt;="&amp;$B263,Base!$Z$3:$Z$5001,"&lt;&gt;")=0,"",SUMIFS(Base!$Z$3:$Z$5001,Base!$B$3:$B$5001,J$232,Base!$A$3:$A$5001,_xlfn.MAXIFS(Base!$A$3:$A$5001,Base!$B$3:$B$5001,J$232,Base!$A$3:$A$5001,"&gt;="&amp;$C$7,Base!$A$3:$A$5001,"&lt;="&amp;$B263,Base!$Z$3:$Z$5001,"&lt;&gt;"))))</f>
        <v/>
      </c>
      <c r="K263" t="str">
        <f>IF($A263&gt;$B$9,"",IF(COUNTIFS(Base!$B$3:$B$5001,K$232,Base!$A$3:$A$5001,"&gt;="&amp;$C$7,Base!$A$3:$A$5001,"&lt;="&amp;$B263,Base!$Z$3:$Z$5001,"&lt;&gt;")=0,"",SUMIFS(Base!$Z$3:$Z$5001,Base!$B$3:$B$5001,K$232,Base!$A$3:$A$5001,_xlfn.MAXIFS(Base!$A$3:$A$5001,Base!$B$3:$B$5001,K$232,Base!$A$3:$A$5001,"&gt;="&amp;$C$7,Base!$A$3:$A$5001,"&lt;="&amp;$B263,Base!$Z$3:$Z$5001,"&lt;&gt;"))))</f>
        <v/>
      </c>
    </row>
    <row r="264">
      <c r="A264" t="inlineStr">
        <is>
          <t xml:space="preserve">Mês anterior (último)</t>
        </is>
      </c>
      <c r="C264" t="str">
        <f>IF(COUNTIFS(Base!$B$3:$B$5001,C$232,Base!$A$3:$A$5001,"&gt;="&amp;$C$8,Base!$A$3:$A$5001,"&lt;="&amp;$D$8,Base!$Z$3:$Z$5001,"&lt;&gt;")=0,"",SUMIFS(Base!$Z$3:$Z$5001,Base!$B$3:$B$5001,C$232,Base!$A$3:$A$5001,_xlfn.MAXIFS(Base!$A$3:$A$5001,Base!$B$3:$B$5001,C$232,Base!$A$3:$A$5001,"&gt;="&amp;$C$8,Base!$A$3:$A$5001,"&lt;="&amp;$D$8,Base!$Z$3:$Z$5001,"&lt;&gt;")))</f>
        <v/>
      </c>
      <c r="D264" t="str">
        <f>IF(COUNTIFS(Base!$B$3:$B$5001,D$232,Base!$A$3:$A$5001,"&gt;="&amp;$C$8,Base!$A$3:$A$5001,"&lt;="&amp;$D$8,Base!$Z$3:$Z$5001,"&lt;&gt;")=0,"",SUMIFS(Base!$Z$3:$Z$5001,Base!$B$3:$B$5001,D$232,Base!$A$3:$A$5001,_xlfn.MAXIFS(Base!$A$3:$A$5001,Base!$B$3:$B$5001,D$232,Base!$A$3:$A$5001,"&gt;="&amp;$C$8,Base!$A$3:$A$5001,"&lt;="&amp;$D$8,Base!$Z$3:$Z$5001,"&lt;&gt;")))</f>
        <v/>
      </c>
      <c r="E264" t="str">
        <f>IF(COUNTIFS(Base!$B$3:$B$5001,E$232,Base!$A$3:$A$5001,"&gt;="&amp;$C$8,Base!$A$3:$A$5001,"&lt;="&amp;$D$8,Base!$Z$3:$Z$5001,"&lt;&gt;")=0,"",SUMIFS(Base!$Z$3:$Z$5001,Base!$B$3:$B$5001,E$232,Base!$A$3:$A$5001,_xlfn.MAXIFS(Base!$A$3:$A$5001,Base!$B$3:$B$5001,E$232,Base!$A$3:$A$5001,"&gt;="&amp;$C$8,Base!$A$3:$A$5001,"&lt;="&amp;$D$8,Base!$Z$3:$Z$5001,"&lt;&gt;")))</f>
        <v/>
      </c>
      <c r="F264" t="str">
        <f>IF(COUNTIFS(Base!$B$3:$B$5001,F$232,Base!$A$3:$A$5001,"&gt;="&amp;$C$8,Base!$A$3:$A$5001,"&lt;="&amp;$D$8,Base!$Z$3:$Z$5001,"&lt;&gt;")=0,"",SUMIFS(Base!$Z$3:$Z$5001,Base!$B$3:$B$5001,F$232,Base!$A$3:$A$5001,_xlfn.MAXIFS(Base!$A$3:$A$5001,Base!$B$3:$B$5001,F$232,Base!$A$3:$A$5001,"&gt;="&amp;$C$8,Base!$A$3:$A$5001,"&lt;="&amp;$D$8,Base!$Z$3:$Z$5001,"&lt;&gt;")))</f>
        <v/>
      </c>
      <c r="G264" t="str">
        <f>IF(COUNTIFS(Base!$B$3:$B$5001,G$232,Base!$A$3:$A$5001,"&gt;="&amp;$C$8,Base!$A$3:$A$5001,"&lt;="&amp;$D$8,Base!$Z$3:$Z$5001,"&lt;&gt;")=0,"",SUMIFS(Base!$Z$3:$Z$5001,Base!$B$3:$B$5001,G$232,Base!$A$3:$A$5001,_xlfn.MAXIFS(Base!$A$3:$A$5001,Base!$B$3:$B$5001,G$232,Base!$A$3:$A$5001,"&gt;="&amp;$C$8,Base!$A$3:$A$5001,"&lt;="&amp;$D$8,Base!$Z$3:$Z$5001,"&lt;&gt;")))</f>
        <v/>
      </c>
      <c r="H264" t="str">
        <f>IF(COUNTIFS(Base!$B$3:$B$5001,H$232,Base!$A$3:$A$5001,"&gt;="&amp;$C$8,Base!$A$3:$A$5001,"&lt;="&amp;$D$8,Base!$Z$3:$Z$5001,"&lt;&gt;")=0,"",SUMIFS(Base!$Z$3:$Z$5001,Base!$B$3:$B$5001,H$232,Base!$A$3:$A$5001,_xlfn.MAXIFS(Base!$A$3:$A$5001,Base!$B$3:$B$5001,H$232,Base!$A$3:$A$5001,"&gt;="&amp;$C$8,Base!$A$3:$A$5001,"&lt;="&amp;$D$8,Base!$Z$3:$Z$5001,"&lt;&gt;")))</f>
        <v/>
      </c>
      <c r="I264" t="str">
        <f>IF(COUNTIFS(Base!$B$3:$B$5001,I$232,Base!$A$3:$A$5001,"&gt;="&amp;$C$8,Base!$A$3:$A$5001,"&lt;="&amp;$D$8,Base!$Z$3:$Z$5001,"&lt;&gt;")=0,"",SUMIFS(Base!$Z$3:$Z$5001,Base!$B$3:$B$5001,I$232,Base!$A$3:$A$5001,_xlfn.MAXIFS(Base!$A$3:$A$5001,Base!$B$3:$B$5001,I$232,Base!$A$3:$A$5001,"&gt;="&amp;$C$8,Base!$A$3:$A$5001,"&lt;="&amp;$D$8,Base!$Z$3:$Z$5001,"&lt;&gt;")))</f>
        <v/>
      </c>
      <c r="J264" t="str">
        <f>IF(COUNTIFS(Base!$B$3:$B$5001,J$232,Base!$A$3:$A$5001,"&gt;="&amp;$C$8,Base!$A$3:$A$5001,"&lt;="&amp;$D$8,Base!$Z$3:$Z$5001,"&lt;&gt;")=0,"",SUMIFS(Base!$Z$3:$Z$5001,Base!$B$3:$B$5001,J$232,Base!$A$3:$A$5001,_xlfn.MAXIFS(Base!$A$3:$A$5001,Base!$B$3:$B$5001,J$232,Base!$A$3:$A$5001,"&gt;="&amp;$C$8,Base!$A$3:$A$5001,"&lt;="&amp;$D$8,Base!$Z$3:$Z$5001,"&lt;&gt;")))</f>
        <v/>
      </c>
      <c r="K264" t="str">
        <f>IF(COUNTIFS(Base!$B$3:$B$5001,K$232,Base!$A$3:$A$5001,"&gt;="&amp;$C$8,Base!$A$3:$A$5001,"&lt;="&amp;$D$8,Base!$Z$3:$Z$5001,"&lt;&gt;")=0,"",SUMIFS(Base!$Z$3:$Z$5001,Base!$B$3:$B$5001,K$232,Base!$A$3:$A$5001,_xlfn.MAXIFS(Base!$A$3:$A$5001,Base!$B$3:$B$5001,K$232,Base!$A$3:$A$5001,"&gt;="&amp;$C$8,Base!$A$3:$A$5001,"&lt;="&amp;$D$8,Base!$Z$3:$Z$5001,"&lt;&gt;")))</f>
        <v/>
      </c>
    </row>
    <row r="268">
      <c r="A268" t="inlineStr">
        <is>
          <t xml:space="preserve">INDICADORES POR CLIENTE (x = o cliente usa o indicador; a Base acinzenta e bloqueia os demais)</t>
        </is>
      </c>
    </row>
    <row r="269">
      <c r="A269" s="145" t="inlineStr">
        <is>
          <t xml:space="preserve">Cliente</t>
        </is>
      </c>
      <c r="B269" s="145" t="inlineStr">
        <is>
          <t xml:space="preserve">IN Veículos Recebidos</t>
        </is>
      </c>
      <c r="C269" s="145" t="inlineStr">
        <is>
          <t xml:space="preserve">IN Pallets Movimentados</t>
        </is>
      </c>
      <c r="D269" s="145" t="inlineStr">
        <is>
          <t xml:space="preserve">IN Toneladas Movimentadas</t>
        </is>
      </c>
      <c r="E269" s="145" t="inlineStr">
        <is>
          <t xml:space="preserve">IN Caixas Movimentadas</t>
        </is>
      </c>
      <c r="F269" s="145" t="inlineStr">
        <is>
          <t xml:space="preserve">IN Itens Recebidos CX Mista</t>
        </is>
      </c>
      <c r="G269" s="145" t="inlineStr">
        <is>
          <t xml:space="preserve">IN Caixas Mistas Recebidas</t>
        </is>
      </c>
      <c r="H269" s="145" t="inlineStr">
        <is>
          <t xml:space="preserve">IN Caixas Fechadas</t>
        </is>
      </c>
      <c r="I269" s="145" t="inlineStr">
        <is>
          <t xml:space="preserve">IN Peças Movimentadas</t>
        </is>
      </c>
      <c r="J269" s="145" t="inlineStr">
        <is>
          <t xml:space="preserve">IN Linhas NF</t>
        </is>
      </c>
      <c r="K269" s="145" t="inlineStr">
        <is>
          <t xml:space="preserve">OUT Veículos Expedidos</t>
        </is>
      </c>
      <c r="L269" s="145" t="inlineStr">
        <is>
          <t xml:space="preserve">OUT Pallets Movimentados</t>
        </is>
      </c>
      <c r="M269" s="145" t="inlineStr">
        <is>
          <t xml:space="preserve">OUT Toneladas Movimentadas</t>
        </is>
      </c>
      <c r="N269" s="145" t="inlineStr">
        <is>
          <t xml:space="preserve">OUT Caixas Expedidas</t>
        </is>
      </c>
      <c r="O269" s="145" t="inlineStr">
        <is>
          <t xml:space="preserve">OUT Pedidos Expedidos</t>
        </is>
      </c>
      <c r="P269" s="145" t="inlineStr">
        <is>
          <t xml:space="preserve">OUT Pedidos Faturados</t>
        </is>
      </c>
      <c r="Q269" s="145" t="inlineStr">
        <is>
          <t xml:space="preserve">OUT Itens Expedidos</t>
        </is>
      </c>
      <c r="R269" s="145" t="inlineStr">
        <is>
          <t xml:space="preserve">OUT Peças Movimentadas</t>
        </is>
      </c>
      <c r="S269" s="145" t="inlineStr">
        <is>
          <t xml:space="preserve">OUT Linhas NF</t>
        </is>
      </c>
      <c r="T269" s="145" t="inlineStr">
        <is>
          <t xml:space="preserve">NC Incidentes</t>
        </is>
      </c>
      <c r="U269" s="145" t="inlineStr">
        <is>
          <t xml:space="preserve">NC No show</t>
        </is>
      </c>
      <c r="V269" s="145" t="inlineStr">
        <is>
          <t xml:space="preserve">NC Backlog</t>
        </is>
      </c>
      <c r="W269" s="145" t="inlineStr">
        <is>
          <t xml:space="preserve">Posições Disponíveis</t>
        </is>
      </c>
      <c r="X269" s="145" t="inlineStr">
        <is>
          <t xml:space="preserve">Posições Ocupadas</t>
        </is>
      </c>
      <c r="Y269" s="145" t="inlineStr">
        <is>
          <t xml:space="preserve">Efetivo</t>
        </is>
      </c>
      <c r="Z269" s="145" t="inlineStr">
        <is>
          <t xml:space="preserve">Falta</t>
        </is>
      </c>
      <c r="AA269" s="145" t="inlineStr">
        <is>
          <t xml:space="preserve">Folga</t>
        </is>
      </c>
      <c r="AB269" s="145" t="inlineStr">
        <is>
          <t xml:space="preserve">Férias</t>
        </is>
      </c>
      <c r="AC269" s="145" t="inlineStr">
        <is>
          <t xml:space="preserve">Desligamentos</t>
        </is>
      </c>
    </row>
    <row r="270">
      <c r="A270" t="inlineStr">
        <is>
          <t xml:space="preserve">BASF</t>
        </is>
      </c>
      <c r="B270" s="160" t="inlineStr">
        <is>
          <t xml:space="preserve">x</t>
        </is>
      </c>
      <c r="C270" s="160" t="inlineStr">
        <is>
          <t xml:space="preserve">x</t>
        </is>
      </c>
      <c r="D270" s="160" t="inlineStr">
        <is>
          <t xml:space="preserve">x</t>
        </is>
      </c>
      <c r="E270" s="160"/>
      <c r="F270" s="160"/>
      <c r="G270" s="160"/>
      <c r="H270" s="160"/>
      <c r="I270" s="160"/>
      <c r="J270" s="160"/>
      <c r="K270" s="160" t="inlineStr">
        <is>
          <t xml:space="preserve">x</t>
        </is>
      </c>
      <c r="L270" s="160" t="inlineStr">
        <is>
          <t xml:space="preserve">x</t>
        </is>
      </c>
      <c r="M270" s="160" t="inlineStr">
        <is>
          <t xml:space="preserve">x</t>
        </is>
      </c>
      <c r="N270" s="160"/>
      <c r="O270" s="160"/>
      <c r="P270" s="160"/>
      <c r="Q270" s="160"/>
      <c r="R270" s="160"/>
      <c r="S270" s="160"/>
      <c r="T270" s="160" t="inlineStr">
        <is>
          <t xml:space="preserve">x</t>
        </is>
      </c>
      <c r="U270" s="160" t="inlineStr">
        <is>
          <t xml:space="preserve">x</t>
        </is>
      </c>
      <c r="V270" s="160" t="inlineStr">
        <is>
          <t xml:space="preserve">x</t>
        </is>
      </c>
      <c r="W270" s="160" t="inlineStr">
        <is>
          <t xml:space="preserve">x</t>
        </is>
      </c>
      <c r="X270" s="160" t="inlineStr">
        <is>
          <t xml:space="preserve">x</t>
        </is>
      </c>
      <c r="Y270" s="160" t="inlineStr">
        <is>
          <t xml:space="preserve">x</t>
        </is>
      </c>
      <c r="Z270" s="160" t="inlineStr">
        <is>
          <t xml:space="preserve">x</t>
        </is>
      </c>
      <c r="AA270" s="160" t="inlineStr">
        <is>
          <t xml:space="preserve">x</t>
        </is>
      </c>
      <c r="AB270" s="160" t="inlineStr">
        <is>
          <t xml:space="preserve">x</t>
        </is>
      </c>
      <c r="AC270" s="160" t="inlineStr">
        <is>
          <t xml:space="preserve">x</t>
        </is>
      </c>
    </row>
    <row r="271">
      <c r="A271" t="inlineStr">
        <is>
          <t xml:space="preserve">BEAUTYBIZ</t>
        </is>
      </c>
      <c r="B271" s="160" t="inlineStr">
        <is>
          <t xml:space="preserve">x</t>
        </is>
      </c>
      <c r="C271" s="160" t="inlineStr">
        <is>
          <t xml:space="preserve">x</t>
        </is>
      </c>
      <c r="D271" s="160"/>
      <c r="E271" s="160" t="inlineStr">
        <is>
          <t xml:space="preserve">x</t>
        </is>
      </c>
      <c r="F271" s="160"/>
      <c r="G271" s="160"/>
      <c r="H271" s="160"/>
      <c r="I271" s="160"/>
      <c r="J271" s="160"/>
      <c r="K271" s="160" t="inlineStr">
        <is>
          <t xml:space="preserve">x</t>
        </is>
      </c>
      <c r="L271" s="160" t="inlineStr">
        <is>
          <t xml:space="preserve">x</t>
        </is>
      </c>
      <c r="M271" s="160"/>
      <c r="N271" s="160"/>
      <c r="O271" s="160" t="inlineStr">
        <is>
          <t xml:space="preserve">x</t>
        </is>
      </c>
      <c r="P271" s="160"/>
      <c r="Q271" s="160"/>
      <c r="R271" s="160"/>
      <c r="S271" s="160"/>
      <c r="T271" s="160" t="inlineStr">
        <is>
          <t xml:space="preserve">x</t>
        </is>
      </c>
      <c r="U271" s="160" t="inlineStr">
        <is>
          <t xml:space="preserve">x</t>
        </is>
      </c>
      <c r="V271" s="160" t="inlineStr">
        <is>
          <t xml:space="preserve">x</t>
        </is>
      </c>
      <c r="W271" s="160" t="inlineStr">
        <is>
          <t xml:space="preserve">x</t>
        </is>
      </c>
      <c r="X271" s="160" t="inlineStr">
        <is>
          <t xml:space="preserve">x</t>
        </is>
      </c>
      <c r="Y271" s="160" t="inlineStr">
        <is>
          <t xml:space="preserve">x</t>
        </is>
      </c>
      <c r="Z271" s="160" t="inlineStr">
        <is>
          <t xml:space="preserve">x</t>
        </is>
      </c>
      <c r="AA271" s="160" t="inlineStr">
        <is>
          <t xml:space="preserve">x</t>
        </is>
      </c>
      <c r="AB271" s="160" t="inlineStr">
        <is>
          <t xml:space="preserve">x</t>
        </is>
      </c>
      <c r="AC271" s="160" t="inlineStr">
        <is>
          <t xml:space="preserve">x</t>
        </is>
      </c>
    </row>
    <row r="272">
      <c r="A272" t="inlineStr">
        <is>
          <t xml:space="preserve">BOTICÁRIO</t>
        </is>
      </c>
      <c r="B272" s="160" t="inlineStr">
        <is>
          <t xml:space="preserve">x</t>
        </is>
      </c>
      <c r="C272" s="160"/>
      <c r="D272" s="160"/>
      <c r="E272" s="160"/>
      <c r="F272" s="160" t="inlineStr">
        <is>
          <t xml:space="preserve">x</t>
        </is>
      </c>
      <c r="G272" s="160" t="inlineStr">
        <is>
          <t xml:space="preserve">x</t>
        </is>
      </c>
      <c r="H272" s="160" t="inlineStr">
        <is>
          <t xml:space="preserve">x</t>
        </is>
      </c>
      <c r="I272" s="160"/>
      <c r="J272" s="160"/>
      <c r="K272" s="160" t="inlineStr">
        <is>
          <t xml:space="preserve">x</t>
        </is>
      </c>
      <c r="L272" s="160" t="inlineStr">
        <is>
          <t xml:space="preserve">x</t>
        </is>
      </c>
      <c r="M272" s="160"/>
      <c r="N272" s="160"/>
      <c r="O272" s="160"/>
      <c r="P272" s="160" t="inlineStr">
        <is>
          <t xml:space="preserve">x</t>
        </is>
      </c>
      <c r="Q272" s="160" t="inlineStr">
        <is>
          <t xml:space="preserve">x</t>
        </is>
      </c>
      <c r="R272" s="160"/>
      <c r="S272" s="160"/>
      <c r="T272" s="160" t="inlineStr">
        <is>
          <t xml:space="preserve">x</t>
        </is>
      </c>
      <c r="U272" s="160" t="inlineStr">
        <is>
          <t xml:space="preserve">x</t>
        </is>
      </c>
      <c r="V272" s="160" t="inlineStr">
        <is>
          <t xml:space="preserve">x</t>
        </is>
      </c>
      <c r="W272" s="160" t="inlineStr">
        <is>
          <t xml:space="preserve">x</t>
        </is>
      </c>
      <c r="X272" s="160" t="inlineStr">
        <is>
          <t xml:space="preserve">x</t>
        </is>
      </c>
      <c r="Y272" s="160" t="inlineStr">
        <is>
          <t xml:space="preserve">x</t>
        </is>
      </c>
      <c r="Z272" s="160" t="inlineStr">
        <is>
          <t xml:space="preserve">x</t>
        </is>
      </c>
      <c r="AA272" s="160" t="inlineStr">
        <is>
          <t xml:space="preserve">x</t>
        </is>
      </c>
      <c r="AB272" s="160" t="inlineStr">
        <is>
          <t xml:space="preserve">x</t>
        </is>
      </c>
      <c r="AC272" s="160" t="inlineStr">
        <is>
          <t xml:space="preserve">x</t>
        </is>
      </c>
    </row>
    <row r="273">
      <c r="A273" t="inlineStr">
        <is>
          <t xml:space="preserve">SUPPLY</t>
        </is>
      </c>
      <c r="B273" s="160" t="inlineStr">
        <is>
          <t xml:space="preserve">x</t>
        </is>
      </c>
      <c r="C273" s="160" t="inlineStr">
        <is>
          <t xml:space="preserve">x</t>
        </is>
      </c>
      <c r="D273" s="160" t="inlineStr">
        <is>
          <t xml:space="preserve">x</t>
        </is>
      </c>
      <c r="E273" s="160"/>
      <c r="F273" s="160"/>
      <c r="G273" s="160"/>
      <c r="H273" s="160"/>
      <c r="I273" s="160"/>
      <c r="J273" s="160"/>
      <c r="K273" s="160" t="inlineStr">
        <is>
          <t xml:space="preserve">x</t>
        </is>
      </c>
      <c r="L273" s="160" t="inlineStr">
        <is>
          <t xml:space="preserve">x</t>
        </is>
      </c>
      <c r="M273" s="160" t="inlineStr">
        <is>
          <t xml:space="preserve">x</t>
        </is>
      </c>
      <c r="N273" s="160"/>
      <c r="O273" s="160"/>
      <c r="P273" s="160"/>
      <c r="Q273" s="160"/>
      <c r="R273" s="160"/>
      <c r="S273" s="160"/>
      <c r="T273" s="160" t="inlineStr">
        <is>
          <t xml:space="preserve">x</t>
        </is>
      </c>
      <c r="U273" s="160" t="inlineStr">
        <is>
          <t xml:space="preserve">x</t>
        </is>
      </c>
      <c r="V273" s="160" t="inlineStr">
        <is>
          <t xml:space="preserve">x</t>
        </is>
      </c>
      <c r="W273" s="160" t="inlineStr">
        <is>
          <t xml:space="preserve">x</t>
        </is>
      </c>
      <c r="X273" s="160" t="inlineStr">
        <is>
          <t xml:space="preserve">x</t>
        </is>
      </c>
      <c r="Y273" s="160" t="inlineStr">
        <is>
          <t xml:space="preserve">x</t>
        </is>
      </c>
      <c r="Z273" s="160" t="inlineStr">
        <is>
          <t xml:space="preserve">x</t>
        </is>
      </c>
      <c r="AA273" s="160" t="inlineStr">
        <is>
          <t xml:space="preserve">x</t>
        </is>
      </c>
      <c r="AB273" s="160" t="inlineStr">
        <is>
          <t xml:space="preserve">x</t>
        </is>
      </c>
      <c r="AC273" s="160" t="inlineStr">
        <is>
          <t xml:space="preserve">x</t>
        </is>
      </c>
    </row>
    <row r="274">
      <c r="A274" t="inlineStr">
        <is>
          <t xml:space="preserve">GE VERNOVA</t>
        </is>
      </c>
      <c r="B274" s="160" t="inlineStr">
        <is>
          <t xml:space="preserve">x</t>
        </is>
      </c>
      <c r="C274" s="160" t="inlineStr">
        <is>
          <t xml:space="preserve">x</t>
        </is>
      </c>
      <c r="D274" s="160"/>
      <c r="E274" s="160"/>
      <c r="F274" s="160"/>
      <c r="G274" s="160"/>
      <c r="H274" s="160"/>
      <c r="I274" s="160" t="inlineStr">
        <is>
          <t xml:space="preserve">x</t>
        </is>
      </c>
      <c r="J274" s="160" t="inlineStr">
        <is>
          <t xml:space="preserve">x</t>
        </is>
      </c>
      <c r="K274" s="160" t="inlineStr">
        <is>
          <t xml:space="preserve">x</t>
        </is>
      </c>
      <c r="L274" s="160" t="inlineStr">
        <is>
          <t xml:space="preserve">x</t>
        </is>
      </c>
      <c r="M274" s="160"/>
      <c r="N274" s="160"/>
      <c r="O274" s="160"/>
      <c r="P274" s="160"/>
      <c r="Q274" s="160"/>
      <c r="R274" s="160" t="inlineStr">
        <is>
          <t xml:space="preserve">x</t>
        </is>
      </c>
      <c r="S274" s="160" t="inlineStr">
        <is>
          <t xml:space="preserve">x</t>
        </is>
      </c>
      <c r="T274" s="160" t="inlineStr">
        <is>
          <t xml:space="preserve">x</t>
        </is>
      </c>
      <c r="U274" s="160" t="inlineStr">
        <is>
          <t xml:space="preserve">x</t>
        </is>
      </c>
      <c r="V274" s="160" t="inlineStr">
        <is>
          <t xml:space="preserve">x</t>
        </is>
      </c>
      <c r="W274" s="160" t="inlineStr">
        <is>
          <t xml:space="preserve">x</t>
        </is>
      </c>
      <c r="X274" s="160" t="inlineStr">
        <is>
          <t xml:space="preserve">x</t>
        </is>
      </c>
      <c r="Y274" s="160" t="inlineStr">
        <is>
          <t xml:space="preserve">x</t>
        </is>
      </c>
      <c r="Z274" s="160" t="inlineStr">
        <is>
          <t xml:space="preserve">x</t>
        </is>
      </c>
      <c r="AA274" s="160" t="inlineStr">
        <is>
          <t xml:space="preserve">x</t>
        </is>
      </c>
      <c r="AB274" s="160" t="inlineStr">
        <is>
          <t xml:space="preserve">x</t>
        </is>
      </c>
      <c r="AC274" s="160" t="inlineStr">
        <is>
          <t xml:space="preserve">x</t>
        </is>
      </c>
    </row>
    <row r="275">
      <c r="A275" t="inlineStr">
        <is>
          <t xml:space="preserve">VESTAS</t>
        </is>
      </c>
      <c r="B275" s="160" t="inlineStr">
        <is>
          <t xml:space="preserve">x</t>
        </is>
      </c>
      <c r="C275" s="160"/>
      <c r="D275" s="160"/>
      <c r="E275" s="160"/>
      <c r="F275" s="160"/>
      <c r="G275" s="160"/>
      <c r="H275" s="160"/>
      <c r="I275" s="160"/>
      <c r="J275" s="160" t="inlineStr">
        <is>
          <t xml:space="preserve">x</t>
        </is>
      </c>
      <c r="K275" s="160" t="inlineStr">
        <is>
          <t xml:space="preserve">x</t>
        </is>
      </c>
      <c r="L275" s="160"/>
      <c r="M275" s="160"/>
      <c r="N275" s="160"/>
      <c r="O275" s="160"/>
      <c r="P275" s="160"/>
      <c r="Q275" s="160"/>
      <c r="R275" s="160"/>
      <c r="S275" s="160" t="inlineStr">
        <is>
          <t xml:space="preserve">x</t>
        </is>
      </c>
      <c r="T275" s="160" t="inlineStr">
        <is>
          <t xml:space="preserve">x</t>
        </is>
      </c>
      <c r="U275" s="160" t="inlineStr">
        <is>
          <t xml:space="preserve">x</t>
        </is>
      </c>
      <c r="V275" s="160" t="inlineStr">
        <is>
          <t xml:space="preserve">x</t>
        </is>
      </c>
      <c r="W275" s="160" t="inlineStr">
        <is>
          <t xml:space="preserve">x</t>
        </is>
      </c>
      <c r="X275" s="160" t="inlineStr">
        <is>
          <t xml:space="preserve">x</t>
        </is>
      </c>
      <c r="Y275" s="160" t="inlineStr">
        <is>
          <t xml:space="preserve">x</t>
        </is>
      </c>
      <c r="Z275" s="160" t="inlineStr">
        <is>
          <t xml:space="preserve">x</t>
        </is>
      </c>
      <c r="AA275" s="160" t="inlineStr">
        <is>
          <t xml:space="preserve">x</t>
        </is>
      </c>
      <c r="AB275" s="160" t="inlineStr">
        <is>
          <t xml:space="preserve">x</t>
        </is>
      </c>
      <c r="AC275" s="160" t="inlineStr">
        <is>
          <t xml:space="preserve">x</t>
        </is>
      </c>
    </row>
    <row r="276">
      <c r="A276" t="inlineStr">
        <is>
          <t xml:space="preserve">VEDACIT</t>
        </is>
      </c>
      <c r="B276" s="160" t="inlineStr">
        <is>
          <t xml:space="preserve">x</t>
        </is>
      </c>
      <c r="C276" s="160" t="inlineStr">
        <is>
          <t xml:space="preserve">x</t>
        </is>
      </c>
      <c r="D276" s="160"/>
      <c r="E276" s="160"/>
      <c r="F276" s="160"/>
      <c r="G276" s="160"/>
      <c r="H276" s="160"/>
      <c r="I276" s="160"/>
      <c r="J276" s="160"/>
      <c r="K276" s="160" t="inlineStr">
        <is>
          <t xml:space="preserve">x</t>
        </is>
      </c>
      <c r="L276" s="160" t="inlineStr">
        <is>
          <t xml:space="preserve">x</t>
        </is>
      </c>
      <c r="M276" s="160"/>
      <c r="N276" s="160"/>
      <c r="O276" s="160"/>
      <c r="P276" s="160"/>
      <c r="Q276" s="160"/>
      <c r="R276" s="160"/>
      <c r="S276" s="160"/>
      <c r="T276" s="160" t="inlineStr">
        <is>
          <t xml:space="preserve">x</t>
        </is>
      </c>
      <c r="U276" s="160" t="inlineStr">
        <is>
          <t xml:space="preserve">x</t>
        </is>
      </c>
      <c r="V276" s="160" t="inlineStr">
        <is>
          <t xml:space="preserve">x</t>
        </is>
      </c>
      <c r="W276" s="160" t="inlineStr">
        <is>
          <t xml:space="preserve">x</t>
        </is>
      </c>
      <c r="X276" s="160" t="inlineStr">
        <is>
          <t xml:space="preserve">x</t>
        </is>
      </c>
      <c r="Y276" s="160" t="inlineStr">
        <is>
          <t xml:space="preserve">x</t>
        </is>
      </c>
      <c r="Z276" s="160" t="inlineStr">
        <is>
          <t xml:space="preserve">x</t>
        </is>
      </c>
      <c r="AA276" s="160" t="inlineStr">
        <is>
          <t xml:space="preserve">x</t>
        </is>
      </c>
      <c r="AB276" s="160" t="inlineStr">
        <is>
          <t xml:space="preserve">x</t>
        </is>
      </c>
      <c r="AC276" s="160" t="inlineStr">
        <is>
          <t xml:space="preserve">x</t>
        </is>
      </c>
    </row>
    <row r="277">
      <c r="A277" t="inlineStr">
        <is>
          <t xml:space="preserve">OMNLIFE</t>
        </is>
      </c>
      <c r="B277" s="160" t="inlineStr">
        <is>
          <t xml:space="preserve">x</t>
        </is>
      </c>
      <c r="C277" s="160" t="inlineStr">
        <is>
          <t xml:space="preserve">x</t>
        </is>
      </c>
      <c r="D277" s="160"/>
      <c r="E277" s="160"/>
      <c r="F277" s="160"/>
      <c r="G277" s="160"/>
      <c r="H277" s="160"/>
      <c r="I277" s="160"/>
      <c r="J277" s="160"/>
      <c r="K277" s="160" t="inlineStr">
        <is>
          <t xml:space="preserve">x</t>
        </is>
      </c>
      <c r="L277" s="160" t="inlineStr">
        <is>
          <t xml:space="preserve">x</t>
        </is>
      </c>
      <c r="M277" s="160"/>
      <c r="N277" s="160"/>
      <c r="O277" s="160"/>
      <c r="P277" s="160"/>
      <c r="Q277" s="160"/>
      <c r="R277" s="160"/>
      <c r="S277" s="160"/>
      <c r="T277" s="160" t="inlineStr">
        <is>
          <t xml:space="preserve">x</t>
        </is>
      </c>
      <c r="U277" s="160" t="inlineStr">
        <is>
          <t xml:space="preserve">x</t>
        </is>
      </c>
      <c r="V277" s="160" t="inlineStr">
        <is>
          <t xml:space="preserve">x</t>
        </is>
      </c>
      <c r="W277" s="160" t="inlineStr">
        <is>
          <t xml:space="preserve">x</t>
        </is>
      </c>
      <c r="X277" s="160" t="inlineStr">
        <is>
          <t xml:space="preserve">x</t>
        </is>
      </c>
      <c r="Y277" s="160" t="inlineStr">
        <is>
          <t xml:space="preserve">x</t>
        </is>
      </c>
      <c r="Z277" s="160" t="inlineStr">
        <is>
          <t xml:space="preserve">x</t>
        </is>
      </c>
      <c r="AA277" s="160" t="inlineStr">
        <is>
          <t xml:space="preserve">x</t>
        </is>
      </c>
      <c r="AB277" s="160" t="inlineStr">
        <is>
          <t xml:space="preserve">x</t>
        </is>
      </c>
      <c r="AC277" s="160" t="inlineStr">
        <is>
          <t xml:space="preserve">x</t>
        </is>
      </c>
    </row>
    <row r="278">
      <c r="A278" t="inlineStr">
        <is>
          <t xml:space="preserve">ALPARGATAS</t>
        </is>
      </c>
      <c r="B278" s="160" t="inlineStr">
        <is>
          <t xml:space="preserve">x</t>
        </is>
      </c>
      <c r="C278" s="160"/>
      <c r="D278" s="160"/>
      <c r="E278" s="160" t="inlineStr">
        <is>
          <t xml:space="preserve">x</t>
        </is>
      </c>
      <c r="F278" s="160"/>
      <c r="G278" s="160"/>
      <c r="H278" s="160"/>
      <c r="I278" s="160"/>
      <c r="J278" s="160"/>
      <c r="K278" s="160" t="inlineStr">
        <is>
          <t xml:space="preserve">x</t>
        </is>
      </c>
      <c r="L278" s="160"/>
      <c r="M278" s="160"/>
      <c r="N278" s="160" t="inlineStr">
        <is>
          <t xml:space="preserve">x</t>
        </is>
      </c>
      <c r="O278" s="160"/>
      <c r="P278" s="160"/>
      <c r="Q278" s="160"/>
      <c r="R278" s="160"/>
      <c r="S278" s="160"/>
      <c r="T278" s="160" t="inlineStr">
        <is>
          <t xml:space="preserve">x</t>
        </is>
      </c>
      <c r="U278" s="160" t="inlineStr">
        <is>
          <t xml:space="preserve">x</t>
        </is>
      </c>
      <c r="V278" s="160" t="inlineStr">
        <is>
          <t xml:space="preserve">x</t>
        </is>
      </c>
      <c r="W278" s="160" t="inlineStr">
        <is>
          <t xml:space="preserve">x</t>
        </is>
      </c>
      <c r="X278" s="160" t="inlineStr">
        <is>
          <t xml:space="preserve">x</t>
        </is>
      </c>
      <c r="Y278" s="160" t="inlineStr">
        <is>
          <t xml:space="preserve">x</t>
        </is>
      </c>
      <c r="Z278" s="160" t="inlineStr">
        <is>
          <t xml:space="preserve">x</t>
        </is>
      </c>
      <c r="AA278" s="160" t="inlineStr">
        <is>
          <t xml:space="preserve">x</t>
        </is>
      </c>
      <c r="AB278" s="160" t="inlineStr">
        <is>
          <t xml:space="preserve">x</t>
        </is>
      </c>
      <c r="AC278" s="160" t="inlineStr">
        <is>
          <t xml:space="preserve">x</t>
        </is>
      </c>
    </row>
    <row r="282">
      <c r="A282" t="inlineStr">
        <is>
          <t xml:space="preserve">INDICADORES EXIBIDOS NO QUADRO (IN 1-4, OUT 1-4) e DESTAQUE dos cartões/gráfico semanal</t>
        </is>
      </c>
    </row>
    <row r="283">
      <c r="A283" s="145" t="inlineStr">
        <is>
          <t xml:space="preserve">Cliente</t>
        </is>
      </c>
      <c r="B283" s="145" t="inlineStr">
        <is>
          <t xml:space="preserve">IN 1</t>
        </is>
      </c>
      <c r="C283" s="145" t="inlineStr">
        <is>
          <t xml:space="preserve">IN 2</t>
        </is>
      </c>
      <c r="D283" s="145" t="inlineStr">
        <is>
          <t xml:space="preserve">IN 3</t>
        </is>
      </c>
      <c r="E283" s="145" t="inlineStr">
        <is>
          <t xml:space="preserve">IN 4</t>
        </is>
      </c>
      <c r="F283" s="145" t="inlineStr">
        <is>
          <t xml:space="preserve">OUT 1</t>
        </is>
      </c>
      <c r="G283" s="145" t="inlineStr">
        <is>
          <t xml:space="preserve">OUT 2</t>
        </is>
      </c>
      <c r="H283" s="145" t="inlineStr">
        <is>
          <t xml:space="preserve">OUT 3</t>
        </is>
      </c>
      <c r="I283" s="145" t="inlineStr">
        <is>
          <t xml:space="preserve">OUT 4</t>
        </is>
      </c>
      <c r="J283" s="145" t="inlineStr">
        <is>
          <t xml:space="preserve">Destaque IN</t>
        </is>
      </c>
      <c r="K283" s="145" t="inlineStr">
        <is>
          <t xml:space="preserve">Destaque OUT</t>
        </is>
      </c>
    </row>
    <row r="284">
      <c r="A284" t="inlineStr">
        <is>
          <t xml:space="preserve">Todos</t>
        </is>
      </c>
      <c r="B284" s="160" t="inlineStr">
        <is>
          <t xml:space="preserve">IN Veículos Recebidos</t>
        </is>
      </c>
      <c r="C284" s="160" t="inlineStr">
        <is>
          <t xml:space="preserve">IN Pallets Movimentados</t>
        </is>
      </c>
      <c r="D284" s="160" t="inlineStr">
        <is>
          <t xml:space="preserve">IN Toneladas Movimentadas</t>
        </is>
      </c>
      <c r="E284" s="160" t="inlineStr">
        <is>
          <t xml:space="preserve">IN Linhas NF</t>
        </is>
      </c>
      <c r="F284" s="160" t="inlineStr">
        <is>
          <t xml:space="preserve">OUT Veículos Expedidos</t>
        </is>
      </c>
      <c r="G284" s="160" t="inlineStr">
        <is>
          <t xml:space="preserve">OUT Pallets Movimentados</t>
        </is>
      </c>
      <c r="H284" s="160" t="inlineStr">
        <is>
          <t xml:space="preserve">OUT Toneladas Movimentadas</t>
        </is>
      </c>
      <c r="I284" s="160" t="inlineStr">
        <is>
          <t xml:space="preserve">OUT Linhas NF</t>
        </is>
      </c>
      <c r="J284" s="160" t="inlineStr">
        <is>
          <t xml:space="preserve">IN Pallets Movimentados</t>
        </is>
      </c>
      <c r="K284" s="160" t="inlineStr">
        <is>
          <t xml:space="preserve">OUT Pallets Movimentados</t>
        </is>
      </c>
    </row>
    <row r="285">
      <c r="A285" t="inlineStr">
        <is>
          <t xml:space="preserve">BASF</t>
        </is>
      </c>
      <c r="B285" s="160" t="inlineStr">
        <is>
          <t xml:space="preserve">IN Veículos Recebidos</t>
        </is>
      </c>
      <c r="C285" s="160" t="inlineStr">
        <is>
          <t xml:space="preserve">IN Pallets Movimentados</t>
        </is>
      </c>
      <c r="D285" s="160" t="inlineStr">
        <is>
          <t xml:space="preserve">IN Toneladas Movimentadas</t>
        </is>
      </c>
      <c r="F285" s="160" t="inlineStr">
        <is>
          <t xml:space="preserve">OUT Veículos Expedidos</t>
        </is>
      </c>
      <c r="G285" s="160" t="inlineStr">
        <is>
          <t xml:space="preserve">OUT Pallets Movimentados</t>
        </is>
      </c>
      <c r="H285" s="160" t="inlineStr">
        <is>
          <t xml:space="preserve">OUT Toneladas Movimentadas</t>
        </is>
      </c>
      <c r="J285" s="160" t="inlineStr">
        <is>
          <t xml:space="preserve">IN Pallets Movimentados</t>
        </is>
      </c>
      <c r="K285" s="160" t="inlineStr">
        <is>
          <t xml:space="preserve">OUT Pallets Movimentados</t>
        </is>
      </c>
    </row>
    <row r="286">
      <c r="A286" t="inlineStr">
        <is>
          <t xml:space="preserve">BEAUTYBIZ</t>
        </is>
      </c>
      <c r="B286" s="160" t="inlineStr">
        <is>
          <t xml:space="preserve">IN Veículos Recebidos</t>
        </is>
      </c>
      <c r="C286" s="160" t="inlineStr">
        <is>
          <t xml:space="preserve">IN Pallets Movimentados</t>
        </is>
      </c>
      <c r="D286" s="160" t="inlineStr">
        <is>
          <t xml:space="preserve">IN Caixas Movimentadas</t>
        </is>
      </c>
      <c r="F286" s="160" t="inlineStr">
        <is>
          <t xml:space="preserve">OUT Veículos Expedidos</t>
        </is>
      </c>
      <c r="G286" s="160" t="inlineStr">
        <is>
          <t xml:space="preserve">OUT Pallets Movimentados</t>
        </is>
      </c>
      <c r="H286" s="160" t="inlineStr">
        <is>
          <t xml:space="preserve">OUT Pedidos Expedidos</t>
        </is>
      </c>
      <c r="J286" s="160" t="inlineStr">
        <is>
          <t xml:space="preserve">IN Pallets Movimentados</t>
        </is>
      </c>
      <c r="K286" s="160" t="inlineStr">
        <is>
          <t xml:space="preserve">OUT Pallets Movimentados</t>
        </is>
      </c>
    </row>
    <row r="287">
      <c r="A287" t="inlineStr">
        <is>
          <t xml:space="preserve">BOTICÁRIO</t>
        </is>
      </c>
      <c r="B287" s="160" t="inlineStr">
        <is>
          <t xml:space="preserve">IN Veículos Recebidos</t>
        </is>
      </c>
      <c r="C287" s="160" t="inlineStr">
        <is>
          <t xml:space="preserve">IN Itens Recebidos CX Mista</t>
        </is>
      </c>
      <c r="D287" s="160" t="inlineStr">
        <is>
          <t xml:space="preserve">IN Caixas Mistas Recebidas</t>
        </is>
      </c>
      <c r="E287" s="160" t="inlineStr">
        <is>
          <t xml:space="preserve">IN Caixas Fechadas</t>
        </is>
      </c>
      <c r="F287" s="160" t="inlineStr">
        <is>
          <t xml:space="preserve">OUT Veículos Expedidos</t>
        </is>
      </c>
      <c r="G287" s="160" t="inlineStr">
        <is>
          <t xml:space="preserve">OUT Pedidos Faturados</t>
        </is>
      </c>
      <c r="H287" s="160" t="inlineStr">
        <is>
          <t xml:space="preserve">OUT Itens Expedidos</t>
        </is>
      </c>
      <c r="I287" s="160" t="inlineStr">
        <is>
          <t xml:space="preserve">OUT Pallets Movimentados</t>
        </is>
      </c>
      <c r="J287" s="160" t="inlineStr">
        <is>
          <t xml:space="preserve">IN Itens Recebidos CX Mista</t>
        </is>
      </c>
      <c r="K287" s="160" t="inlineStr">
        <is>
          <t xml:space="preserve">OUT Pedidos Faturados</t>
        </is>
      </c>
    </row>
    <row r="288">
      <c r="A288" t="inlineStr">
        <is>
          <t xml:space="preserve">SUPPLY</t>
        </is>
      </c>
      <c r="B288" s="160" t="inlineStr">
        <is>
          <t xml:space="preserve">IN Veículos Recebidos</t>
        </is>
      </c>
      <c r="C288" s="160" t="inlineStr">
        <is>
          <t xml:space="preserve">IN Pallets Movimentados</t>
        </is>
      </c>
      <c r="D288" s="160" t="inlineStr">
        <is>
          <t xml:space="preserve">IN Toneladas Movimentadas</t>
        </is>
      </c>
      <c r="F288" s="160" t="inlineStr">
        <is>
          <t xml:space="preserve">OUT Veículos Expedidos</t>
        </is>
      </c>
      <c r="G288" s="160" t="inlineStr">
        <is>
          <t xml:space="preserve">OUT Pallets Movimentados</t>
        </is>
      </c>
      <c r="H288" s="160" t="inlineStr">
        <is>
          <t xml:space="preserve">OUT Toneladas Movimentadas</t>
        </is>
      </c>
      <c r="J288" s="160" t="inlineStr">
        <is>
          <t xml:space="preserve">IN Pallets Movimentados</t>
        </is>
      </c>
      <c r="K288" s="160" t="inlineStr">
        <is>
          <t xml:space="preserve">OUT Pallets Movimentados</t>
        </is>
      </c>
    </row>
    <row r="289">
      <c r="A289" t="inlineStr">
        <is>
          <t xml:space="preserve">GE VERNOVA</t>
        </is>
      </c>
      <c r="B289" s="160" t="inlineStr">
        <is>
          <t xml:space="preserve">IN Veículos Recebidos</t>
        </is>
      </c>
      <c r="C289" s="160" t="inlineStr">
        <is>
          <t xml:space="preserve">IN Pallets Movimentados</t>
        </is>
      </c>
      <c r="D289" s="160" t="inlineStr">
        <is>
          <t xml:space="preserve">IN Peças Movimentadas</t>
        </is>
      </c>
      <c r="E289" s="160" t="inlineStr">
        <is>
          <t xml:space="preserve">IN Linhas NF</t>
        </is>
      </c>
      <c r="F289" s="160" t="inlineStr">
        <is>
          <t xml:space="preserve">OUT Veículos Expedidos</t>
        </is>
      </c>
      <c r="G289" s="160" t="inlineStr">
        <is>
          <t xml:space="preserve">OUT Pallets Movimentados</t>
        </is>
      </c>
      <c r="H289" s="160" t="inlineStr">
        <is>
          <t xml:space="preserve">OUT Peças Movimentadas</t>
        </is>
      </c>
      <c r="I289" s="160" t="inlineStr">
        <is>
          <t xml:space="preserve">OUT Linhas NF</t>
        </is>
      </c>
      <c r="J289" s="160" t="inlineStr">
        <is>
          <t xml:space="preserve">IN Pallets Movimentados</t>
        </is>
      </c>
      <c r="K289" s="160" t="inlineStr">
        <is>
          <t xml:space="preserve">OUT Pallets Movimentados</t>
        </is>
      </c>
    </row>
    <row r="290">
      <c r="A290" t="inlineStr">
        <is>
          <t xml:space="preserve">VESTAS</t>
        </is>
      </c>
      <c r="B290" s="160" t="inlineStr">
        <is>
          <t xml:space="preserve">IN Veículos Recebidos</t>
        </is>
      </c>
      <c r="C290" s="160" t="inlineStr">
        <is>
          <t xml:space="preserve">IN Linhas NF</t>
        </is>
      </c>
      <c r="F290" s="160" t="inlineStr">
        <is>
          <t xml:space="preserve">OUT Veículos Expedidos</t>
        </is>
      </c>
      <c r="G290" s="160" t="inlineStr">
        <is>
          <t xml:space="preserve">OUT Linhas NF</t>
        </is>
      </c>
      <c r="J290" s="160" t="inlineStr">
        <is>
          <t xml:space="preserve">IN Linhas NF</t>
        </is>
      </c>
      <c r="K290" s="160" t="inlineStr">
        <is>
          <t xml:space="preserve">OUT Linhas NF</t>
        </is>
      </c>
    </row>
    <row r="291">
      <c r="A291" t="inlineStr">
        <is>
          <t xml:space="preserve">VEDACIT</t>
        </is>
      </c>
      <c r="B291" s="160" t="inlineStr">
        <is>
          <t xml:space="preserve">IN Veículos Recebidos</t>
        </is>
      </c>
      <c r="C291" s="160" t="inlineStr">
        <is>
          <t xml:space="preserve">IN Pallets Movimentados</t>
        </is>
      </c>
      <c r="F291" s="160" t="inlineStr">
        <is>
          <t xml:space="preserve">OUT Veículos Expedidos</t>
        </is>
      </c>
      <c r="G291" s="160" t="inlineStr">
        <is>
          <t xml:space="preserve">OUT Pallets Movimentados</t>
        </is>
      </c>
      <c r="J291" s="160" t="inlineStr">
        <is>
          <t xml:space="preserve">IN Pallets Movimentados</t>
        </is>
      </c>
      <c r="K291" s="160" t="inlineStr">
        <is>
          <t xml:space="preserve">OUT Pallets Movimentados</t>
        </is>
      </c>
    </row>
    <row r="292">
      <c r="A292" t="inlineStr">
        <is>
          <t xml:space="preserve">OMNLIFE</t>
        </is>
      </c>
      <c r="B292" s="160" t="inlineStr">
        <is>
          <t xml:space="preserve">IN Veículos Recebidos</t>
        </is>
      </c>
      <c r="C292" s="160" t="inlineStr">
        <is>
          <t xml:space="preserve">IN Pallets Movimentados</t>
        </is>
      </c>
      <c r="F292" s="160" t="inlineStr">
        <is>
          <t xml:space="preserve">OUT Veículos Expedidos</t>
        </is>
      </c>
      <c r="G292" s="160" t="inlineStr">
        <is>
          <t xml:space="preserve">OUT Pallets Movimentados</t>
        </is>
      </c>
      <c r="J292" s="160" t="inlineStr">
        <is>
          <t xml:space="preserve">IN Pallets Movimentados</t>
        </is>
      </c>
      <c r="K292" s="160" t="inlineStr">
        <is>
          <t xml:space="preserve">OUT Pallets Movimentados</t>
        </is>
      </c>
    </row>
    <row r="293">
      <c r="A293" t="inlineStr">
        <is>
          <t xml:space="preserve">ALPARGATAS</t>
        </is>
      </c>
      <c r="B293" s="160" t="inlineStr">
        <is>
          <t xml:space="preserve">IN Veículos Recebidos</t>
        </is>
      </c>
      <c r="C293" s="160" t="inlineStr">
        <is>
          <t xml:space="preserve">IN Caixas Movimentadas</t>
        </is>
      </c>
      <c r="F293" s="160" t="inlineStr">
        <is>
          <t xml:space="preserve">OUT Veículos Expedidos</t>
        </is>
      </c>
      <c r="G293" s="160" t="inlineStr">
        <is>
          <t xml:space="preserve">OUT Caixas Expedidas</t>
        </is>
      </c>
      <c r="J293" s="160" t="inlineStr">
        <is>
          <t xml:space="preserve">IN Caixas Movimentadas</t>
        </is>
      </c>
      <c r="K293" s="160" t="inlineStr">
        <is>
          <t xml:space="preserve">OUT Caixas Expedidas</t>
        </is>
      </c>
    </row>
  </sheetData>
  <pageMargins left="0.25" right="0.25" top="0.4" bottom="0.4" header="0.2" footer="0.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Monitoramento diário de performance</dc:title>
  <dc:creator>IntraLog · Resumo operacional</dc:creator>
  <dcterms:created xsi:type="dcterms:W3CDTF">2026-09-30T18:58:57Z</dcterms:created>
</cp:coreProperties>
</file>